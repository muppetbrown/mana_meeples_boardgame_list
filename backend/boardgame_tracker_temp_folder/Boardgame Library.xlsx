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36C101AF7E14AB69/Mana and Meeples/boardgame_price_tracker/"/>
    </mc:Choice>
  </mc:AlternateContent>
  <xr:revisionPtr revIDLastSave="5069" documentId="8_{AEE922AC-344C-46D4-BD54-E93681A156B2}" xr6:coauthVersionLast="47" xr6:coauthVersionMax="47" xr10:uidLastSave="{232873DF-03D8-4FF5-921F-F66DBCD3F492}"/>
  <bookViews>
    <workbookView xWindow="-105" yWindow="0" windowWidth="29010" windowHeight="31785" xr2:uid="{9AA06E98-2F3A-495A-B707-4C6372976208}"/>
  </bookViews>
  <sheets>
    <sheet name="OWNED" sheetId="1" r:id="rId1"/>
    <sheet name="BUY LIST" sheetId="18" r:id="rId2"/>
    <sheet name="LIBRARY" sheetId="17" r:id="rId3"/>
    <sheet name="store_links" sheetId="15" r:id="rId4"/>
    <sheet name="summary_prices" sheetId="8" r:id="rId5"/>
    <sheet name="manual_summary" sheetId="11" r:id="rId6"/>
    <sheet name="bgg_cache" sheetId="13" r:id="rId7"/>
    <sheet name="PROMPT" sheetId="14" r:id="rId8"/>
    <sheet name="NZDESIGNED" sheetId="19" r:id="rId9"/>
    <sheet name="manual_bgg" sheetId="21" r:id="rId10"/>
  </sheets>
  <definedNames>
    <definedName name="ExternalData_1" localSheetId="2" hidden="1">LIBRARY!$A$1:$AA$187</definedName>
    <definedName name="ExternalData_1" localSheetId="4" hidden="1">summary_prices!$A$1:$M$104</definedName>
    <definedName name="ExternalData_3" localSheetId="6" hidden="1">bgg_cache!$A$1:$P$590</definedName>
  </definedNames>
  <calcPr calcId="191028"/>
  <pivotCaches>
    <pivotCache cacheId="4"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4" i="1" l="1"/>
  <c r="E204" i="1"/>
  <c r="F204" i="1" s="1"/>
  <c r="H204" i="1"/>
  <c r="D203" i="1"/>
  <c r="E203" i="1"/>
  <c r="F203" i="1" s="1"/>
  <c r="H203" i="1"/>
  <c r="D202" i="1"/>
  <c r="E202" i="1"/>
  <c r="F202" i="1" s="1"/>
  <c r="H202" i="1"/>
  <c r="B92" i="18"/>
  <c r="G92" i="18" s="1"/>
  <c r="F2"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110" i="15"/>
  <c r="F111" i="15"/>
  <c r="F112" i="15"/>
  <c r="F113" i="15"/>
  <c r="F114" i="15"/>
  <c r="F115" i="15"/>
  <c r="F116" i="15"/>
  <c r="F117" i="15"/>
  <c r="F118" i="15"/>
  <c r="F119" i="15"/>
  <c r="F120" i="15"/>
  <c r="F121" i="15"/>
  <c r="F122" i="15"/>
  <c r="F123" i="15"/>
  <c r="F124" i="15"/>
  <c r="F125" i="15"/>
  <c r="F126" i="15"/>
  <c r="F127" i="15"/>
  <c r="F128" i="15"/>
  <c r="F129" i="15"/>
  <c r="F130" i="15"/>
  <c r="F131" i="15"/>
  <c r="F132" i="15"/>
  <c r="F133" i="15"/>
  <c r="F134" i="15"/>
  <c r="F135" i="15"/>
  <c r="F136" i="15"/>
  <c r="F137" i="15"/>
  <c r="F138" i="15"/>
  <c r="F139" i="15"/>
  <c r="F140" i="15"/>
  <c r="F141" i="15"/>
  <c r="F142" i="15"/>
  <c r="F143" i="15"/>
  <c r="F144" i="15"/>
  <c r="F145" i="15"/>
  <c r="F146" i="15"/>
  <c r="F147" i="15"/>
  <c r="F148" i="15"/>
  <c r="F149" i="15"/>
  <c r="F150" i="15"/>
  <c r="F151" i="15"/>
  <c r="F152" i="15"/>
  <c r="F153" i="15"/>
  <c r="F154" i="15"/>
  <c r="F155" i="15"/>
  <c r="F156" i="15"/>
  <c r="F157" i="15"/>
  <c r="F158" i="15"/>
  <c r="F159" i="15"/>
  <c r="F160" i="15"/>
  <c r="F161" i="15"/>
  <c r="F162" i="15"/>
  <c r="F163" i="15"/>
  <c r="F164" i="15"/>
  <c r="F165" i="15"/>
  <c r="F166" i="15"/>
  <c r="F167" i="15"/>
  <c r="F168" i="15"/>
  <c r="F169" i="15"/>
  <c r="F170" i="15"/>
  <c r="F171" i="15"/>
  <c r="F172" i="15"/>
  <c r="F173" i="15"/>
  <c r="F174" i="15"/>
  <c r="F175" i="15"/>
  <c r="F176" i="15"/>
  <c r="F177" i="15"/>
  <c r="F178" i="15"/>
  <c r="F179" i="15"/>
  <c r="F180" i="15"/>
  <c r="F181" i="15"/>
  <c r="F182" i="15"/>
  <c r="F183" i="15"/>
  <c r="F184" i="15"/>
  <c r="F185" i="15"/>
  <c r="F186" i="15"/>
  <c r="F187" i="15"/>
  <c r="F188" i="15"/>
  <c r="F189" i="15"/>
  <c r="F190" i="15"/>
  <c r="F191" i="15"/>
  <c r="F192" i="15"/>
  <c r="F193" i="15"/>
  <c r="F194" i="15"/>
  <c r="F195" i="15"/>
  <c r="F196" i="15"/>
  <c r="F197" i="15"/>
  <c r="F198" i="15"/>
  <c r="F199" i="15"/>
  <c r="F200" i="15"/>
  <c r="F201" i="15"/>
  <c r="F202" i="15"/>
  <c r="F203" i="15"/>
  <c r="F204" i="15"/>
  <c r="F205" i="15"/>
  <c r="F206" i="15"/>
  <c r="F207" i="15"/>
  <c r="F208" i="15"/>
  <c r="F209" i="15"/>
  <c r="F210" i="15"/>
  <c r="F211" i="15"/>
  <c r="F212" i="15"/>
  <c r="F213" i="15"/>
  <c r="F214" i="15"/>
  <c r="F215" i="15"/>
  <c r="F216" i="15"/>
  <c r="F217" i="15"/>
  <c r="F218" i="15"/>
  <c r="F219" i="15"/>
  <c r="F220" i="15"/>
  <c r="F221" i="15"/>
  <c r="F222" i="15"/>
  <c r="F223" i="15"/>
  <c r="F224" i="15"/>
  <c r="F225" i="15"/>
  <c r="F226" i="15"/>
  <c r="F227" i="15"/>
  <c r="F228" i="15"/>
  <c r="F229" i="15"/>
  <c r="F230" i="15"/>
  <c r="F231" i="15"/>
  <c r="F232" i="15"/>
  <c r="F233" i="15"/>
  <c r="F234" i="15"/>
  <c r="F235" i="15"/>
  <c r="F236" i="15"/>
  <c r="F237" i="15"/>
  <c r="F238" i="15"/>
  <c r="F239" i="15"/>
  <c r="F240" i="15"/>
  <c r="F241" i="15"/>
  <c r="F242" i="15"/>
  <c r="F243" i="15"/>
  <c r="F244" i="15"/>
  <c r="F245" i="15"/>
  <c r="F246" i="15"/>
  <c r="F247" i="15"/>
  <c r="F248" i="15"/>
  <c r="F249" i="15"/>
  <c r="F250" i="15"/>
  <c r="F251" i="15"/>
  <c r="F252" i="15"/>
  <c r="F253" i="15"/>
  <c r="F254" i="15"/>
  <c r="F255" i="15"/>
  <c r="F256" i="15"/>
  <c r="F257" i="15"/>
  <c r="F258" i="15"/>
  <c r="F259" i="15"/>
  <c r="F260" i="15"/>
  <c r="F261" i="15"/>
  <c r="F262" i="15"/>
  <c r="F263" i="15"/>
  <c r="F264" i="15"/>
  <c r="F265" i="15"/>
  <c r="F266" i="15"/>
  <c r="F267" i="15"/>
  <c r="F268" i="15"/>
  <c r="F269" i="15"/>
  <c r="F270" i="15"/>
  <c r="B2" i="18"/>
  <c r="B3" i="18"/>
  <c r="M3" i="18" s="1"/>
  <c r="B4" i="18"/>
  <c r="G4" i="18" s="1"/>
  <c r="B5" i="18"/>
  <c r="J5" i="18" s="1"/>
  <c r="B6" i="18"/>
  <c r="J6" i="18" s="1"/>
  <c r="B7" i="18"/>
  <c r="H7" i="18" s="1"/>
  <c r="B8" i="18"/>
  <c r="H8" i="18" s="1"/>
  <c r="B9" i="18"/>
  <c r="G9" i="18" s="1"/>
  <c r="B10" i="18"/>
  <c r="K10" i="18" s="1"/>
  <c r="B11" i="18"/>
  <c r="G11" i="18" s="1"/>
  <c r="B12" i="18"/>
  <c r="J12" i="18" s="1"/>
  <c r="B13" i="18"/>
  <c r="J13" i="18" s="1"/>
  <c r="B14" i="18"/>
  <c r="K14" i="18" s="1"/>
  <c r="B15" i="18"/>
  <c r="I15" i="18" s="1"/>
  <c r="B16" i="18"/>
  <c r="H16" i="18" s="1"/>
  <c r="B17" i="18"/>
  <c r="K17" i="18" s="1"/>
  <c r="B18" i="18"/>
  <c r="M18" i="18" s="1"/>
  <c r="B19" i="18"/>
  <c r="J19" i="18" s="1"/>
  <c r="B20" i="18"/>
  <c r="J20" i="18" s="1"/>
  <c r="B21" i="18"/>
  <c r="M21" i="18" s="1"/>
  <c r="B22" i="18"/>
  <c r="H22" i="18" s="1"/>
  <c r="B23" i="18"/>
  <c r="H23" i="18" s="1"/>
  <c r="B24" i="18"/>
  <c r="M24" i="18" s="1"/>
  <c r="B25" i="18"/>
  <c r="G25" i="18" s="1"/>
  <c r="B26" i="18"/>
  <c r="G26" i="18" s="1"/>
  <c r="B27" i="18"/>
  <c r="I27" i="18" s="1"/>
  <c r="B28" i="18"/>
  <c r="M28" i="18" s="1"/>
  <c r="B29" i="18"/>
  <c r="M29" i="18" s="1"/>
  <c r="B30" i="18"/>
  <c r="G30" i="18" s="1"/>
  <c r="B31" i="18"/>
  <c r="H31" i="18" s="1"/>
  <c r="B32" i="18"/>
  <c r="K32" i="18" s="1"/>
  <c r="B33" i="18"/>
  <c r="H33" i="18" s="1"/>
  <c r="B34" i="18"/>
  <c r="M34" i="18" s="1"/>
  <c r="B35" i="18"/>
  <c r="K35" i="18" s="1"/>
  <c r="B36" i="18"/>
  <c r="M36" i="18" s="1"/>
  <c r="B37" i="18"/>
  <c r="H37" i="18" s="1"/>
  <c r="B38" i="18"/>
  <c r="K38" i="18" s="1"/>
  <c r="B39" i="18"/>
  <c r="M39" i="18" s="1"/>
  <c r="B40" i="18"/>
  <c r="K40" i="18" s="1"/>
  <c r="B41" i="18"/>
  <c r="K41" i="18" s="1"/>
  <c r="B42" i="18"/>
  <c r="K42" i="18" s="1"/>
  <c r="B43" i="18"/>
  <c r="I43" i="18" s="1"/>
  <c r="B44" i="18"/>
  <c r="H44" i="18" s="1"/>
  <c r="B45" i="18"/>
  <c r="G45" i="18" s="1"/>
  <c r="B46" i="18"/>
  <c r="G46" i="18" s="1"/>
  <c r="B47" i="18"/>
  <c r="I47" i="18" s="1"/>
  <c r="B48" i="18"/>
  <c r="K48" i="18" s="1"/>
  <c r="B49" i="18"/>
  <c r="M49" i="18" s="1"/>
  <c r="B50" i="18"/>
  <c r="J50" i="18" s="1"/>
  <c r="B51" i="18"/>
  <c r="H51" i="18" s="1"/>
  <c r="B52" i="18"/>
  <c r="K52" i="18" s="1"/>
  <c r="B53" i="18"/>
  <c r="G53" i="18" s="1"/>
  <c r="B54" i="18"/>
  <c r="I54" i="18" s="1"/>
  <c r="B55" i="18"/>
  <c r="G55" i="18" s="1"/>
  <c r="B56" i="18"/>
  <c r="H56" i="18" s="1"/>
  <c r="B57" i="18"/>
  <c r="J57" i="18" s="1"/>
  <c r="B58" i="18"/>
  <c r="G58" i="18" s="1"/>
  <c r="B59" i="18"/>
  <c r="M59" i="18" s="1"/>
  <c r="B60" i="18"/>
  <c r="K60" i="18" s="1"/>
  <c r="B61" i="18"/>
  <c r="K61" i="18" s="1"/>
  <c r="B62" i="18"/>
  <c r="M62" i="18" s="1"/>
  <c r="B63" i="18"/>
  <c r="H63" i="18" s="1"/>
  <c r="B64" i="18"/>
  <c r="H64" i="18" s="1"/>
  <c r="B65" i="18"/>
  <c r="J65" i="18" s="1"/>
  <c r="B66" i="18"/>
  <c r="I66" i="18" s="1"/>
  <c r="B67" i="18"/>
  <c r="G67" i="18" s="1"/>
  <c r="B68" i="18"/>
  <c r="H68" i="18" s="1"/>
  <c r="B69" i="18"/>
  <c r="J69" i="18" s="1"/>
  <c r="B70" i="18"/>
  <c r="J70" i="18" s="1"/>
  <c r="B71" i="18"/>
  <c r="J71" i="18" s="1"/>
  <c r="B72" i="18"/>
  <c r="G72" i="18" s="1"/>
  <c r="B73" i="18"/>
  <c r="M73" i="18" s="1"/>
  <c r="B74" i="18"/>
  <c r="H74" i="18" s="1"/>
  <c r="B75" i="18"/>
  <c r="I75" i="18" s="1"/>
  <c r="B76" i="18"/>
  <c r="H76" i="18" s="1"/>
  <c r="B77" i="18"/>
  <c r="J77" i="18" s="1"/>
  <c r="B78" i="18"/>
  <c r="G78" i="18" s="1"/>
  <c r="B79" i="18"/>
  <c r="J79" i="18" s="1"/>
  <c r="B80" i="18"/>
  <c r="H80" i="18" s="1"/>
  <c r="B81" i="18"/>
  <c r="H81" i="18" s="1"/>
  <c r="B82" i="18"/>
  <c r="K82" i="18" s="1"/>
  <c r="B83" i="18"/>
  <c r="J83" i="18" s="1"/>
  <c r="B84" i="18"/>
  <c r="G84" i="18" s="1"/>
  <c r="B85" i="18"/>
  <c r="H85" i="18" s="1"/>
  <c r="B86" i="18"/>
  <c r="M86" i="18" s="1"/>
  <c r="B87" i="18"/>
  <c r="I87" i="18" s="1"/>
  <c r="B88" i="18"/>
  <c r="K88" i="18" s="1"/>
  <c r="B89" i="18"/>
  <c r="G89" i="18" s="1"/>
  <c r="B90" i="18"/>
  <c r="J90" i="18" s="1"/>
  <c r="B91" i="18"/>
  <c r="G91" i="18" s="1"/>
  <c r="B93" i="18"/>
  <c r="M93" i="18" s="1"/>
  <c r="B94" i="18"/>
  <c r="M94" i="18" s="1"/>
  <c r="B95" i="18"/>
  <c r="G95" i="18" s="1"/>
  <c r="A3" i="21"/>
  <c r="A4" i="21"/>
  <c r="A5" i="21"/>
  <c r="A6" i="21"/>
  <c r="A7" i="21"/>
  <c r="A8" i="21"/>
  <c r="A9" i="21"/>
  <c r="A10" i="21"/>
  <c r="A11" i="21"/>
  <c r="A12" i="21"/>
  <c r="A13" i="21"/>
  <c r="A14" i="21"/>
  <c r="A15" i="21"/>
  <c r="A16" i="21"/>
  <c r="A17" i="21"/>
  <c r="A18" i="21"/>
  <c r="A19" i="21"/>
  <c r="A20" i="21"/>
  <c r="A21" i="21"/>
  <c r="A22" i="21"/>
  <c r="A23" i="21"/>
  <c r="A24" i="21"/>
  <c r="A25" i="21"/>
  <c r="A26" i="21"/>
  <c r="A27" i="21"/>
  <c r="A2" i="21"/>
  <c r="G270" i="15"/>
  <c r="G261" i="15"/>
  <c r="G262" i="15"/>
  <c r="G263" i="15"/>
  <c r="G264" i="15"/>
  <c r="G265" i="15"/>
  <c r="G266" i="15"/>
  <c r="G267" i="15"/>
  <c r="G268" i="15"/>
  <c r="G269" i="15"/>
  <c r="G260" i="15"/>
  <c r="G259" i="15"/>
  <c r="G255" i="15"/>
  <c r="G256" i="15"/>
  <c r="G257" i="15"/>
  <c r="G258" i="15"/>
  <c r="G254" i="15"/>
  <c r="G251" i="15"/>
  <c r="G252" i="15"/>
  <c r="G253" i="15"/>
  <c r="G248" i="15"/>
  <c r="G249" i="15"/>
  <c r="G250" i="15"/>
  <c r="G247" i="15"/>
  <c r="G246" i="15"/>
  <c r="G243" i="15"/>
  <c r="G244" i="15"/>
  <c r="G245" i="15"/>
  <c r="G238" i="15"/>
  <c r="G239" i="15"/>
  <c r="G240" i="15"/>
  <c r="G241" i="15"/>
  <c r="G242" i="15"/>
  <c r="G237" i="15"/>
  <c r="G236" i="15"/>
  <c r="G235" i="15"/>
  <c r="G234" i="15"/>
  <c r="G233" i="15"/>
  <c r="G232" i="15"/>
  <c r="C87" i="18"/>
  <c r="C88" i="18"/>
  <c r="C89" i="18"/>
  <c r="C90" i="18"/>
  <c r="C91" i="18"/>
  <c r="C92" i="18"/>
  <c r="C93" i="18"/>
  <c r="C94" i="18"/>
  <c r="C95" i="18"/>
  <c r="E87" i="18"/>
  <c r="E88" i="18"/>
  <c r="E89" i="18"/>
  <c r="E90" i="18"/>
  <c r="E91" i="18"/>
  <c r="E92" i="18"/>
  <c r="E93" i="18"/>
  <c r="E94" i="18"/>
  <c r="E95" i="18"/>
  <c r="F87" i="18"/>
  <c r="F88" i="18"/>
  <c r="F89" i="18"/>
  <c r="F90" i="18"/>
  <c r="F91" i="18"/>
  <c r="F92" i="18"/>
  <c r="F93" i="18"/>
  <c r="F94" i="18"/>
  <c r="F95" i="18"/>
  <c r="N87" i="18"/>
  <c r="N88" i="18"/>
  <c r="N89" i="18"/>
  <c r="N90" i="18"/>
  <c r="N91" i="18"/>
  <c r="N92" i="18"/>
  <c r="N93" i="18"/>
  <c r="N94" i="18"/>
  <c r="N95" i="18"/>
  <c r="O87" i="18"/>
  <c r="O88" i="18"/>
  <c r="O89" i="18"/>
  <c r="O90" i="18"/>
  <c r="O91" i="18"/>
  <c r="O92" i="18"/>
  <c r="O93" i="18"/>
  <c r="O94" i="18"/>
  <c r="O95" i="18"/>
  <c r="D201" i="1"/>
  <c r="E201" i="1"/>
  <c r="I201" i="1" s="1"/>
  <c r="H201" i="1"/>
  <c r="D200" i="1"/>
  <c r="E200" i="1"/>
  <c r="I200" i="1" s="1"/>
  <c r="H200" i="1"/>
  <c r="D130" i="1"/>
  <c r="E130" i="1"/>
  <c r="F130" i="1" s="1"/>
  <c r="H130" i="1"/>
  <c r="A182" i="1"/>
  <c r="D182" i="1"/>
  <c r="E182" i="1"/>
  <c r="I182" i="1" s="1"/>
  <c r="H182" i="1"/>
  <c r="A6" i="1"/>
  <c r="D21" i="1"/>
  <c r="E21" i="1"/>
  <c r="I21" i="1" s="1"/>
  <c r="H21" i="1"/>
  <c r="D6" i="1"/>
  <c r="E6" i="1"/>
  <c r="I6" i="1" s="1"/>
  <c r="H6" i="1"/>
  <c r="D142" i="1"/>
  <c r="E142" i="1"/>
  <c r="I142" i="1" s="1"/>
  <c r="H142" i="1"/>
  <c r="D84" i="1"/>
  <c r="E84" i="1"/>
  <c r="I84" i="1" s="1"/>
  <c r="H84" i="1"/>
  <c r="D166" i="1"/>
  <c r="E166" i="1"/>
  <c r="F166" i="1" s="1"/>
  <c r="H166" i="1"/>
  <c r="D113" i="1"/>
  <c r="E113" i="1"/>
  <c r="F113" i="1" s="1"/>
  <c r="H113" i="1"/>
  <c r="D192" i="1"/>
  <c r="E192" i="1"/>
  <c r="F192" i="1" s="1"/>
  <c r="H192" i="1"/>
  <c r="D170" i="1"/>
  <c r="E170" i="1"/>
  <c r="I170" i="1" s="1"/>
  <c r="H170" i="1"/>
  <c r="D93" i="1"/>
  <c r="E93" i="1"/>
  <c r="I93" i="1" s="1"/>
  <c r="H93" i="1"/>
  <c r="D106" i="1"/>
  <c r="E106" i="1"/>
  <c r="I106" i="1" s="1"/>
  <c r="H106" i="1"/>
  <c r="AB2" i="17"/>
  <c r="AB3" i="17"/>
  <c r="AB4" i="17"/>
  <c r="AB5" i="17"/>
  <c r="AB6" i="17"/>
  <c r="AB7" i="17"/>
  <c r="AB8" i="17"/>
  <c r="AB9" i="17"/>
  <c r="AB10" i="17"/>
  <c r="AB11" i="17"/>
  <c r="AB12" i="17"/>
  <c r="AB13" i="17"/>
  <c r="AB14" i="17"/>
  <c r="AB15" i="17"/>
  <c r="AB16" i="17"/>
  <c r="AB17" i="17"/>
  <c r="AB18" i="17"/>
  <c r="AB19" i="17"/>
  <c r="AB20" i="17"/>
  <c r="AB21" i="17"/>
  <c r="AB22" i="17"/>
  <c r="AB23" i="17"/>
  <c r="AB24" i="17"/>
  <c r="AB25" i="17"/>
  <c r="AB26" i="17"/>
  <c r="AB27" i="17"/>
  <c r="AB28" i="17"/>
  <c r="AB29" i="17"/>
  <c r="AB30" i="17"/>
  <c r="AB31" i="17"/>
  <c r="AB32" i="17"/>
  <c r="AB33" i="17"/>
  <c r="AB34" i="17"/>
  <c r="AB35" i="17"/>
  <c r="AB36" i="17"/>
  <c r="AB37" i="17"/>
  <c r="AB38" i="17"/>
  <c r="AB39" i="17"/>
  <c r="AB40" i="17"/>
  <c r="AB41" i="17"/>
  <c r="AB42" i="17"/>
  <c r="AB43" i="17"/>
  <c r="AB44" i="17"/>
  <c r="AB45" i="17"/>
  <c r="AB46" i="17"/>
  <c r="AB47" i="17"/>
  <c r="AB48" i="17"/>
  <c r="AB49" i="17"/>
  <c r="AB50" i="17"/>
  <c r="AB51" i="17"/>
  <c r="AB52" i="17"/>
  <c r="AB53" i="17"/>
  <c r="AB54" i="17"/>
  <c r="AB55" i="17"/>
  <c r="AB56" i="17"/>
  <c r="AB57" i="17"/>
  <c r="AB58" i="17"/>
  <c r="AB59" i="17"/>
  <c r="AB60" i="17"/>
  <c r="AB61" i="17"/>
  <c r="AB62" i="17"/>
  <c r="AB63" i="17"/>
  <c r="AB64" i="17"/>
  <c r="AB65" i="17"/>
  <c r="AB66" i="17"/>
  <c r="AB67" i="17"/>
  <c r="AB68" i="17"/>
  <c r="AB69" i="17"/>
  <c r="AB70" i="17"/>
  <c r="AB71" i="17"/>
  <c r="AB72" i="17"/>
  <c r="AB73" i="17"/>
  <c r="AB74" i="17"/>
  <c r="AB75" i="17"/>
  <c r="AB76" i="17"/>
  <c r="AB77" i="17"/>
  <c r="AB78" i="17"/>
  <c r="AB79" i="17"/>
  <c r="AB80" i="17"/>
  <c r="AB81" i="17"/>
  <c r="AB82" i="17"/>
  <c r="AB83" i="17"/>
  <c r="AB84" i="17"/>
  <c r="AB85" i="17"/>
  <c r="AB86" i="17"/>
  <c r="AB87" i="17"/>
  <c r="AB88" i="17"/>
  <c r="AB89" i="17"/>
  <c r="AB90" i="17"/>
  <c r="AB91" i="17"/>
  <c r="AB92" i="17"/>
  <c r="AB93" i="17"/>
  <c r="AB94" i="17"/>
  <c r="AB95" i="17"/>
  <c r="AB96" i="17"/>
  <c r="AB97" i="17"/>
  <c r="AB98" i="17"/>
  <c r="AB99" i="17"/>
  <c r="AB100" i="17"/>
  <c r="AB101" i="17"/>
  <c r="AB102" i="17"/>
  <c r="AB103" i="17"/>
  <c r="AB104" i="17"/>
  <c r="AB105" i="17"/>
  <c r="AB106" i="17"/>
  <c r="AB107" i="17"/>
  <c r="AB108" i="17"/>
  <c r="AB109" i="17"/>
  <c r="AB110" i="17"/>
  <c r="AB111" i="17"/>
  <c r="AB112" i="17"/>
  <c r="AB113" i="17"/>
  <c r="AB114" i="17"/>
  <c r="AB115" i="17"/>
  <c r="AB116" i="17"/>
  <c r="AB117" i="17"/>
  <c r="AB118" i="17"/>
  <c r="AB119" i="17"/>
  <c r="AB120" i="17"/>
  <c r="AB121" i="17"/>
  <c r="AB122" i="17"/>
  <c r="AB123" i="17"/>
  <c r="AB124" i="17"/>
  <c r="AB125" i="17"/>
  <c r="AB126" i="17"/>
  <c r="AB127" i="17"/>
  <c r="AB128" i="17"/>
  <c r="AB129" i="17"/>
  <c r="AB130" i="17"/>
  <c r="AB131" i="17"/>
  <c r="AB132" i="17"/>
  <c r="AB133" i="17"/>
  <c r="AB134" i="17"/>
  <c r="AB135" i="17"/>
  <c r="AB136" i="17"/>
  <c r="AB137" i="17"/>
  <c r="AB138" i="17"/>
  <c r="AB139" i="17"/>
  <c r="AB140" i="17"/>
  <c r="AB141" i="17"/>
  <c r="AB142" i="17"/>
  <c r="AB143" i="17"/>
  <c r="AB144" i="17"/>
  <c r="AB145" i="17"/>
  <c r="AB146" i="17"/>
  <c r="AB147" i="17"/>
  <c r="AB148" i="17"/>
  <c r="AB149" i="17"/>
  <c r="AB150" i="17"/>
  <c r="AB151" i="17"/>
  <c r="AB152" i="17"/>
  <c r="AB153" i="17"/>
  <c r="AB154" i="17"/>
  <c r="AB155" i="17"/>
  <c r="AB156" i="17"/>
  <c r="AB157" i="17"/>
  <c r="AB158" i="17"/>
  <c r="AB159" i="17"/>
  <c r="AB160" i="17"/>
  <c r="AB161" i="17"/>
  <c r="AB162" i="17"/>
  <c r="AB163" i="17"/>
  <c r="AB164" i="17"/>
  <c r="AB165" i="17"/>
  <c r="AB166" i="17"/>
  <c r="AB167" i="17"/>
  <c r="AB168" i="17"/>
  <c r="AB169" i="17"/>
  <c r="AB170" i="17"/>
  <c r="AB171" i="17"/>
  <c r="AB172" i="17"/>
  <c r="AB173" i="17"/>
  <c r="AB174" i="17"/>
  <c r="AB175" i="17"/>
  <c r="AB176" i="17"/>
  <c r="AB177" i="17"/>
  <c r="AB178" i="17"/>
  <c r="AB179" i="17"/>
  <c r="AB180" i="17"/>
  <c r="AB181" i="17"/>
  <c r="AB182" i="17"/>
  <c r="AB183" i="17"/>
  <c r="AB184" i="17"/>
  <c r="AB185" i="17"/>
  <c r="AB186" i="17"/>
  <c r="AB187" i="17"/>
  <c r="D158" i="1"/>
  <c r="E158" i="1"/>
  <c r="F158" i="1" s="1"/>
  <c r="H158" i="1"/>
  <c r="D38" i="1"/>
  <c r="E38" i="1"/>
  <c r="I38" i="1" s="1"/>
  <c r="H38" i="1"/>
  <c r="D151" i="1"/>
  <c r="E151" i="1"/>
  <c r="F151" i="1" s="1"/>
  <c r="H151" i="1"/>
  <c r="D119" i="1"/>
  <c r="E119" i="1"/>
  <c r="I119" i="1" s="1"/>
  <c r="H119" i="1"/>
  <c r="D35" i="1"/>
  <c r="E35" i="1"/>
  <c r="F35" i="1" s="1"/>
  <c r="H35" i="1"/>
  <c r="D51" i="1"/>
  <c r="E51" i="1"/>
  <c r="I51" i="1" s="1"/>
  <c r="H51" i="1"/>
  <c r="D60" i="1"/>
  <c r="E60" i="1"/>
  <c r="F60" i="1" s="1"/>
  <c r="H60" i="1"/>
  <c r="D164" i="1"/>
  <c r="E164" i="1"/>
  <c r="I164" i="1" s="1"/>
  <c r="H164" i="1"/>
  <c r="O1" i="1" a="1"/>
  <c r="O1" i="1" s="1"/>
  <c r="H2" i="1"/>
  <c r="H3" i="1"/>
  <c r="H4" i="1"/>
  <c r="H5" i="1"/>
  <c r="H7" i="1"/>
  <c r="H8" i="1"/>
  <c r="H9" i="1"/>
  <c r="H10" i="1"/>
  <c r="H11" i="1"/>
  <c r="H13" i="1"/>
  <c r="H14" i="1"/>
  <c r="H15" i="1"/>
  <c r="H16" i="1"/>
  <c r="H17" i="1"/>
  <c r="H18" i="1"/>
  <c r="H19" i="1"/>
  <c r="H20" i="1"/>
  <c r="H22" i="1"/>
  <c r="H23" i="1"/>
  <c r="H24" i="1"/>
  <c r="H25" i="1"/>
  <c r="H26" i="1"/>
  <c r="H27" i="1"/>
  <c r="H28" i="1"/>
  <c r="H29" i="1"/>
  <c r="H30" i="1"/>
  <c r="H31" i="1"/>
  <c r="H32" i="1"/>
  <c r="H33" i="1"/>
  <c r="H34" i="1"/>
  <c r="H36" i="1"/>
  <c r="H37" i="1"/>
  <c r="H39" i="1"/>
  <c r="H40" i="1"/>
  <c r="H41" i="1"/>
  <c r="H42" i="1"/>
  <c r="H43" i="1"/>
  <c r="H44" i="1"/>
  <c r="H45" i="1"/>
  <c r="H46" i="1"/>
  <c r="H47" i="1"/>
  <c r="H48" i="1"/>
  <c r="H49" i="1"/>
  <c r="H50" i="1"/>
  <c r="H52" i="1"/>
  <c r="H53" i="1"/>
  <c r="H54" i="1"/>
  <c r="H55" i="1"/>
  <c r="H56" i="1"/>
  <c r="H57" i="1"/>
  <c r="H58" i="1"/>
  <c r="H59" i="1"/>
  <c r="H61" i="1"/>
  <c r="H62" i="1"/>
  <c r="H63" i="1"/>
  <c r="H64" i="1"/>
  <c r="H65" i="1"/>
  <c r="H66" i="1"/>
  <c r="H67" i="1"/>
  <c r="H68" i="1"/>
  <c r="H69" i="1"/>
  <c r="H70" i="1"/>
  <c r="H71" i="1"/>
  <c r="H72" i="1"/>
  <c r="H73" i="1"/>
  <c r="H75" i="1"/>
  <c r="H76" i="1"/>
  <c r="H77" i="1"/>
  <c r="H78" i="1"/>
  <c r="H79" i="1"/>
  <c r="H80" i="1"/>
  <c r="H81" i="1"/>
  <c r="H82" i="1"/>
  <c r="H83" i="1"/>
  <c r="H85" i="1"/>
  <c r="H86" i="1"/>
  <c r="H87" i="1"/>
  <c r="H88" i="1"/>
  <c r="H89" i="1"/>
  <c r="H90" i="1"/>
  <c r="H91" i="1"/>
  <c r="H94" i="1"/>
  <c r="H95" i="1"/>
  <c r="H96" i="1"/>
  <c r="H97" i="1"/>
  <c r="H99" i="1"/>
  <c r="H100" i="1"/>
  <c r="H101" i="1"/>
  <c r="H102" i="1"/>
  <c r="H103" i="1"/>
  <c r="H104" i="1"/>
  <c r="H105" i="1"/>
  <c r="H107" i="1"/>
  <c r="H108" i="1"/>
  <c r="H109" i="1"/>
  <c r="H110" i="1"/>
  <c r="H111" i="1"/>
  <c r="H112" i="1"/>
  <c r="H114" i="1"/>
  <c r="H115" i="1"/>
  <c r="H116" i="1"/>
  <c r="H117" i="1"/>
  <c r="H118" i="1"/>
  <c r="H121" i="1"/>
  <c r="H122" i="1"/>
  <c r="H123" i="1"/>
  <c r="H124" i="1"/>
  <c r="H125" i="1"/>
  <c r="H126" i="1"/>
  <c r="H127" i="1"/>
  <c r="H128" i="1"/>
  <c r="H129" i="1"/>
  <c r="H131" i="1"/>
  <c r="H132" i="1"/>
  <c r="H133" i="1"/>
  <c r="H134" i="1"/>
  <c r="H135" i="1"/>
  <c r="H136" i="1"/>
  <c r="H137" i="1"/>
  <c r="H138" i="1"/>
  <c r="H139" i="1"/>
  <c r="H140" i="1"/>
  <c r="H141" i="1"/>
  <c r="H143" i="1"/>
  <c r="H144" i="1"/>
  <c r="H145" i="1"/>
  <c r="H146" i="1"/>
  <c r="H147" i="1"/>
  <c r="H148" i="1"/>
  <c r="H149" i="1"/>
  <c r="H150" i="1"/>
  <c r="H152" i="1"/>
  <c r="H154" i="1"/>
  <c r="H155" i="1"/>
  <c r="H156" i="1"/>
  <c r="H157" i="1"/>
  <c r="H159" i="1"/>
  <c r="H160" i="1"/>
  <c r="H161" i="1"/>
  <c r="H162" i="1"/>
  <c r="H163" i="1"/>
  <c r="H165" i="1"/>
  <c r="H167" i="1"/>
  <c r="H168" i="1"/>
  <c r="H169" i="1"/>
  <c r="H171" i="1"/>
  <c r="H172" i="1"/>
  <c r="H173" i="1"/>
  <c r="H174" i="1"/>
  <c r="H175" i="1"/>
  <c r="H176" i="1"/>
  <c r="H177" i="1"/>
  <c r="H178" i="1"/>
  <c r="H179" i="1"/>
  <c r="H180" i="1"/>
  <c r="H181" i="1"/>
  <c r="H183" i="1"/>
  <c r="H184" i="1"/>
  <c r="H185" i="1"/>
  <c r="H186" i="1"/>
  <c r="H187" i="1"/>
  <c r="H188" i="1"/>
  <c r="H189" i="1"/>
  <c r="H190" i="1"/>
  <c r="H191" i="1"/>
  <c r="H193" i="1"/>
  <c r="H194" i="1"/>
  <c r="H195" i="1"/>
  <c r="H196" i="1"/>
  <c r="H197" i="1"/>
  <c r="H198" i="1"/>
  <c r="H199" i="1"/>
  <c r="H92" i="1"/>
  <c r="H12" i="1"/>
  <c r="H74" i="1"/>
  <c r="H120" i="1"/>
  <c r="H153" i="1"/>
  <c r="H98" i="1"/>
  <c r="D98" i="1"/>
  <c r="E98" i="1"/>
  <c r="F98" i="1" s="1"/>
  <c r="D153" i="1"/>
  <c r="E153" i="1"/>
  <c r="I153" i="1" s="1"/>
  <c r="D17" i="1"/>
  <c r="D19" i="1"/>
  <c r="D49" i="1"/>
  <c r="D61" i="1"/>
  <c r="D67" i="1"/>
  <c r="D69" i="1"/>
  <c r="D97" i="1"/>
  <c r="D101" i="1"/>
  <c r="D102" i="1"/>
  <c r="D107" i="1"/>
  <c r="D112" i="1"/>
  <c r="D126" i="1"/>
  <c r="D136" i="1"/>
  <c r="D154" i="1"/>
  <c r="D157" i="1"/>
  <c r="D187" i="1"/>
  <c r="D189" i="1"/>
  <c r="D198" i="1"/>
  <c r="D92" i="1"/>
  <c r="D12" i="1"/>
  <c r="D74" i="1"/>
  <c r="D120" i="1"/>
  <c r="N2" i="18"/>
  <c r="N3" i="18"/>
  <c r="N4" i="18"/>
  <c r="N5" i="18"/>
  <c r="N6" i="18"/>
  <c r="N7" i="18"/>
  <c r="N8" i="18"/>
  <c r="N9" i="18"/>
  <c r="N10" i="18"/>
  <c r="N11" i="18"/>
  <c r="N12" i="18"/>
  <c r="N13" i="18"/>
  <c r="N14" i="18"/>
  <c r="N15" i="18"/>
  <c r="N16" i="18"/>
  <c r="N17" i="18"/>
  <c r="N18" i="18"/>
  <c r="N19" i="18"/>
  <c r="N20" i="18"/>
  <c r="N21" i="18"/>
  <c r="N22" i="18"/>
  <c r="N23" i="18"/>
  <c r="N24" i="18"/>
  <c r="N25" i="18"/>
  <c r="N26" i="18"/>
  <c r="N27" i="18"/>
  <c r="N28" i="18"/>
  <c r="N29" i="18"/>
  <c r="N30" i="18"/>
  <c r="N31" i="18"/>
  <c r="N32" i="18"/>
  <c r="N33" i="18"/>
  <c r="N34" i="18"/>
  <c r="N35" i="18"/>
  <c r="N36" i="18"/>
  <c r="N37" i="18"/>
  <c r="N38" i="18"/>
  <c r="N39" i="18"/>
  <c r="N40" i="18"/>
  <c r="N41" i="18"/>
  <c r="N42" i="18"/>
  <c r="N43" i="18"/>
  <c r="N44" i="18"/>
  <c r="N45" i="18"/>
  <c r="N46" i="18"/>
  <c r="N47" i="18"/>
  <c r="N48" i="18"/>
  <c r="N49" i="18"/>
  <c r="N50" i="18"/>
  <c r="N51" i="18"/>
  <c r="N52" i="18"/>
  <c r="N53" i="18"/>
  <c r="N54" i="18"/>
  <c r="N55" i="18"/>
  <c r="N56" i="18"/>
  <c r="N57" i="18"/>
  <c r="N58" i="18"/>
  <c r="N59" i="18"/>
  <c r="N60" i="18"/>
  <c r="N61" i="18"/>
  <c r="N62" i="18"/>
  <c r="N63" i="18"/>
  <c r="N64" i="18"/>
  <c r="N65" i="18"/>
  <c r="N66" i="18"/>
  <c r="N67" i="18"/>
  <c r="N68" i="18"/>
  <c r="N69" i="18"/>
  <c r="N70" i="18"/>
  <c r="N71" i="18"/>
  <c r="N72" i="18"/>
  <c r="N73" i="18"/>
  <c r="N74" i="18"/>
  <c r="N75" i="18"/>
  <c r="N76" i="18"/>
  <c r="N77" i="18"/>
  <c r="N78" i="18"/>
  <c r="N79" i="18"/>
  <c r="N80" i="18"/>
  <c r="N81" i="18"/>
  <c r="N82" i="18"/>
  <c r="N83" i="18"/>
  <c r="N84" i="18"/>
  <c r="N85" i="18"/>
  <c r="N86" i="18"/>
  <c r="E120" i="1"/>
  <c r="F120" i="1" s="1"/>
  <c r="C79" i="11"/>
  <c r="C80" i="11"/>
  <c r="C78" i="11"/>
  <c r="C77" i="11"/>
  <c r="C76" i="11"/>
  <c r="C75" i="11"/>
  <c r="E74" i="1"/>
  <c r="I74" i="1" s="1"/>
  <c r="E12" i="1"/>
  <c r="I12" i="1" s="1"/>
  <c r="G231" i="15"/>
  <c r="G230" i="15"/>
  <c r="F31" i="18"/>
  <c r="F70" i="18"/>
  <c r="F38" i="18"/>
  <c r="F76" i="18"/>
  <c r="F64" i="18"/>
  <c r="F41" i="18"/>
  <c r="F22" i="18"/>
  <c r="F18" i="18"/>
  <c r="F5" i="18"/>
  <c r="F10" i="18"/>
  <c r="F23" i="18"/>
  <c r="F3" i="18"/>
  <c r="F85" i="18"/>
  <c r="F16" i="18"/>
  <c r="F13" i="18"/>
  <c r="F75" i="18"/>
  <c r="F71" i="18"/>
  <c r="F44" i="18"/>
  <c r="F25" i="18"/>
  <c r="F34" i="18"/>
  <c r="F6" i="18"/>
  <c r="F56" i="18"/>
  <c r="F8" i="18"/>
  <c r="F52" i="18"/>
  <c r="F53" i="18"/>
  <c r="F78" i="18"/>
  <c r="F19" i="18"/>
  <c r="F14" i="18"/>
  <c r="F77" i="18"/>
  <c r="F61" i="18"/>
  <c r="F21" i="18"/>
  <c r="F30" i="18"/>
  <c r="F59" i="18"/>
  <c r="F27" i="18"/>
  <c r="F84" i="18"/>
  <c r="F20" i="18"/>
  <c r="F32" i="18"/>
  <c r="F54" i="18"/>
  <c r="F83" i="18"/>
  <c r="F86" i="18"/>
  <c r="F69" i="18"/>
  <c r="F73" i="18"/>
  <c r="F48" i="18"/>
  <c r="F82" i="18"/>
  <c r="F55" i="18"/>
  <c r="F28" i="18"/>
  <c r="F50" i="18"/>
  <c r="F9" i="18"/>
  <c r="F60" i="18"/>
  <c r="F74" i="18"/>
  <c r="F15" i="18"/>
  <c r="F12" i="18"/>
  <c r="F67" i="18"/>
  <c r="F36" i="18"/>
  <c r="F35" i="18"/>
  <c r="F24" i="18"/>
  <c r="F68" i="18"/>
  <c r="F51" i="18"/>
  <c r="F2" i="18"/>
  <c r="F63" i="18"/>
  <c r="F17" i="18"/>
  <c r="F58" i="18"/>
  <c r="F81" i="18"/>
  <c r="F45" i="18"/>
  <c r="F7" i="18"/>
  <c r="F11" i="18"/>
  <c r="F65" i="18"/>
  <c r="F40" i="18"/>
  <c r="F49" i="18"/>
  <c r="F4" i="18"/>
  <c r="F72" i="18"/>
  <c r="F42" i="18"/>
  <c r="F29" i="18"/>
  <c r="F26" i="18"/>
  <c r="F79" i="18"/>
  <c r="F62" i="18"/>
  <c r="F57" i="18"/>
  <c r="F43" i="18"/>
  <c r="F33" i="18"/>
  <c r="F39" i="18"/>
  <c r="F46" i="18"/>
  <c r="F37" i="18"/>
  <c r="F47" i="18"/>
  <c r="F80" i="18"/>
  <c r="F66" i="18"/>
  <c r="E31" i="18"/>
  <c r="E70" i="18"/>
  <c r="E38" i="18"/>
  <c r="E76" i="18"/>
  <c r="E64" i="18"/>
  <c r="E41" i="18"/>
  <c r="E22" i="18"/>
  <c r="E18" i="18"/>
  <c r="E5" i="18"/>
  <c r="E10" i="18"/>
  <c r="E23" i="18"/>
  <c r="E3" i="18"/>
  <c r="E85" i="18"/>
  <c r="E16" i="18"/>
  <c r="E13" i="18"/>
  <c r="E75" i="18"/>
  <c r="E71" i="18"/>
  <c r="E44" i="18"/>
  <c r="E25" i="18"/>
  <c r="E34" i="18"/>
  <c r="E6" i="18"/>
  <c r="E56" i="18"/>
  <c r="E8" i="18"/>
  <c r="E52" i="18"/>
  <c r="E53" i="18"/>
  <c r="E78" i="18"/>
  <c r="E19" i="18"/>
  <c r="E14" i="18"/>
  <c r="E77" i="18"/>
  <c r="E61" i="18"/>
  <c r="E21" i="18"/>
  <c r="E30" i="18"/>
  <c r="E59" i="18"/>
  <c r="E27" i="18"/>
  <c r="E84" i="18"/>
  <c r="E20" i="18"/>
  <c r="E32" i="18"/>
  <c r="E54" i="18"/>
  <c r="E83" i="18"/>
  <c r="E86" i="18"/>
  <c r="E69" i="18"/>
  <c r="E73" i="18"/>
  <c r="E48" i="18"/>
  <c r="E82" i="18"/>
  <c r="E55" i="18"/>
  <c r="E28" i="18"/>
  <c r="E50" i="18"/>
  <c r="E9" i="18"/>
  <c r="E60" i="18"/>
  <c r="E74" i="18"/>
  <c r="E15" i="18"/>
  <c r="E12" i="18"/>
  <c r="E67" i="18"/>
  <c r="E36" i="18"/>
  <c r="E35" i="18"/>
  <c r="E24" i="18"/>
  <c r="E68" i="18"/>
  <c r="E51" i="18"/>
  <c r="E2" i="18"/>
  <c r="E63" i="18"/>
  <c r="E17" i="18"/>
  <c r="E58" i="18"/>
  <c r="E81" i="18"/>
  <c r="E45" i="18"/>
  <c r="E7" i="18"/>
  <c r="E11" i="18"/>
  <c r="E65" i="18"/>
  <c r="E40" i="18"/>
  <c r="E49" i="18"/>
  <c r="E4" i="18"/>
  <c r="E72" i="18"/>
  <c r="E42" i="18"/>
  <c r="E29" i="18"/>
  <c r="E26" i="18"/>
  <c r="E79" i="18"/>
  <c r="E62" i="18"/>
  <c r="E57" i="18"/>
  <c r="E43" i="18"/>
  <c r="E33" i="18"/>
  <c r="E39" i="18"/>
  <c r="E46" i="18"/>
  <c r="E37" i="18"/>
  <c r="E47" i="18"/>
  <c r="E80" i="18"/>
  <c r="E66" i="18"/>
  <c r="E92" i="1"/>
  <c r="I92" i="1" s="1"/>
  <c r="G13" i="15"/>
  <c r="G102" i="15"/>
  <c r="G2" i="15"/>
  <c r="G3" i="15"/>
  <c r="G4" i="15"/>
  <c r="G5" i="15"/>
  <c r="G103" i="15"/>
  <c r="G104" i="15"/>
  <c r="G6" i="15"/>
  <c r="G7" i="15"/>
  <c r="G8" i="15"/>
  <c r="G105" i="15"/>
  <c r="G106" i="15"/>
  <c r="G107" i="15"/>
  <c r="G9" i="15"/>
  <c r="G108" i="15"/>
  <c r="G109" i="15"/>
  <c r="G10" i="15"/>
  <c r="G11" i="15"/>
  <c r="G110" i="15"/>
  <c r="G12" i="15"/>
  <c r="G111" i="15"/>
  <c r="G112" i="15"/>
  <c r="G113" i="15"/>
  <c r="G114" i="15"/>
  <c r="G14" i="15"/>
  <c r="G15" i="15"/>
  <c r="G115" i="15"/>
  <c r="G116" i="15"/>
  <c r="G16" i="15"/>
  <c r="G117" i="15"/>
  <c r="G17" i="15"/>
  <c r="G118" i="15"/>
  <c r="G18" i="15"/>
  <c r="G119" i="15"/>
  <c r="G120" i="15"/>
  <c r="G121" i="15"/>
  <c r="G122" i="15"/>
  <c r="G19" i="15"/>
  <c r="G123" i="15"/>
  <c r="G124" i="15"/>
  <c r="G20" i="15"/>
  <c r="G125" i="15"/>
  <c r="G21" i="15"/>
  <c r="G22" i="15"/>
  <c r="G23" i="15"/>
  <c r="G126" i="15"/>
  <c r="G127" i="15"/>
  <c r="G128" i="15"/>
  <c r="G129" i="15"/>
  <c r="G130" i="15"/>
  <c r="G131" i="15"/>
  <c r="G132" i="15"/>
  <c r="G133" i="15"/>
  <c r="G24" i="15"/>
  <c r="G25" i="15"/>
  <c r="G26" i="15"/>
  <c r="G27" i="15"/>
  <c r="G28" i="15"/>
  <c r="G29" i="15"/>
  <c r="G30" i="15"/>
  <c r="G134" i="15"/>
  <c r="G31" i="15"/>
  <c r="G135" i="15"/>
  <c r="G32" i="15"/>
  <c r="G136" i="15"/>
  <c r="G33" i="15"/>
  <c r="G34" i="15"/>
  <c r="G137" i="15"/>
  <c r="G138" i="15"/>
  <c r="G139" i="15"/>
  <c r="G140" i="15"/>
  <c r="G141" i="15"/>
  <c r="G142" i="15"/>
  <c r="G35" i="15"/>
  <c r="G36" i="15"/>
  <c r="G143" i="15"/>
  <c r="G144" i="15"/>
  <c r="G37" i="15"/>
  <c r="G145" i="15"/>
  <c r="G38" i="15"/>
  <c r="G39" i="15"/>
  <c r="G146" i="15"/>
  <c r="G147" i="15"/>
  <c r="G148" i="15"/>
  <c r="G149" i="15"/>
  <c r="G40" i="15"/>
  <c r="G150" i="15"/>
  <c r="G151" i="15"/>
  <c r="G41" i="15"/>
  <c r="G152" i="15"/>
  <c r="G153" i="15"/>
  <c r="G154" i="15"/>
  <c r="G155" i="15"/>
  <c r="G156" i="15"/>
  <c r="G42" i="15"/>
  <c r="G157" i="15"/>
  <c r="G158" i="15"/>
  <c r="G43" i="15"/>
  <c r="G44" i="15"/>
  <c r="G159" i="15"/>
  <c r="G45" i="15"/>
  <c r="G160" i="15"/>
  <c r="G161" i="15"/>
  <c r="G46" i="15"/>
  <c r="G47" i="15"/>
  <c r="G48" i="15"/>
  <c r="G162" i="15"/>
  <c r="G49" i="15"/>
  <c r="G50" i="15"/>
  <c r="G51" i="15"/>
  <c r="G163" i="15"/>
  <c r="G164" i="15"/>
  <c r="G165" i="15"/>
  <c r="G166" i="15"/>
  <c r="G52" i="15"/>
  <c r="G167" i="15"/>
  <c r="G53" i="15"/>
  <c r="G54" i="15"/>
  <c r="G55" i="15"/>
  <c r="G168" i="15"/>
  <c r="G169" i="15"/>
  <c r="G56" i="15"/>
  <c r="G170" i="15"/>
  <c r="G57" i="15"/>
  <c r="G171" i="15"/>
  <c r="G172" i="15"/>
  <c r="G173" i="15"/>
  <c r="G174" i="15"/>
  <c r="G175" i="15"/>
  <c r="G176" i="15"/>
  <c r="G177" i="15"/>
  <c r="G58" i="15"/>
  <c r="G178" i="15"/>
  <c r="G179" i="15"/>
  <c r="G59" i="15"/>
  <c r="G60" i="15"/>
  <c r="G61" i="15"/>
  <c r="G180" i="15"/>
  <c r="G181" i="15"/>
  <c r="G62" i="15"/>
  <c r="G63" i="15"/>
  <c r="G64" i="15"/>
  <c r="G182" i="15"/>
  <c r="G65" i="15"/>
  <c r="G183" i="15"/>
  <c r="G66" i="15"/>
  <c r="G184" i="15"/>
  <c r="G67" i="15"/>
  <c r="G68" i="15"/>
  <c r="G69" i="15"/>
  <c r="G185" i="15"/>
  <c r="G186" i="15"/>
  <c r="G187" i="15"/>
  <c r="G70" i="15"/>
  <c r="G188" i="15"/>
  <c r="G189" i="15"/>
  <c r="G71" i="15"/>
  <c r="G190" i="15"/>
  <c r="G72" i="15"/>
  <c r="G191" i="15"/>
  <c r="G192" i="15"/>
  <c r="G73" i="15"/>
  <c r="G74" i="15"/>
  <c r="G75" i="15"/>
  <c r="G76" i="15"/>
  <c r="G77" i="15"/>
  <c r="G193" i="15"/>
  <c r="G194" i="15"/>
  <c r="G78" i="15"/>
  <c r="G195" i="15"/>
  <c r="G196" i="15"/>
  <c r="G197" i="15"/>
  <c r="G79" i="15"/>
  <c r="G80" i="15"/>
  <c r="G198" i="15"/>
  <c r="G199" i="15"/>
  <c r="G200" i="15"/>
  <c r="G201" i="15"/>
  <c r="G81" i="15"/>
  <c r="G82" i="15"/>
  <c r="G202" i="15"/>
  <c r="G83" i="15"/>
  <c r="G203" i="15"/>
  <c r="G204" i="15"/>
  <c r="G205" i="15"/>
  <c r="G206" i="15"/>
  <c r="G84" i="15"/>
  <c r="G85" i="15"/>
  <c r="G207" i="15"/>
  <c r="G86" i="15"/>
  <c r="G208" i="15"/>
  <c r="G209" i="15"/>
  <c r="G210" i="15"/>
  <c r="G211" i="15"/>
  <c r="G87" i="15"/>
  <c r="G88" i="15"/>
  <c r="G212" i="15"/>
  <c r="G213" i="15"/>
  <c r="G214" i="15"/>
  <c r="G215" i="15"/>
  <c r="G216" i="15"/>
  <c r="G217" i="15"/>
  <c r="G89" i="15"/>
  <c r="G90" i="15"/>
  <c r="G91" i="15"/>
  <c r="G218" i="15"/>
  <c r="G219" i="15"/>
  <c r="G220" i="15"/>
  <c r="G92" i="15"/>
  <c r="G93" i="15"/>
  <c r="G221" i="15"/>
  <c r="G222" i="15"/>
  <c r="G223" i="15"/>
  <c r="G224" i="15"/>
  <c r="G94" i="15"/>
  <c r="G95" i="15"/>
  <c r="G225" i="15"/>
  <c r="G96" i="15"/>
  <c r="G226" i="15"/>
  <c r="G227" i="15"/>
  <c r="G97" i="15"/>
  <c r="G98" i="15"/>
  <c r="G228" i="15"/>
  <c r="G99" i="15"/>
  <c r="G100" i="15"/>
  <c r="G229" i="15"/>
  <c r="G101" i="15"/>
  <c r="O86" i="18"/>
  <c r="C86" i="18"/>
  <c r="O85" i="18"/>
  <c r="C85" i="18"/>
  <c r="O84" i="18"/>
  <c r="C84" i="18"/>
  <c r="O83" i="18"/>
  <c r="C83" i="18"/>
  <c r="O82" i="18"/>
  <c r="C82" i="18"/>
  <c r="O81" i="18"/>
  <c r="C81" i="18"/>
  <c r="O80" i="18"/>
  <c r="C80" i="18"/>
  <c r="O79" i="18"/>
  <c r="C79" i="18"/>
  <c r="O78" i="18"/>
  <c r="C78" i="18"/>
  <c r="O77" i="18"/>
  <c r="C77" i="18"/>
  <c r="O76" i="18"/>
  <c r="C76" i="18"/>
  <c r="O75" i="18"/>
  <c r="C75" i="18"/>
  <c r="O74" i="18"/>
  <c r="C74" i="18"/>
  <c r="O73" i="18"/>
  <c r="C73" i="18"/>
  <c r="O72" i="18"/>
  <c r="C72" i="18"/>
  <c r="O71" i="18"/>
  <c r="C71" i="18"/>
  <c r="O70" i="18"/>
  <c r="C70" i="18"/>
  <c r="O69" i="18"/>
  <c r="C69" i="18"/>
  <c r="O68" i="18"/>
  <c r="C68" i="18"/>
  <c r="O67" i="18"/>
  <c r="C67" i="18"/>
  <c r="O66" i="18"/>
  <c r="C66" i="18"/>
  <c r="O65" i="18"/>
  <c r="C65" i="18"/>
  <c r="O64" i="18"/>
  <c r="C64" i="18"/>
  <c r="O63" i="18"/>
  <c r="C63" i="18"/>
  <c r="O62" i="18"/>
  <c r="C62" i="18"/>
  <c r="O61" i="18"/>
  <c r="C61" i="18"/>
  <c r="O60" i="18"/>
  <c r="C60" i="18"/>
  <c r="O59" i="18"/>
  <c r="C59" i="18"/>
  <c r="O58" i="18"/>
  <c r="C58" i="18"/>
  <c r="O57" i="18"/>
  <c r="C57" i="18"/>
  <c r="O56" i="18"/>
  <c r="C56" i="18"/>
  <c r="O55" i="18"/>
  <c r="C55" i="18"/>
  <c r="O54" i="18"/>
  <c r="C54" i="18"/>
  <c r="O53" i="18"/>
  <c r="C53" i="18"/>
  <c r="O52" i="18"/>
  <c r="C52" i="18"/>
  <c r="O51" i="18"/>
  <c r="C51" i="18"/>
  <c r="O50" i="18"/>
  <c r="C50" i="18"/>
  <c r="O49" i="18"/>
  <c r="C49" i="18"/>
  <c r="O48" i="18"/>
  <c r="C48" i="18"/>
  <c r="O47" i="18"/>
  <c r="C47" i="18"/>
  <c r="O46" i="18"/>
  <c r="C46" i="18"/>
  <c r="O45" i="18"/>
  <c r="C45" i="18"/>
  <c r="O44" i="18"/>
  <c r="C44" i="18"/>
  <c r="O43" i="18"/>
  <c r="C43" i="18"/>
  <c r="O42" i="18"/>
  <c r="C42" i="18"/>
  <c r="O41" i="18"/>
  <c r="C41" i="18"/>
  <c r="O40" i="18"/>
  <c r="C40" i="18"/>
  <c r="O39" i="18"/>
  <c r="C39" i="18"/>
  <c r="O38" i="18"/>
  <c r="C38" i="18"/>
  <c r="O37" i="18"/>
  <c r="C37" i="18"/>
  <c r="O36" i="18"/>
  <c r="C36" i="18"/>
  <c r="O35" i="18"/>
  <c r="C35" i="18"/>
  <c r="O34" i="18"/>
  <c r="C34" i="18"/>
  <c r="O33" i="18"/>
  <c r="C33" i="18"/>
  <c r="O32" i="18"/>
  <c r="C32" i="18"/>
  <c r="O31" i="18"/>
  <c r="C31" i="18"/>
  <c r="O30" i="18"/>
  <c r="C30" i="18"/>
  <c r="O29" i="18"/>
  <c r="C29" i="18"/>
  <c r="O28" i="18"/>
  <c r="C28" i="18"/>
  <c r="O27" i="18"/>
  <c r="C27" i="18"/>
  <c r="O26" i="18"/>
  <c r="C26" i="18"/>
  <c r="O25" i="18"/>
  <c r="C25" i="18"/>
  <c r="O24" i="18"/>
  <c r="C24" i="18"/>
  <c r="O23" i="18"/>
  <c r="C23" i="18"/>
  <c r="O22" i="18"/>
  <c r="C22" i="18"/>
  <c r="O21" i="18"/>
  <c r="C21" i="18"/>
  <c r="O20" i="18"/>
  <c r="C20" i="18"/>
  <c r="O19" i="18"/>
  <c r="C19" i="18"/>
  <c r="O18" i="18"/>
  <c r="C18" i="18"/>
  <c r="O17" i="18"/>
  <c r="C17" i="18"/>
  <c r="O16" i="18"/>
  <c r="C16" i="18"/>
  <c r="O15" i="18"/>
  <c r="C15" i="18"/>
  <c r="O14" i="18"/>
  <c r="C14" i="18"/>
  <c r="O13" i="18"/>
  <c r="C13" i="18"/>
  <c r="O12" i="18"/>
  <c r="C12" i="18"/>
  <c r="O11" i="18"/>
  <c r="C11" i="18"/>
  <c r="O10" i="18"/>
  <c r="C10" i="18"/>
  <c r="O9" i="18"/>
  <c r="C9" i="18"/>
  <c r="O8" i="18"/>
  <c r="C8" i="18"/>
  <c r="O7" i="18"/>
  <c r="C7" i="18"/>
  <c r="O6" i="18"/>
  <c r="C6" i="18"/>
  <c r="O5" i="18"/>
  <c r="C5" i="18"/>
  <c r="O4" i="18"/>
  <c r="C4" i="18"/>
  <c r="O3" i="18"/>
  <c r="C3" i="18"/>
  <c r="O2" i="18"/>
  <c r="C2" i="18"/>
  <c r="C74" i="11"/>
  <c r="C73" i="11"/>
  <c r="C71" i="11"/>
  <c r="C69" i="11"/>
  <c r="C72" i="11"/>
  <c r="C70" i="11"/>
  <c r="C68" i="11"/>
  <c r="C52" i="11"/>
  <c r="C44" i="11"/>
  <c r="C40" i="11"/>
  <c r="C41" i="11"/>
  <c r="C42" i="11"/>
  <c r="C43" i="11"/>
  <c r="C45" i="11"/>
  <c r="C46" i="11"/>
  <c r="C47" i="11"/>
  <c r="C48" i="11"/>
  <c r="C49" i="11"/>
  <c r="C50" i="11"/>
  <c r="C51" i="11"/>
  <c r="C53" i="11"/>
  <c r="C54" i="11"/>
  <c r="C55" i="11"/>
  <c r="C56" i="11"/>
  <c r="C57" i="11"/>
  <c r="C58" i="11"/>
  <c r="C59" i="11"/>
  <c r="C60" i="11"/>
  <c r="C61" i="11"/>
  <c r="C62" i="11"/>
  <c r="C63" i="11"/>
  <c r="C64" i="11"/>
  <c r="C65" i="11"/>
  <c r="C66" i="11"/>
  <c r="C67" i="11"/>
  <c r="C2"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E154" i="1"/>
  <c r="I154" i="1" s="1"/>
  <c r="E67" i="1"/>
  <c r="I67" i="1" s="1"/>
  <c r="E157" i="1"/>
  <c r="F157" i="1" s="1"/>
  <c r="A126" i="1"/>
  <c r="E126" i="1"/>
  <c r="I126" i="1" s="1"/>
  <c r="E17" i="1"/>
  <c r="F17" i="1" s="1"/>
  <c r="E102" i="1"/>
  <c r="F102" i="1" s="1"/>
  <c r="E101" i="1"/>
  <c r="I101" i="1" s="1"/>
  <c r="E97" i="1"/>
  <c r="F97" i="1" s="1"/>
  <c r="E19" i="1"/>
  <c r="I19" i="1" s="1"/>
  <c r="E39" i="11"/>
  <c r="E36" i="11"/>
  <c r="E32" i="11"/>
  <c r="E61" i="1"/>
  <c r="I61" i="1" s="1"/>
  <c r="E69" i="1"/>
  <c r="F69" i="1" s="1"/>
  <c r="E107" i="1"/>
  <c r="F107" i="1" s="1"/>
  <c r="E187" i="1"/>
  <c r="F187" i="1" s="1"/>
  <c r="D167" i="1"/>
  <c r="E167" i="1"/>
  <c r="I167" i="1" s="1"/>
  <c r="E198" i="1"/>
  <c r="F198" i="1" s="1"/>
  <c r="E2" i="1"/>
  <c r="I2" i="1" s="1"/>
  <c r="E3" i="1"/>
  <c r="F3" i="1" s="1"/>
  <c r="E4" i="1"/>
  <c r="I4" i="1" s="1"/>
  <c r="E5" i="1"/>
  <c r="I5" i="1" s="1"/>
  <c r="E7" i="1"/>
  <c r="I7" i="1" s="1"/>
  <c r="E8" i="1"/>
  <c r="I8" i="1" s="1"/>
  <c r="E9" i="1"/>
  <c r="F9" i="1" s="1"/>
  <c r="E10" i="1"/>
  <c r="I10" i="1" s="1"/>
  <c r="E11" i="1"/>
  <c r="I11" i="1" s="1"/>
  <c r="E13" i="1"/>
  <c r="F13" i="1" s="1"/>
  <c r="E14" i="1"/>
  <c r="I14" i="1" s="1"/>
  <c r="E15" i="1"/>
  <c r="F15" i="1" s="1"/>
  <c r="E16" i="1"/>
  <c r="I16" i="1" s="1"/>
  <c r="E18" i="1"/>
  <c r="F18" i="1" s="1"/>
  <c r="E20" i="1"/>
  <c r="F20" i="1" s="1"/>
  <c r="E22" i="1"/>
  <c r="F22" i="1" s="1"/>
  <c r="E23" i="1"/>
  <c r="I23" i="1" s="1"/>
  <c r="E24" i="1"/>
  <c r="I24" i="1" s="1"/>
  <c r="E25" i="1"/>
  <c r="I25" i="1" s="1"/>
  <c r="E26" i="1"/>
  <c r="I26" i="1" s="1"/>
  <c r="E27" i="1"/>
  <c r="F27" i="1" s="1"/>
  <c r="E28" i="1"/>
  <c r="F28" i="1" s="1"/>
  <c r="E29" i="1"/>
  <c r="I29" i="1" s="1"/>
  <c r="E30" i="1"/>
  <c r="I30" i="1" s="1"/>
  <c r="E31" i="1"/>
  <c r="F31" i="1" s="1"/>
  <c r="E32" i="1"/>
  <c r="F32" i="1" s="1"/>
  <c r="E33" i="1"/>
  <c r="I33" i="1" s="1"/>
  <c r="E34" i="1"/>
  <c r="I34" i="1" s="1"/>
  <c r="E36" i="1"/>
  <c r="I36" i="1" s="1"/>
  <c r="E37" i="1"/>
  <c r="I37" i="1" s="1"/>
  <c r="E39" i="1"/>
  <c r="I39" i="1" s="1"/>
  <c r="E40" i="1"/>
  <c r="F40" i="1" s="1"/>
  <c r="E41" i="1"/>
  <c r="F41" i="1" s="1"/>
  <c r="E42" i="1"/>
  <c r="F42" i="1" s="1"/>
  <c r="E43" i="1"/>
  <c r="F43" i="1" s="1"/>
  <c r="E44" i="1"/>
  <c r="I44" i="1" s="1"/>
  <c r="E45" i="1"/>
  <c r="I45" i="1" s="1"/>
  <c r="E46" i="1"/>
  <c r="F46" i="1" s="1"/>
  <c r="E47" i="1"/>
  <c r="I47" i="1" s="1"/>
  <c r="E48" i="1"/>
  <c r="F48" i="1" s="1"/>
  <c r="E49" i="1"/>
  <c r="I49" i="1" s="1"/>
  <c r="E50" i="1"/>
  <c r="I50" i="1" s="1"/>
  <c r="E52" i="1"/>
  <c r="F52" i="1" s="1"/>
  <c r="E53" i="1"/>
  <c r="F53" i="1" s="1"/>
  <c r="E54" i="1"/>
  <c r="I54" i="1" s="1"/>
  <c r="E55" i="1"/>
  <c r="F55" i="1" s="1"/>
  <c r="E56" i="1"/>
  <c r="I56" i="1" s="1"/>
  <c r="E57" i="1"/>
  <c r="I57" i="1" s="1"/>
  <c r="E58" i="1"/>
  <c r="I58" i="1" s="1"/>
  <c r="E59" i="1"/>
  <c r="I59" i="1" s="1"/>
  <c r="E62" i="1"/>
  <c r="F62" i="1" s="1"/>
  <c r="E63" i="1"/>
  <c r="I63" i="1" s="1"/>
  <c r="E64" i="1"/>
  <c r="F64" i="1" s="1"/>
  <c r="E65" i="1"/>
  <c r="I65" i="1" s="1"/>
  <c r="E66" i="1"/>
  <c r="F66" i="1" s="1"/>
  <c r="E68" i="1"/>
  <c r="F68" i="1" s="1"/>
  <c r="E70" i="1"/>
  <c r="F70" i="1" s="1"/>
  <c r="E71" i="1"/>
  <c r="I71" i="1" s="1"/>
  <c r="E72" i="1"/>
  <c r="I72" i="1" s="1"/>
  <c r="E73" i="1"/>
  <c r="F73" i="1" s="1"/>
  <c r="E75" i="1"/>
  <c r="I75" i="1" s="1"/>
  <c r="E76" i="1"/>
  <c r="F76" i="1" s="1"/>
  <c r="E77" i="1"/>
  <c r="I77" i="1" s="1"/>
  <c r="E78" i="1"/>
  <c r="F78" i="1" s="1"/>
  <c r="E79" i="1"/>
  <c r="F79" i="1" s="1"/>
  <c r="E80" i="1"/>
  <c r="I80" i="1" s="1"/>
  <c r="E81" i="1"/>
  <c r="I81" i="1" s="1"/>
  <c r="E82" i="1"/>
  <c r="I82" i="1" s="1"/>
  <c r="E83" i="1"/>
  <c r="I83" i="1" s="1"/>
  <c r="E85" i="1"/>
  <c r="F85" i="1" s="1"/>
  <c r="E86" i="1"/>
  <c r="F86" i="1" s="1"/>
  <c r="E87" i="1"/>
  <c r="F87" i="1" s="1"/>
  <c r="E88" i="1"/>
  <c r="F88" i="1" s="1"/>
  <c r="E89" i="1"/>
  <c r="I89" i="1" s="1"/>
  <c r="E90" i="1"/>
  <c r="F90" i="1" s="1"/>
  <c r="E91" i="1"/>
  <c r="I91" i="1" s="1"/>
  <c r="E94" i="1"/>
  <c r="I94" i="1" s="1"/>
  <c r="E95" i="1"/>
  <c r="I95" i="1" s="1"/>
  <c r="E96" i="1"/>
  <c r="F96" i="1" s="1"/>
  <c r="E99" i="1"/>
  <c r="F99" i="1" s="1"/>
  <c r="E100" i="1"/>
  <c r="F100" i="1" s="1"/>
  <c r="E103" i="1"/>
  <c r="F103" i="1" s="1"/>
  <c r="E104" i="1"/>
  <c r="F104" i="1" s="1"/>
  <c r="E105" i="1"/>
  <c r="F105" i="1" s="1"/>
  <c r="E108" i="1"/>
  <c r="F108" i="1" s="1"/>
  <c r="E109" i="1"/>
  <c r="I109" i="1" s="1"/>
  <c r="E110" i="1"/>
  <c r="F110" i="1" s="1"/>
  <c r="E111" i="1"/>
  <c r="I111" i="1" s="1"/>
  <c r="E112" i="1"/>
  <c r="I112" i="1" s="1"/>
  <c r="E114" i="1"/>
  <c r="F114" i="1" s="1"/>
  <c r="E115" i="1"/>
  <c r="I115" i="1" s="1"/>
  <c r="E116" i="1"/>
  <c r="I116" i="1" s="1"/>
  <c r="E117" i="1"/>
  <c r="I117" i="1" s="1"/>
  <c r="E118" i="1"/>
  <c r="F118" i="1" s="1"/>
  <c r="E121" i="1"/>
  <c r="F121" i="1" s="1"/>
  <c r="E122" i="1"/>
  <c r="I122" i="1" s="1"/>
  <c r="E123" i="1"/>
  <c r="F123" i="1" s="1"/>
  <c r="E124" i="1"/>
  <c r="I124" i="1" s="1"/>
  <c r="E125" i="1"/>
  <c r="F125" i="1" s="1"/>
  <c r="E127" i="1"/>
  <c r="F127" i="1" s="1"/>
  <c r="E128" i="1"/>
  <c r="F128" i="1" s="1"/>
  <c r="E129" i="1"/>
  <c r="F129" i="1" s="1"/>
  <c r="E131" i="1"/>
  <c r="F131" i="1" s="1"/>
  <c r="E132" i="1"/>
  <c r="I132" i="1" s="1"/>
  <c r="E133" i="1"/>
  <c r="F133" i="1" s="1"/>
  <c r="E134" i="1"/>
  <c r="I134" i="1" s="1"/>
  <c r="E135" i="1"/>
  <c r="I135" i="1" s="1"/>
  <c r="E137" i="1"/>
  <c r="F137" i="1" s="1"/>
  <c r="E138" i="1"/>
  <c r="I138" i="1" s="1"/>
  <c r="E139" i="1"/>
  <c r="I139" i="1" s="1"/>
  <c r="E140" i="1"/>
  <c r="I140" i="1" s="1"/>
  <c r="E141" i="1"/>
  <c r="I141" i="1" s="1"/>
  <c r="E143" i="1"/>
  <c r="I143" i="1" s="1"/>
  <c r="E144" i="1"/>
  <c r="I144" i="1" s="1"/>
  <c r="E145" i="1"/>
  <c r="I145" i="1" s="1"/>
  <c r="E146" i="1"/>
  <c r="F146" i="1" s="1"/>
  <c r="E147" i="1"/>
  <c r="F147" i="1" s="1"/>
  <c r="E148" i="1"/>
  <c r="I148" i="1" s="1"/>
  <c r="E149" i="1"/>
  <c r="F149" i="1" s="1"/>
  <c r="E150" i="1"/>
  <c r="F150" i="1" s="1"/>
  <c r="E152" i="1"/>
  <c r="F152" i="1" s="1"/>
  <c r="E155" i="1"/>
  <c r="F155" i="1" s="1"/>
  <c r="E156" i="1"/>
  <c r="I156" i="1" s="1"/>
  <c r="E159" i="1"/>
  <c r="I159" i="1" s="1"/>
  <c r="E160" i="1"/>
  <c r="F160" i="1" s="1"/>
  <c r="E161" i="1"/>
  <c r="F161" i="1" s="1"/>
  <c r="E162" i="1"/>
  <c r="I162" i="1" s="1"/>
  <c r="E163" i="1"/>
  <c r="F163" i="1" s="1"/>
  <c r="E165" i="1"/>
  <c r="I165" i="1" s="1"/>
  <c r="E168" i="1"/>
  <c r="I168" i="1" s="1"/>
  <c r="E169" i="1"/>
  <c r="I169" i="1" s="1"/>
  <c r="E171" i="1"/>
  <c r="I171" i="1" s="1"/>
  <c r="E172" i="1"/>
  <c r="F172" i="1" s="1"/>
  <c r="E173" i="1"/>
  <c r="F173" i="1" s="1"/>
  <c r="E174" i="1"/>
  <c r="F174" i="1" s="1"/>
  <c r="E175" i="1"/>
  <c r="I175" i="1" s="1"/>
  <c r="E176" i="1"/>
  <c r="I176" i="1" s="1"/>
  <c r="E177" i="1"/>
  <c r="I177" i="1" s="1"/>
  <c r="E178" i="1"/>
  <c r="I178" i="1" s="1"/>
  <c r="E179" i="1"/>
  <c r="I179" i="1" s="1"/>
  <c r="E180" i="1"/>
  <c r="I180" i="1" s="1"/>
  <c r="E181" i="1"/>
  <c r="F181" i="1" s="1"/>
  <c r="E183" i="1"/>
  <c r="I183" i="1" s="1"/>
  <c r="E184" i="1"/>
  <c r="F184" i="1" s="1"/>
  <c r="E185" i="1"/>
  <c r="I185" i="1" s="1"/>
  <c r="E186" i="1"/>
  <c r="I186" i="1" s="1"/>
  <c r="E188" i="1"/>
  <c r="F188" i="1" s="1"/>
  <c r="E189" i="1"/>
  <c r="I189" i="1" s="1"/>
  <c r="E190" i="1"/>
  <c r="I190" i="1" s="1"/>
  <c r="E191" i="1"/>
  <c r="F191" i="1" s="1"/>
  <c r="E193" i="1"/>
  <c r="I193" i="1" s="1"/>
  <c r="E194" i="1"/>
  <c r="I194" i="1" s="1"/>
  <c r="E195" i="1"/>
  <c r="F195" i="1" s="1"/>
  <c r="E196" i="1"/>
  <c r="F196" i="1" s="1"/>
  <c r="E197" i="1"/>
  <c r="F197" i="1" s="1"/>
  <c r="E199" i="1"/>
  <c r="I199" i="1" s="1"/>
  <c r="E136" i="1"/>
  <c r="I136" i="1" s="1"/>
  <c r="D180" i="1"/>
  <c r="D4" i="1"/>
  <c r="D194" i="1"/>
  <c r="D195" i="1"/>
  <c r="D14" i="1"/>
  <c r="D45" i="1"/>
  <c r="D160" i="1"/>
  <c r="D81" i="1"/>
  <c r="D88" i="1"/>
  <c r="D173" i="1"/>
  <c r="D114" i="1"/>
  <c r="D42" i="1"/>
  <c r="D116" i="1"/>
  <c r="D62" i="1"/>
  <c r="D13" i="1"/>
  <c r="D141" i="1"/>
  <c r="D52" i="1"/>
  <c r="D156" i="1"/>
  <c r="D133" i="1"/>
  <c r="D95" i="1"/>
  <c r="D131" i="1"/>
  <c r="D75" i="1"/>
  <c r="D28" i="1"/>
  <c r="D144" i="1"/>
  <c r="D181" i="1"/>
  <c r="D169" i="1"/>
  <c r="D9" i="1"/>
  <c r="D85" i="1"/>
  <c r="D117" i="1"/>
  <c r="D77" i="1"/>
  <c r="D174" i="1"/>
  <c r="D70" i="1"/>
  <c r="D41" i="1"/>
  <c r="D7" i="1"/>
  <c r="D168" i="1"/>
  <c r="D190" i="1"/>
  <c r="D148" i="1"/>
  <c r="D26" i="1"/>
  <c r="D121" i="1"/>
  <c r="D127" i="1"/>
  <c r="D72" i="1"/>
  <c r="D50" i="1"/>
  <c r="D16" i="1"/>
  <c r="D91" i="1"/>
  <c r="D30" i="1"/>
  <c r="D78" i="1"/>
  <c r="D59" i="1"/>
  <c r="D172" i="1"/>
  <c r="D146" i="1"/>
  <c r="D89" i="1"/>
  <c r="D87" i="1"/>
  <c r="D155" i="1"/>
  <c r="D165" i="1"/>
  <c r="D36" i="1"/>
  <c r="D83" i="1"/>
  <c r="D124" i="1"/>
  <c r="D149" i="1"/>
  <c r="D15" i="1"/>
  <c r="D191" i="1"/>
  <c r="D29" i="1"/>
  <c r="D128" i="1"/>
  <c r="D118" i="1"/>
  <c r="D122" i="1"/>
  <c r="D99" i="1"/>
  <c r="D90" i="1"/>
  <c r="D86" i="1"/>
  <c r="D80" i="1"/>
  <c r="D56" i="1"/>
  <c r="D196" i="1"/>
  <c r="D186" i="1"/>
  <c r="D134" i="1"/>
  <c r="D71" i="1"/>
  <c r="D64" i="1"/>
  <c r="D53" i="1"/>
  <c r="D55" i="1"/>
  <c r="D94" i="1"/>
  <c r="D150" i="1"/>
  <c r="D20" i="1"/>
  <c r="D73" i="1"/>
  <c r="D152" i="1"/>
  <c r="D2" i="1"/>
  <c r="D140" i="1"/>
  <c r="D159" i="1"/>
  <c r="D108" i="1"/>
  <c r="D104" i="1"/>
  <c r="D110" i="1"/>
  <c r="D66" i="1"/>
  <c r="D32" i="1"/>
  <c r="D111" i="1"/>
  <c r="D176" i="1"/>
  <c r="D96" i="1"/>
  <c r="D103" i="1"/>
  <c r="D115" i="1"/>
  <c r="D171" i="1"/>
  <c r="D3" i="1"/>
  <c r="D5" i="1"/>
  <c r="D8" i="1"/>
  <c r="D10" i="1"/>
  <c r="D11" i="1"/>
  <c r="D18" i="1"/>
  <c r="D22" i="1"/>
  <c r="D23" i="1"/>
  <c r="D24" i="1"/>
  <c r="D25" i="1"/>
  <c r="D27" i="1"/>
  <c r="D31" i="1"/>
  <c r="D33" i="1"/>
  <c r="D34" i="1"/>
  <c r="D37" i="1"/>
  <c r="D39" i="1"/>
  <c r="D40" i="1"/>
  <c r="D43" i="1"/>
  <c r="D44" i="1"/>
  <c r="D46" i="1"/>
  <c r="D47" i="1"/>
  <c r="D48" i="1"/>
  <c r="D54" i="1"/>
  <c r="D57" i="1"/>
  <c r="D58" i="1"/>
  <c r="D63" i="1"/>
  <c r="D65" i="1"/>
  <c r="D68" i="1"/>
  <c r="D76" i="1"/>
  <c r="D79" i="1"/>
  <c r="D82" i="1"/>
  <c r="D100" i="1"/>
  <c r="D105" i="1"/>
  <c r="D109" i="1"/>
  <c r="D123" i="1"/>
  <c r="D125" i="1"/>
  <c r="D129" i="1"/>
  <c r="D132" i="1"/>
  <c r="D135" i="1"/>
  <c r="D137" i="1"/>
  <c r="D138" i="1"/>
  <c r="D139" i="1"/>
  <c r="D143" i="1"/>
  <c r="D145" i="1"/>
  <c r="D147" i="1"/>
  <c r="D161" i="1"/>
  <c r="D162" i="1"/>
  <c r="D163" i="1"/>
  <c r="D175" i="1"/>
  <c r="D177" i="1"/>
  <c r="D178" i="1"/>
  <c r="D179" i="1"/>
  <c r="D183" i="1"/>
  <c r="D184" i="1"/>
  <c r="D185" i="1"/>
  <c r="D188" i="1"/>
  <c r="D193" i="1"/>
  <c r="D197" i="1"/>
  <c r="D199" i="1"/>
  <c r="I82" i="18"/>
  <c r="G62" i="18"/>
  <c r="M83" i="18"/>
  <c r="M87" i="18"/>
  <c r="H88" i="18"/>
  <c r="G87" i="18"/>
  <c r="H89" i="18"/>
  <c r="J92" i="18"/>
  <c r="I60" i="18"/>
  <c r="J89" i="18"/>
  <c r="J95" i="18"/>
  <c r="J94" i="18"/>
  <c r="H94" i="18"/>
  <c r="K93" i="18"/>
  <c r="K75" i="18"/>
  <c r="K91" i="18"/>
  <c r="I91" i="18"/>
  <c r="M89" i="18"/>
  <c r="I94" i="18"/>
  <c r="K90" i="18"/>
  <c r="M88" i="18"/>
  <c r="I89" i="18"/>
  <c r="I88" i="18"/>
  <c r="J84" i="18"/>
  <c r="I83" i="18"/>
  <c r="I80" i="18"/>
  <c r="I62" i="18"/>
  <c r="I85" i="18"/>
  <c r="G28" i="18"/>
  <c r="K16" i="18"/>
  <c r="I81" i="18"/>
  <c r="K84" i="18"/>
  <c r="G82" i="18"/>
  <c r="K68" i="18"/>
  <c r="I28" i="18"/>
  <c r="I44" i="18"/>
  <c r="G42" i="18"/>
  <c r="G32" i="18"/>
  <c r="M85" i="18"/>
  <c r="J85" i="18"/>
  <c r="I26" i="18"/>
  <c r="M31" i="18"/>
  <c r="M45" i="18"/>
  <c r="G64" i="18"/>
  <c r="M51" i="18"/>
  <c r="K44" i="18"/>
  <c r="I49" i="18"/>
  <c r="G83" i="18"/>
  <c r="J81" i="18"/>
  <c r="J62" i="18"/>
  <c r="H45" i="18"/>
  <c r="H49" i="18"/>
  <c r="G63" i="18"/>
  <c r="G35" i="18"/>
  <c r="I45" i="18"/>
  <c r="G60" i="18"/>
  <c r="K86" i="18"/>
  <c r="J74" i="18"/>
  <c r="G12" i="18"/>
  <c r="K3" i="18"/>
  <c r="M5" i="18"/>
  <c r="K66" i="18"/>
  <c r="J67" i="18"/>
  <c r="I11" i="18"/>
  <c r="J16" i="18"/>
  <c r="J26" i="18"/>
  <c r="K31" i="18"/>
  <c r="M68" i="18"/>
  <c r="G68" i="18"/>
  <c r="K72" i="18"/>
  <c r="M50" i="18"/>
  <c r="K49" i="18"/>
  <c r="G21" i="18"/>
  <c r="M74" i="18"/>
  <c r="I16" i="18"/>
  <c r="H41" i="18"/>
  <c r="H32" i="18"/>
  <c r="J75" i="18"/>
  <c r="H20" i="18"/>
  <c r="H60" i="18"/>
  <c r="G76" i="18"/>
  <c r="K64" i="18"/>
  <c r="G31" i="18"/>
  <c r="G59" i="18"/>
  <c r="H28" i="18"/>
  <c r="M71" i="18"/>
  <c r="K62" i="18"/>
  <c r="I38" i="18"/>
  <c r="H62" i="18"/>
  <c r="M63" i="18"/>
  <c r="M56" i="18"/>
  <c r="M9" i="18"/>
  <c r="K23" i="18"/>
  <c r="G8" i="18"/>
  <c r="K28" i="18"/>
  <c r="J52" i="18"/>
  <c r="J56" i="18"/>
  <c r="J53" i="18"/>
  <c r="G27" i="18"/>
  <c r="H40" i="18"/>
  <c r="M65" i="18"/>
  <c r="H12" i="18"/>
  <c r="K65" i="18"/>
  <c r="I12" i="18"/>
  <c r="G65" i="18"/>
  <c r="J63" i="18"/>
  <c r="K7" i="18"/>
  <c r="I51" i="18"/>
  <c r="I24" i="18"/>
  <c r="K24" i="18"/>
  <c r="H48" i="18"/>
  <c r="J9" i="18"/>
  <c r="G44" i="18"/>
  <c r="J36" i="18"/>
  <c r="P6" i="18"/>
  <c r="I5" i="18"/>
  <c r="J22" i="18"/>
  <c r="H71" i="18"/>
  <c r="K20" i="18"/>
  <c r="I20" i="18"/>
  <c r="L20" i="18" s="1" a="1"/>
  <c r="L20" i="18" s="1"/>
  <c r="J23" i="18"/>
  <c r="P56" i="18"/>
  <c r="G71" i="18"/>
  <c r="G19" i="18"/>
  <c r="K55" i="18"/>
  <c r="M20" i="18"/>
  <c r="G5" i="18"/>
  <c r="H36" i="18"/>
  <c r="J39" i="18"/>
  <c r="K9" i="18"/>
  <c r="G6" i="18"/>
  <c r="M12" i="18"/>
  <c r="J28" i="18"/>
  <c r="G34" i="18"/>
  <c r="H9" i="18"/>
  <c r="M41" i="18"/>
  <c r="J24" i="18"/>
  <c r="J4" i="18"/>
  <c r="G24" i="18"/>
  <c r="J66" i="18"/>
  <c r="I63" i="18"/>
  <c r="K63" i="18"/>
  <c r="M23" i="18"/>
  <c r="M6" i="18"/>
  <c r="G36" i="18"/>
  <c r="I65" i="18"/>
  <c r="I29" i="18"/>
  <c r="M70" i="18"/>
  <c r="G2" i="18"/>
  <c r="I6" i="18"/>
  <c r="H21" i="18"/>
  <c r="H29" i="18"/>
  <c r="G38" i="18"/>
  <c r="M42" i="18"/>
  <c r="K50" i="18"/>
  <c r="I74" i="18"/>
  <c r="G70" i="18"/>
  <c r="I14" i="18"/>
  <c r="J21" i="18"/>
  <c r="K25" i="18"/>
  <c r="M25" i="18"/>
  <c r="M2" i="18"/>
  <c r="I25" i="18"/>
  <c r="G66" i="18"/>
  <c r="I67" i="18"/>
  <c r="K6" i="18"/>
  <c r="G10" i="18"/>
  <c r="G3" i="18"/>
  <c r="H67" i="18"/>
  <c r="J38" i="18"/>
  <c r="J76" i="18"/>
  <c r="G50" i="18"/>
  <c r="H58" i="18"/>
  <c r="P57" i="18"/>
  <c r="H25" i="18"/>
  <c r="K59" i="18"/>
  <c r="I36" i="18"/>
  <c r="M80" i="18"/>
  <c r="H6" i="18"/>
  <c r="I3" i="18"/>
  <c r="H4" i="18"/>
  <c r="J29" i="18"/>
  <c r="H82" i="18"/>
  <c r="P49" i="18"/>
  <c r="K12" i="18"/>
  <c r="G80" i="18"/>
  <c r="I2" i="18"/>
  <c r="P31" i="18"/>
  <c r="I4" i="18"/>
  <c r="G41" i="18"/>
  <c r="I30" i="18"/>
  <c r="K45" i="18"/>
  <c r="J25" i="18"/>
  <c r="K47" i="18"/>
  <c r="M79" i="18"/>
  <c r="H5" i="18"/>
  <c r="J31" i="18"/>
  <c r="I19" i="18"/>
  <c r="I7" i="18"/>
  <c r="I21" i="18"/>
  <c r="L21" i="18" s="1" a="1"/>
  <c r="L21" i="18" s="1"/>
  <c r="I9" i="18"/>
  <c r="J17" i="18"/>
  <c r="H24" i="18"/>
  <c r="K33" i="18"/>
  <c r="J82" i="18"/>
  <c r="J73" i="18"/>
  <c r="M64" i="18"/>
  <c r="H19" i="18"/>
  <c r="J7" i="18"/>
  <c r="K18" i="18"/>
  <c r="J18" i="18"/>
  <c r="M76" i="18"/>
  <c r="K27" i="18"/>
  <c r="I79" i="18"/>
  <c r="M82" i="18"/>
  <c r="M78" i="18"/>
  <c r="H2" i="18"/>
  <c r="G51" i="18"/>
  <c r="K22" i="18"/>
  <c r="M13" i="18"/>
  <c r="K29" i="18"/>
  <c r="M53" i="18"/>
  <c r="I55" i="18"/>
  <c r="G49" i="18"/>
  <c r="K80" i="18"/>
  <c r="M7" i="18"/>
  <c r="J15" i="18"/>
  <c r="I42" i="18"/>
  <c r="M52" i="18"/>
  <c r="H79" i="18"/>
  <c r="H3" i="18"/>
  <c r="H15" i="18"/>
  <c r="G7" i="18"/>
  <c r="G22" i="18"/>
  <c r="K5" i="18"/>
  <c r="J78" i="18"/>
  <c r="M26" i="18"/>
  <c r="I41" i="18"/>
  <c r="M43" i="18"/>
  <c r="M15" i="18"/>
  <c r="K8" i="18"/>
  <c r="J37" i="18"/>
  <c r="I23" i="18"/>
  <c r="G40" i="18"/>
  <c r="M33" i="18"/>
  <c r="J42" i="18"/>
  <c r="I70" i="18"/>
  <c r="M16" i="18"/>
  <c r="H54" i="18"/>
  <c r="K21" i="18"/>
  <c r="J51" i="18"/>
  <c r="H42" i="18"/>
  <c r="J46" i="18"/>
  <c r="K11" i="18"/>
  <c r="G23" i="18"/>
  <c r="I61" i="18"/>
  <c r="M8" i="18"/>
  <c r="J2" i="18"/>
  <c r="I57" i="18"/>
  <c r="H11" i="18"/>
  <c r="P35" i="18"/>
  <c r="G15" i="18"/>
  <c r="I8" i="18"/>
  <c r="J11" i="18"/>
  <c r="P85" i="18"/>
  <c r="M11" i="18"/>
  <c r="J8" i="18"/>
  <c r="I22" i="18"/>
  <c r="P75" i="18"/>
  <c r="M22" i="18"/>
  <c r="H26" i="18"/>
  <c r="K2" i="18"/>
  <c r="M4" i="18"/>
  <c r="J44" i="18"/>
  <c r="J40" i="18"/>
  <c r="P11" i="18"/>
  <c r="K51" i="18"/>
  <c r="K4" i="18"/>
  <c r="I48" i="18"/>
  <c r="H83" i="18"/>
  <c r="I151" i="1" l="1"/>
  <c r="K57" i="18"/>
  <c r="M60" i="18"/>
  <c r="G81" i="18"/>
  <c r="K39" i="18"/>
  <c r="G54" i="18"/>
  <c r="G14" i="18"/>
  <c r="I40" i="18"/>
  <c r="M77" i="18"/>
  <c r="M46" i="18"/>
  <c r="P84" i="18"/>
  <c r="H14" i="18"/>
  <c r="K79" i="18"/>
  <c r="P3" i="18"/>
  <c r="J80" i="18"/>
  <c r="L80" i="18" s="1" a="1"/>
  <c r="L80" i="18" s="1"/>
  <c r="J59" i="18"/>
  <c r="M17" i="18"/>
  <c r="G20" i="18"/>
  <c r="G75" i="18"/>
  <c r="J58" i="18"/>
  <c r="I32" i="18"/>
  <c r="M81" i="18"/>
  <c r="I86" i="18"/>
  <c r="H35" i="18"/>
  <c r="H61" i="18"/>
  <c r="I59" i="18"/>
  <c r="M37" i="18"/>
  <c r="I92" i="18"/>
  <c r="L92" i="18" s="1" a="1"/>
  <c r="L92" i="18" s="1"/>
  <c r="H92" i="18"/>
  <c r="G61" i="18"/>
  <c r="P27" i="18"/>
  <c r="J41" i="18"/>
  <c r="H75" i="18"/>
  <c r="K26" i="18"/>
  <c r="I17" i="1"/>
  <c r="F51" i="1"/>
  <c r="I60" i="1"/>
  <c r="F144" i="1"/>
  <c r="P53" i="18"/>
  <c r="I10" i="18"/>
  <c r="L10" i="18" s="1" a="1"/>
  <c r="L10" i="18" s="1"/>
  <c r="H57" i="18"/>
  <c r="I77" i="18"/>
  <c r="I107" i="1"/>
  <c r="K78" i="18"/>
  <c r="K46" i="18"/>
  <c r="H55" i="18"/>
  <c r="J10" i="18"/>
  <c r="I35" i="18"/>
  <c r="H39" i="18"/>
  <c r="H13" i="18"/>
  <c r="J68" i="18"/>
  <c r="P52" i="18"/>
  <c r="P76" i="18"/>
  <c r="H30" i="18"/>
  <c r="G74" i="18"/>
  <c r="H10" i="18"/>
  <c r="I17" i="18"/>
  <c r="L17" i="18" s="1" a="1"/>
  <c r="L17" i="18" s="1"/>
  <c r="P88" i="18"/>
  <c r="M95" i="18"/>
  <c r="F126" i="1"/>
  <c r="H38" i="18"/>
  <c r="M10" i="18"/>
  <c r="P55" i="18"/>
  <c r="G47" i="18"/>
  <c r="I46" i="18"/>
  <c r="M44" i="18"/>
  <c r="M30" i="18"/>
  <c r="M67" i="18"/>
  <c r="H59" i="18"/>
  <c r="K70" i="18"/>
  <c r="I69" i="18"/>
  <c r="M27" i="18"/>
  <c r="M35" i="18"/>
  <c r="K89" i="18"/>
  <c r="H87" i="18"/>
  <c r="G16" i="18"/>
  <c r="M14" i="18"/>
  <c r="J72" i="18"/>
  <c r="P37" i="18"/>
  <c r="H50" i="18"/>
  <c r="M72" i="18"/>
  <c r="J49" i="18"/>
  <c r="I18" i="18"/>
  <c r="K73" i="18"/>
  <c r="G86" i="18"/>
  <c r="I90" i="18"/>
  <c r="J87" i="18"/>
  <c r="L67" i="18" a="1"/>
  <c r="L67" i="18" s="1"/>
  <c r="H72" i="18"/>
  <c r="P70" i="18"/>
  <c r="H53" i="18"/>
  <c r="G77" i="18"/>
  <c r="G37" i="18"/>
  <c r="K54" i="18"/>
  <c r="P66" i="18"/>
  <c r="P18" i="18"/>
  <c r="P83" i="18"/>
  <c r="P42" i="18"/>
  <c r="H73" i="18"/>
  <c r="I78" i="18"/>
  <c r="I34" i="18"/>
  <c r="P43" i="18"/>
  <c r="H47" i="18"/>
  <c r="I73" i="18"/>
  <c r="K58" i="18"/>
  <c r="I13" i="18"/>
  <c r="L13" i="18" s="1" a="1"/>
  <c r="L13" i="18" s="1"/>
  <c r="I53" i="18"/>
  <c r="L53" i="18" s="1" a="1"/>
  <c r="L53" i="18" s="1"/>
  <c r="K13" i="18"/>
  <c r="I72" i="18"/>
  <c r="L72" i="18" s="1" a="1"/>
  <c r="L72" i="18" s="1"/>
  <c r="M58" i="18"/>
  <c r="H17" i="18"/>
  <c r="J86" i="18"/>
  <c r="L86" i="18" s="1" a="1"/>
  <c r="L86" i="18" s="1"/>
  <c r="I95" i="18"/>
  <c r="L95" i="18" s="1" a="1"/>
  <c r="L95" i="18" s="1"/>
  <c r="H90" i="18"/>
  <c r="P59" i="18"/>
  <c r="G39" i="18"/>
  <c r="P12" i="18"/>
  <c r="P81" i="18"/>
  <c r="J54" i="18"/>
  <c r="L54" i="18" s="1" a="1"/>
  <c r="L54" i="18" s="1"/>
  <c r="P25" i="18"/>
  <c r="K71" i="18"/>
  <c r="K53" i="18"/>
  <c r="L62" i="18" a="1"/>
  <c r="L62" i="18" s="1"/>
  <c r="M90" i="18"/>
  <c r="H91" i="18"/>
  <c r="P45" i="18"/>
  <c r="H77" i="18"/>
  <c r="P47" i="18"/>
  <c r="M38" i="18"/>
  <c r="P38" i="18"/>
  <c r="M47" i="18"/>
  <c r="P46" i="18"/>
  <c r="L4" i="18" a="1"/>
  <c r="L4" i="18" s="1"/>
  <c r="M69" i="18"/>
  <c r="J47" i="18"/>
  <c r="L47" i="18" s="1" a="1"/>
  <c r="L47" i="18" s="1"/>
  <c r="K37" i="18"/>
  <c r="M66" i="18"/>
  <c r="K85" i="18"/>
  <c r="M54" i="18"/>
  <c r="M84" i="18"/>
  <c r="K92" i="18"/>
  <c r="K87" i="18"/>
  <c r="G48" i="18"/>
  <c r="I58" i="18"/>
  <c r="P19" i="18"/>
  <c r="H27" i="18"/>
  <c r="G57" i="18"/>
  <c r="I68" i="18"/>
  <c r="J35" i="18"/>
  <c r="K34" i="18"/>
  <c r="H65" i="18"/>
  <c r="G69" i="18"/>
  <c r="G73" i="18"/>
  <c r="H69" i="18"/>
  <c r="P89" i="18"/>
  <c r="M92" i="18"/>
  <c r="M91" i="18"/>
  <c r="P65" i="18"/>
  <c r="P61" i="18"/>
  <c r="M19" i="18"/>
  <c r="I39" i="18"/>
  <c r="L39" i="18" s="1" a="1"/>
  <c r="L39" i="18" s="1"/>
  <c r="P10" i="18"/>
  <c r="G52" i="18"/>
  <c r="J32" i="18"/>
  <c r="L32" i="18" s="1" a="1"/>
  <c r="L32" i="18" s="1"/>
  <c r="G93" i="18"/>
  <c r="L36" i="18" a="1"/>
  <c r="L36" i="18" s="1"/>
  <c r="I50" i="18"/>
  <c r="L50" i="18" s="1" a="1"/>
  <c r="L50" i="18" s="1"/>
  <c r="K19" i="18"/>
  <c r="H70" i="18"/>
  <c r="J27" i="18"/>
  <c r="K30" i="18"/>
  <c r="G18" i="18"/>
  <c r="K56" i="18"/>
  <c r="H46" i="18"/>
  <c r="P94" i="18"/>
  <c r="I93" i="18"/>
  <c r="I118" i="1"/>
  <c r="L26" i="18" a="1"/>
  <c r="L26" i="18" s="1"/>
  <c r="P22" i="18"/>
  <c r="P78" i="18"/>
  <c r="F4" i="1"/>
  <c r="P72" i="18"/>
  <c r="P51" i="18"/>
  <c r="P62" i="18"/>
  <c r="G56" i="18"/>
  <c r="H95" i="18"/>
  <c r="I88" i="1"/>
  <c r="I37" i="18"/>
  <c r="L37" i="18" s="1" a="1"/>
  <c r="L37" i="18" s="1"/>
  <c r="K81" i="18"/>
  <c r="I40" i="1"/>
  <c r="I161" i="1"/>
  <c r="L11" i="18" a="1"/>
  <c r="L11" i="18" s="1"/>
  <c r="L35" i="18" a="1"/>
  <c r="L35" i="18" s="1"/>
  <c r="L27" i="18" a="1"/>
  <c r="L27" i="18" s="1"/>
  <c r="L78" i="18" a="1"/>
  <c r="L78" i="18" s="1"/>
  <c r="L24" i="18" a="1"/>
  <c r="L24" i="18" s="1"/>
  <c r="L69" i="18" a="1"/>
  <c r="L69" i="18" s="1"/>
  <c r="P17" i="18"/>
  <c r="L25" i="18" a="1"/>
  <c r="L25" i="18" s="1"/>
  <c r="I71" i="18"/>
  <c r="L71" i="18" s="1" a="1"/>
  <c r="L71" i="18" s="1"/>
  <c r="H86" i="18"/>
  <c r="I160" i="1"/>
  <c r="F67" i="1"/>
  <c r="P8" i="18"/>
  <c r="P4" i="18"/>
  <c r="J14" i="18"/>
  <c r="L14" i="18" s="1" a="1"/>
  <c r="L14" i="18" s="1"/>
  <c r="J48" i="18"/>
  <c r="L48" i="18" s="1" a="1"/>
  <c r="L48" i="18" s="1"/>
  <c r="P16" i="18"/>
  <c r="M55" i="18"/>
  <c r="I31" i="18"/>
  <c r="L31" i="18" s="1" a="1"/>
  <c r="L31" i="18" s="1"/>
  <c r="G13" i="18"/>
  <c r="I56" i="18"/>
  <c r="L56" i="18" s="1" a="1"/>
  <c r="L56" i="18" s="1"/>
  <c r="M75" i="18"/>
  <c r="M32" i="18"/>
  <c r="G85" i="18"/>
  <c r="K95" i="18"/>
  <c r="J93" i="18"/>
  <c r="I188" i="1"/>
  <c r="F117" i="1"/>
  <c r="G88" i="18"/>
  <c r="I22" i="1"/>
  <c r="I181" i="1"/>
  <c r="P41" i="18"/>
  <c r="P13" i="18"/>
  <c r="P73" i="18"/>
  <c r="I52" i="18"/>
  <c r="L52" i="18" s="1" a="1"/>
  <c r="L52" i="18" s="1"/>
  <c r="K74" i="18"/>
  <c r="K36" i="18"/>
  <c r="J55" i="18"/>
  <c r="L55" i="18" s="1" a="1"/>
  <c r="L55" i="18" s="1"/>
  <c r="P87" i="18"/>
  <c r="J88" i="18"/>
  <c r="L88" i="18" s="1" a="1"/>
  <c r="L88" i="18" s="1"/>
  <c r="I129" i="1"/>
  <c r="F58" i="1"/>
  <c r="M57" i="18"/>
  <c r="L73" i="18" a="1"/>
  <c r="L73" i="18" s="1"/>
  <c r="L46" i="18" a="1"/>
  <c r="L46" i="18" s="1"/>
  <c r="L82" i="18" a="1"/>
  <c r="L82" i="18" s="1"/>
  <c r="L63" i="18" a="1"/>
  <c r="L63" i="18" s="1"/>
  <c r="I125" i="1"/>
  <c r="I103" i="1"/>
  <c r="I55" i="1"/>
  <c r="P29" i="18"/>
  <c r="G29" i="18"/>
  <c r="M48" i="18"/>
  <c r="K83" i="18"/>
  <c r="P63" i="18"/>
  <c r="I33" i="18"/>
  <c r="H18" i="18"/>
  <c r="G17" i="18"/>
  <c r="H66" i="18"/>
  <c r="H52" i="18"/>
  <c r="L81" i="18" a="1"/>
  <c r="L81" i="18" s="1"/>
  <c r="I76" i="1"/>
  <c r="F101" i="1"/>
  <c r="F138" i="1"/>
  <c r="F50" i="1"/>
  <c r="L19" i="18" a="1"/>
  <c r="L19" i="18" s="1"/>
  <c r="L57" i="18" a="1"/>
  <c r="L57" i="18" s="1"/>
  <c r="L18" i="18" a="1"/>
  <c r="L18" i="18" s="1"/>
  <c r="L38" i="18" a="1"/>
  <c r="L38" i="18" s="1"/>
  <c r="L85" i="18" a="1"/>
  <c r="L85" i="18" s="1"/>
  <c r="F136" i="1"/>
  <c r="F8" i="1"/>
  <c r="F19" i="1"/>
  <c r="G43" i="18"/>
  <c r="L41" i="18" a="1"/>
  <c r="L41" i="18" s="1"/>
  <c r="P58" i="18"/>
  <c r="P40" i="18"/>
  <c r="K43" i="18"/>
  <c r="P24" i="18"/>
  <c r="H43" i="18"/>
  <c r="F199" i="1"/>
  <c r="F159" i="1"/>
  <c r="I66" i="1"/>
  <c r="I97" i="1"/>
  <c r="L65" i="18" a="1"/>
  <c r="L65" i="18" s="1"/>
  <c r="L22" i="18" a="1"/>
  <c r="L22" i="18" s="1"/>
  <c r="L59" i="18" a="1"/>
  <c r="L59" i="18" s="1"/>
  <c r="P9" i="18"/>
  <c r="P32" i="18"/>
  <c r="P68" i="18"/>
  <c r="P80" i="18"/>
  <c r="P2" i="18"/>
  <c r="L51" i="18" a="1"/>
  <c r="L51" i="18" s="1"/>
  <c r="F132" i="1"/>
  <c r="L42" i="18" a="1"/>
  <c r="L42" i="18" s="1"/>
  <c r="L16" i="18" a="1"/>
  <c r="L16" i="18" s="1"/>
  <c r="P23" i="18"/>
  <c r="P28" i="18"/>
  <c r="J43" i="18"/>
  <c r="L43" i="18" s="1" a="1"/>
  <c r="L43" i="18" s="1"/>
  <c r="P67" i="18"/>
  <c r="K76" i="18"/>
  <c r="J60" i="18"/>
  <c r="P82" i="18"/>
  <c r="P7" i="18"/>
  <c r="J34" i="18"/>
  <c r="L34" i="18" s="1" a="1"/>
  <c r="L34" i="18" s="1"/>
  <c r="I76" i="18"/>
  <c r="L76" i="18" s="1" a="1"/>
  <c r="L76" i="18" s="1"/>
  <c r="P33" i="18"/>
  <c r="K15" i="18"/>
  <c r="M40" i="18"/>
  <c r="K69" i="18"/>
  <c r="J45" i="18"/>
  <c r="L45" i="18" s="1" a="1"/>
  <c r="L45" i="18" s="1"/>
  <c r="H34" i="18"/>
  <c r="I79" i="1"/>
  <c r="K94" i="18"/>
  <c r="J91" i="18"/>
  <c r="L91" i="18" s="1" a="1"/>
  <c r="L91" i="18" s="1"/>
  <c r="H93" i="18"/>
  <c r="I3" i="1"/>
  <c r="F193" i="1"/>
  <c r="I173" i="1"/>
  <c r="F2" i="1"/>
  <c r="I35" i="1"/>
  <c r="P77" i="18"/>
  <c r="P48" i="18"/>
  <c r="J33" i="18"/>
  <c r="P14" i="18"/>
  <c r="G33" i="18"/>
  <c r="M61" i="18"/>
  <c r="K67" i="18"/>
  <c r="P36" i="18"/>
  <c r="J30" i="18"/>
  <c r="L30" i="18" s="1" a="1"/>
  <c r="L30" i="18" s="1"/>
  <c r="I192" i="1"/>
  <c r="H84" i="18"/>
  <c r="P92" i="18"/>
  <c r="I172" i="1"/>
  <c r="I18" i="1"/>
  <c r="L75" i="18" a="1"/>
  <c r="L75" i="18" s="1"/>
  <c r="P79" i="18"/>
  <c r="P26" i="18"/>
  <c r="P54" i="18"/>
  <c r="G79" i="18"/>
  <c r="J61" i="18"/>
  <c r="L61" i="18" s="1" a="1"/>
  <c r="L61" i="18" s="1"/>
  <c r="P64" i="18"/>
  <c r="L49" i="18" a="1"/>
  <c r="L49" i="18" s="1"/>
  <c r="P93" i="18"/>
  <c r="F171" i="1"/>
  <c r="L90" i="18" a="1"/>
  <c r="L90" i="18" s="1"/>
  <c r="F142" i="1"/>
  <c r="I69" i="1"/>
  <c r="L8" i="18" a="1"/>
  <c r="L8" i="18" s="1"/>
  <c r="P21" i="18"/>
  <c r="P69" i="18"/>
  <c r="P5" i="18"/>
  <c r="L74" i="18" a="1"/>
  <c r="L74" i="18" s="1"/>
  <c r="I84" i="18"/>
  <c r="L84" i="18" s="1" a="1"/>
  <c r="L84" i="18" s="1"/>
  <c r="P95" i="18"/>
  <c r="F14" i="1"/>
  <c r="F93" i="1"/>
  <c r="P91" i="18"/>
  <c r="I73" i="1"/>
  <c r="I32" i="1"/>
  <c r="L87" i="18" a="1"/>
  <c r="L87" i="18" s="1"/>
  <c r="L70" i="18" a="1"/>
  <c r="L70" i="18" s="1"/>
  <c r="L83" i="18" a="1"/>
  <c r="L83" i="18" s="1"/>
  <c r="F119" i="1"/>
  <c r="I102" i="1"/>
  <c r="F109" i="1"/>
  <c r="I28" i="1"/>
  <c r="F153" i="1"/>
  <c r="F84" i="1"/>
  <c r="G94" i="18"/>
  <c r="F12" i="1"/>
  <c r="F200" i="1"/>
  <c r="I99" i="1"/>
  <c r="L2" i="18" a="1"/>
  <c r="L2" i="18" s="1"/>
  <c r="F186" i="1"/>
  <c r="I42" i="1"/>
  <c r="I86" i="1"/>
  <c r="F164" i="1"/>
  <c r="F11" i="1"/>
  <c r="F185" i="1"/>
  <c r="I41" i="1"/>
  <c r="F170" i="1"/>
  <c r="L79" i="18" a="1"/>
  <c r="L79" i="18" s="1"/>
  <c r="L6" i="18" a="1"/>
  <c r="L6" i="18" s="1"/>
  <c r="L7" i="18" a="1"/>
  <c r="L7" i="18" s="1"/>
  <c r="G90" i="18"/>
  <c r="H78" i="18"/>
  <c r="L5" i="18" a="1"/>
  <c r="L5" i="18" s="1"/>
  <c r="L66" i="18" a="1"/>
  <c r="L66" i="18" s="1"/>
  <c r="L9" i="18" a="1"/>
  <c r="L9" i="18" s="1"/>
  <c r="F92" i="1"/>
  <c r="K77" i="18"/>
  <c r="L28" i="18" a="1"/>
  <c r="L28" i="18" s="1"/>
  <c r="L77" i="18" a="1"/>
  <c r="L77" i="18" s="1"/>
  <c r="L12" i="18" a="1"/>
  <c r="L12" i="18" s="1"/>
  <c r="L89" i="18" a="1"/>
  <c r="L89" i="18" s="1"/>
  <c r="L15" i="18" a="1"/>
  <c r="L15" i="18" s="1"/>
  <c r="F47" i="1"/>
  <c r="P60" i="18"/>
  <c r="P30" i="18"/>
  <c r="P44" i="18"/>
  <c r="P71" i="18"/>
  <c r="J3" i="18"/>
  <c r="L3" i="18" s="1" a="1"/>
  <c r="L3" i="18" s="1"/>
  <c r="P50" i="18"/>
  <c r="J64" i="18"/>
  <c r="I64" i="18"/>
  <c r="I197" i="1"/>
  <c r="F116" i="1"/>
  <c r="I53" i="1"/>
  <c r="F16" i="1"/>
  <c r="I105" i="1"/>
  <c r="L23" i="18" a="1"/>
  <c r="L23" i="18" s="1"/>
  <c r="I191" i="1"/>
  <c r="I158" i="1"/>
  <c r="L40" i="18" a="1"/>
  <c r="L40" i="18" s="1"/>
  <c r="P74" i="18"/>
  <c r="P20" i="18"/>
  <c r="P39" i="18"/>
  <c r="P86" i="18"/>
  <c r="P34" i="18"/>
  <c r="P15" i="18"/>
  <c r="L60" i="18" a="1"/>
  <c r="L60" i="18" s="1"/>
  <c r="I70" i="1"/>
  <c r="L44" i="18" a="1"/>
  <c r="L44" i="18" s="1"/>
  <c r="L94" i="18" a="1"/>
  <c r="L94" i="18" s="1"/>
  <c r="I108" i="1"/>
  <c r="F81" i="1"/>
  <c r="L29" i="18" a="1"/>
  <c r="L29" i="18" s="1"/>
  <c r="I87" i="1"/>
  <c r="P90" i="18"/>
  <c r="F112" i="1"/>
  <c r="I68" i="1"/>
  <c r="I166" i="1"/>
  <c r="F38" i="1"/>
  <c r="I204" i="1"/>
  <c r="I149" i="1"/>
  <c r="I52" i="1"/>
  <c r="F36" i="1"/>
  <c r="I198" i="1"/>
  <c r="I62" i="1"/>
  <c r="F26" i="1"/>
  <c r="F182" i="1"/>
  <c r="F80" i="1"/>
  <c r="F141" i="1"/>
  <c r="I114" i="1"/>
  <c r="F167" i="1"/>
  <c r="F165" i="1"/>
  <c r="F143" i="1"/>
  <c r="F63" i="1"/>
  <c r="F111" i="1"/>
  <c r="F124" i="1"/>
  <c r="F169" i="1"/>
  <c r="F74" i="1"/>
  <c r="F178" i="1"/>
  <c r="F122" i="1"/>
  <c r="I104" i="1"/>
  <c r="F10" i="1"/>
  <c r="F59" i="1"/>
  <c r="F91" i="1"/>
  <c r="I163" i="1"/>
  <c r="I31" i="1"/>
  <c r="I157" i="1"/>
  <c r="F175" i="1"/>
  <c r="F156" i="1"/>
  <c r="F30" i="1"/>
  <c r="I13" i="1"/>
  <c r="I113" i="1"/>
  <c r="F145" i="1"/>
  <c r="F72" i="1"/>
  <c r="I147" i="1"/>
  <c r="I90" i="1"/>
  <c r="I43" i="1"/>
  <c r="F75" i="1"/>
  <c r="I128" i="1"/>
  <c r="I27" i="1"/>
  <c r="F115" i="1"/>
  <c r="F177" i="1"/>
  <c r="F148" i="1"/>
  <c r="F189" i="1"/>
  <c r="I155" i="1"/>
  <c r="F134" i="1"/>
  <c r="I96" i="1"/>
  <c r="F6" i="1"/>
  <c r="I203" i="1"/>
  <c r="I121" i="1"/>
  <c r="I48" i="1"/>
  <c r="I146" i="1"/>
  <c r="I131" i="1"/>
  <c r="I15" i="1"/>
  <c r="F61" i="1"/>
  <c r="F45" i="1"/>
  <c r="I133" i="1"/>
  <c r="F194" i="1"/>
  <c r="F180" i="1"/>
  <c r="F89" i="1"/>
  <c r="F44" i="1"/>
  <c r="F29" i="1"/>
  <c r="F54" i="1"/>
  <c r="I85" i="1"/>
  <c r="F190" i="1"/>
  <c r="F34" i="1"/>
  <c r="I20" i="1"/>
  <c r="F24" i="1"/>
  <c r="F23" i="1"/>
  <c r="I100" i="1"/>
  <c r="F139" i="1"/>
  <c r="I174" i="1"/>
  <c r="F21" i="1"/>
  <c r="F25" i="1"/>
  <c r="F49" i="1"/>
  <c r="F39" i="1"/>
  <c r="I187" i="1"/>
  <c r="I9" i="1"/>
  <c r="F154" i="1"/>
  <c r="I123" i="1"/>
  <c r="I127" i="1"/>
  <c r="F162" i="1"/>
  <c r="F33" i="1"/>
  <c r="I46" i="1"/>
  <c r="I137" i="1"/>
  <c r="F95" i="1"/>
  <c r="F57" i="1"/>
  <c r="F83" i="1"/>
  <c r="I184" i="1"/>
  <c r="F176" i="1"/>
  <c r="F135" i="1"/>
  <c r="I110" i="1"/>
  <c r="F94" i="1"/>
  <c r="F56" i="1"/>
  <c r="I78" i="1"/>
  <c r="F201" i="1"/>
  <c r="F179" i="1"/>
  <c r="F5" i="1"/>
  <c r="I64" i="1"/>
  <c r="F77" i="1"/>
  <c r="I195" i="1"/>
  <c r="F37" i="1"/>
  <c r="I150" i="1"/>
  <c r="F168" i="1"/>
  <c r="F7" i="1"/>
  <c r="F140" i="1"/>
  <c r="I196" i="1"/>
  <c r="F65" i="1"/>
  <c r="I98" i="1"/>
  <c r="F183" i="1"/>
  <c r="F106" i="1"/>
  <c r="I120" i="1"/>
  <c r="F82" i="1"/>
  <c r="F71" i="1"/>
  <c r="I130" i="1"/>
  <c r="I152" i="1"/>
  <c r="I202" i="1"/>
  <c r="L93" i="18" l="1" a="1"/>
  <c r="L93" i="18" s="1"/>
  <c r="L68" i="18" a="1"/>
  <c r="L68" i="18" s="1"/>
  <c r="L58" i="18" a="1"/>
  <c r="L58" i="18" s="1"/>
  <c r="L33" i="18" a="1"/>
  <c r="L33" i="18" s="1"/>
  <c r="L64" i="18" a="1"/>
  <c r="L64"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bgg_cache" description="Connection to the 'bgg_cache' query in the workbook." type="5" refreshedVersion="8" background="1" saveData="1">
    <dbPr connection="Provider=Microsoft.Mashup.OleDb.1;Data Source=$Workbook$;Location=bgg_cache;Extended Properties=&quot;&quot;" command="SELECT * FROM [bgg_cache]"/>
  </connection>
  <connection id="2" xr16:uid="{00000000-0015-0000-FFFF-FFFF01000000}" keepAlive="1" name="Query - library_data" description="Connection to the 'library_data' query in the workbook." type="5" refreshedVersion="8" background="1" saveData="1">
    <dbPr connection="Provider=Microsoft.Mashup.OleDb.1;Data Source=$Workbook$;Location=library_data;Extended Properties=&quot;&quot;" command="SELECT * FROM [library_data]"/>
  </connection>
  <connection id="3" xr16:uid="{00000000-0015-0000-FFFF-FFFF02000000}" keepAlive="1" name="Query - manual_prices" description="Connection to the 'manual_prices' query in the workbook." type="5" refreshedVersion="0" background="1" saveData="1">
    <dbPr connection="Provider=Microsoft.Mashup.OleDb.1;Data Source=$Workbook$;Location=manual_prices;Extended Properties=&quot;&quot;" command="SELECT * FROM [manual_prices]"/>
  </connection>
  <connection id="4" xr16:uid="{00000000-0015-0000-FFFF-FFFF03000000}" keepAlive="1" name="Query - offers" description="Connection to the 'offers' query in the workbook." type="5" refreshedVersion="0" background="1" saveData="1">
    <dbPr connection="Provider=Microsoft.Mashup.OleDb.1;Data Source=$Workbook$;Location=offers;Extended Properties=&quot;&quot;" command="SELECT * FROM [offers]"/>
  </connection>
  <connection id="5" xr16:uid="{00000000-0015-0000-FFFF-FFFF04000000}" keepAlive="1" name="Query - summary_prices" description="Connection to the 'summary_prices' query in the workbook." type="5" refreshedVersion="8" background="1" saveData="1">
    <dbPr connection="Provider=Microsoft.Mashup.OleDb.1;Data Source=$Workbook$;Location=summary_prices;Extended Properties=&quot;&quot;" command="SELECT * FROM [summary_price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6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futureMetadata>
  <futureMetadata name="XLDAPR" count="1">
    <bk>
      <extLst>
        <ext uri="{bdbb8cdc-fa1e-496e-a857-3c3f30c029c3}">
          <xda:dynamicArrayProperties fDynamic="1" fCollapsed="0"/>
        </ext>
      </extLst>
    </bk>
  </futureMetadata>
  <cellMetadata count="1">
    <bk>
      <rc t="2" v="0"/>
    </bk>
  </cellMetadata>
  <valueMetadata count="6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valueMetadata>
</metadata>
</file>

<file path=xl/sharedStrings.xml><?xml version="1.0" encoding="utf-8"?>
<sst xmlns="http://schemas.openxmlformats.org/spreadsheetml/2006/main" count="12564" uniqueCount="5398">
  <si>
    <t>NAME</t>
  </si>
  <si>
    <t>Carcassonne</t>
  </si>
  <si>
    <t>Raccoon Tycoon</t>
  </si>
  <si>
    <t>Tsuro</t>
  </si>
  <si>
    <t>Cathedral</t>
  </si>
  <si>
    <t>Western Legends</t>
  </si>
  <si>
    <t>Ticket to Ride: Europe</t>
  </si>
  <si>
    <t>Scythe</t>
  </si>
  <si>
    <t>7 Wonders</t>
  </si>
  <si>
    <t>Through the Desert</t>
  </si>
  <si>
    <t>Patchwork</t>
  </si>
  <si>
    <t>Concept</t>
  </si>
  <si>
    <t>Drop It</t>
  </si>
  <si>
    <t>River Dragons</t>
  </si>
  <si>
    <t>Murano</t>
  </si>
  <si>
    <t>My First Castle Panic</t>
  </si>
  <si>
    <t>Dragomino</t>
  </si>
  <si>
    <t>Descent: Legends of the Dark</t>
  </si>
  <si>
    <t>Paladins of the West Kingdom</t>
  </si>
  <si>
    <t>For Sale</t>
  </si>
  <si>
    <t>Elder Sign</t>
  </si>
  <si>
    <t>Ascension: Deckbuilding Game</t>
  </si>
  <si>
    <t>Caverna: The Cave Farmers</t>
  </si>
  <si>
    <t>Mansions of Madness: Second Edition</t>
  </si>
  <si>
    <t>Dead of Winter: A Crossroads Game</t>
  </si>
  <si>
    <t>Dead of Winter: The Long Night</t>
  </si>
  <si>
    <t>Sushi Go Party!</t>
  </si>
  <si>
    <t>7 Wonders Duel</t>
  </si>
  <si>
    <t>Kingdomino</t>
  </si>
  <si>
    <t>Sequence</t>
  </si>
  <si>
    <t>Animal Upon Animal</t>
  </si>
  <si>
    <t>XCOM: The Board Game</t>
  </si>
  <si>
    <t>The 7th Continent</t>
  </si>
  <si>
    <t>The 7th Citadel</t>
  </si>
  <si>
    <t>Zombie Kidz Evolution</t>
  </si>
  <si>
    <r>
      <t xml:space="preserve">Kaleidoscope </t>
    </r>
    <r>
      <rPr>
        <i/>
        <sz val="11"/>
        <color theme="1"/>
        <rFont val="Aptos Narrow"/>
        <family val="2"/>
        <scheme val="minor"/>
      </rPr>
      <t>(Enkounter)</t>
    </r>
  </si>
  <si>
    <t>Power Grid</t>
  </si>
  <si>
    <t>RoboRally</t>
  </si>
  <si>
    <t>That's Pretty Clever!</t>
  </si>
  <si>
    <t>CATAN</t>
  </si>
  <si>
    <t>Twilight Imperium: Fourth Edition</t>
  </si>
  <si>
    <t>Rivals for Catan</t>
  </si>
  <si>
    <t>Category 5 aka. 6 nimmt! aka. Take 5</t>
  </si>
  <si>
    <t>Eclipse: New Dawn for the Galaxy</t>
  </si>
  <si>
    <t>BGG ID</t>
  </si>
  <si>
    <t>Fluxx</t>
  </si>
  <si>
    <t>Azul</t>
  </si>
  <si>
    <t>Tichu</t>
  </si>
  <si>
    <t>Jaipur</t>
  </si>
  <si>
    <t>Citadels</t>
  </si>
  <si>
    <t>Dixit</t>
  </si>
  <si>
    <t>Modern Art</t>
  </si>
  <si>
    <t>Twilight Struggle</t>
  </si>
  <si>
    <t>Rummikub</t>
  </si>
  <si>
    <t>Escape Room: The Game</t>
  </si>
  <si>
    <t>Gloomhaven</t>
  </si>
  <si>
    <t>Ready Set Bet</t>
  </si>
  <si>
    <t>The White Castle</t>
  </si>
  <si>
    <t>Heat: Pedal to the Metal</t>
  </si>
  <si>
    <t>Give Me the Brain!</t>
  </si>
  <si>
    <t>Flip 7</t>
  </si>
  <si>
    <t>Rhino Hero</t>
  </si>
  <si>
    <t>My First Bohnanza</t>
  </si>
  <si>
    <t>Minecraft: Builders &amp; Biomes</t>
  </si>
  <si>
    <t>My First Stone Age</t>
  </si>
  <si>
    <t>Granny Wars:  A Game of Tit for Tat</t>
  </si>
  <si>
    <t>Cosmolancer</t>
  </si>
  <si>
    <t>Mysterium Park</t>
  </si>
  <si>
    <t>Three Arrows</t>
  </si>
  <si>
    <t>Mage Knight Board Game</t>
  </si>
  <si>
    <t>Mermaid Island</t>
  </si>
  <si>
    <t>No Mercy for Monsters</t>
  </si>
  <si>
    <t>The Game of Life (2013- Editions)</t>
  </si>
  <si>
    <t>Hues and Cues</t>
  </si>
  <si>
    <t>Cascadia</t>
  </si>
  <si>
    <t>Sky Team</t>
  </si>
  <si>
    <t>Love Letter</t>
  </si>
  <si>
    <t>Dominion: Intrigue</t>
  </si>
  <si>
    <t>Slay the Spire: The Board Game</t>
  </si>
  <si>
    <t>Flipology</t>
  </si>
  <si>
    <t>Flaming Pyramids</t>
  </si>
  <si>
    <t>Glimstone Grab</t>
  </si>
  <si>
    <t>Raid the Pantry</t>
  </si>
  <si>
    <t>Ulterior Design</t>
  </si>
  <si>
    <t>World Changers</t>
  </si>
  <si>
    <t>Floating Floors</t>
  </si>
  <si>
    <t>Kiitos</t>
  </si>
  <si>
    <t>Komodo</t>
  </si>
  <si>
    <t>Lindyhop</t>
  </si>
  <si>
    <t>Manifest</t>
  </si>
  <si>
    <t>Ovation</t>
  </si>
  <si>
    <t>Oaxaca: Crafts of a Culture</t>
  </si>
  <si>
    <t>Hoard</t>
  </si>
  <si>
    <t>Codenames</t>
  </si>
  <si>
    <t>Just One</t>
  </si>
  <si>
    <t>Decrypto</t>
  </si>
  <si>
    <t>So Clover!</t>
  </si>
  <si>
    <t>Wavelength</t>
  </si>
  <si>
    <t>Pandemic</t>
  </si>
  <si>
    <t>The Crew: Mission Deep Sea</t>
  </si>
  <si>
    <t>Spirit Island</t>
  </si>
  <si>
    <t>Watergate</t>
  </si>
  <si>
    <t>Undaunted: Normandy</t>
  </si>
  <si>
    <t>Wingspan</t>
  </si>
  <si>
    <t>Splendor</t>
  </si>
  <si>
    <t>Point Salad</t>
  </si>
  <si>
    <t>Calico</t>
  </si>
  <si>
    <t>Earth</t>
  </si>
  <si>
    <t>Sea Salt &amp; Paper</t>
  </si>
  <si>
    <t>Detective Club</t>
  </si>
  <si>
    <t>Cartographers</t>
  </si>
  <si>
    <t>Cryptid</t>
  </si>
  <si>
    <t>Low</t>
  </si>
  <si>
    <t>Mean</t>
  </si>
  <si>
    <t>RANK</t>
  </si>
  <si>
    <t>King of Tokyo</t>
  </si>
  <si>
    <t>Dorfromantik: The Board Game</t>
  </si>
  <si>
    <t>The Gang</t>
  </si>
  <si>
    <t>Lost Ruins of Arnak</t>
  </si>
  <si>
    <t>Hive</t>
  </si>
  <si>
    <t>Skull</t>
  </si>
  <si>
    <t>Kingdomino Duel</t>
  </si>
  <si>
    <t>Akropolis</t>
  </si>
  <si>
    <t>Draftosaurus</t>
  </si>
  <si>
    <t>Cockroach Poker</t>
  </si>
  <si>
    <t>Forbidden Island</t>
  </si>
  <si>
    <t>Magic Maze</t>
  </si>
  <si>
    <t>No Thanks!</t>
  </si>
  <si>
    <t>The Mind</t>
  </si>
  <si>
    <t>BGO LINK</t>
  </si>
  <si>
    <t>https://www.boardgameoracle.com/en-NZ/boardgame/price/CwEdM88bNs/so-clover</t>
  </si>
  <si>
    <t>https://www.boardgameoracle.com/en-NZ/boardgame/price/GQL9Tw-RzO/cat-in-the-box-deluxe-edition</t>
  </si>
  <si>
    <t>https://www.boardgameoracle.com/en-NZ/boardgame/price/3QE76TzanS/scout</t>
  </si>
  <si>
    <t>https://www.boardgameoracle.com/en-NZ/boardgame/price/1bKL96IQQb/watergate</t>
  </si>
  <si>
    <t>https://www.boardgameoracle.com/en-NZ/boardgame/price/1fceNlC8dC/draftosaurus</t>
  </si>
  <si>
    <t>https://www.boardgameoracle.com/en-NZ/boardgame/price/LZiMnU4hVt/cockroach-poker</t>
  </si>
  <si>
    <t>https://www.boardgameoracle.com/en-NZ/boardgame/price/bpybuLeJ_t/junk-art-revolution</t>
  </si>
  <si>
    <t>https://www.boardgameoracle.com/en-NZ/boardgame/price/nXRwUjoIza/detective-club</t>
  </si>
  <si>
    <t>Green Team Wins</t>
  </si>
  <si>
    <t>https://www.boardgameoracle.com/en-NZ/boardgame/price/0Yh1rBHR19/green-team-wins</t>
  </si>
  <si>
    <t>https://www.boardgameoracle.com/en-NZ/boardgame/price/W-gni2bPnj/lost-ruins-of-arnak</t>
  </si>
  <si>
    <t>https://www.boardgameoracle.com/en-NZ/boardgame/price/wEquvhLXOM/undaunted-normandy</t>
  </si>
  <si>
    <t>https://www.boardgameoracle.com/en-NZ/boardgame/price/Lr_XLqDYlT/cryptid</t>
  </si>
  <si>
    <t>https://www.boardgameoracle.com/en-NZ/boardgame/price/F_heSaeOkV/earth</t>
  </si>
  <si>
    <t>https://www.boardgameoracle.com/en-NZ/boardgame/price/dqzBAt2yEb/spirit-island</t>
  </si>
  <si>
    <t>checked_at</t>
  </si>
  <si>
    <t>game</t>
  </si>
  <si>
    <t>site_mean_nzd</t>
  </si>
  <si>
    <t>best_in_stock_nzd</t>
  </si>
  <si>
    <t>best_in_stock_store</t>
  </si>
  <si>
    <t>discount_abs_vs_site_mean</t>
  </si>
  <si>
    <t>discount_pct_vs_site_mean</t>
  </si>
  <si>
    <t>mean_nzd_all_offers_calc</t>
  </si>
  <si>
    <t>mean_nzd_in_stock_calc</t>
  </si>
  <si>
    <t>site_disc_mean_pct</t>
  </si>
  <si>
    <t>site_disc_mean_calc_pct</t>
  </si>
  <si>
    <t>site_low_nzd</t>
  </si>
  <si>
    <t>delta_vs_site_disc_mean_pp</t>
  </si>
  <si>
    <t>Lanterns: The Harvest Festival</t>
  </si>
  <si>
    <t>Libertalia: Winds of Galecrest</t>
  </si>
  <si>
    <t/>
  </si>
  <si>
    <t>Coloretto</t>
  </si>
  <si>
    <t>Little Town</t>
  </si>
  <si>
    <t>id</t>
  </si>
  <si>
    <t>status</t>
  </si>
  <si>
    <t>title</t>
  </si>
  <si>
    <t>game_type</t>
  </si>
  <si>
    <t>year</t>
  </si>
  <si>
    <t>min_players</t>
  </si>
  <si>
    <t>max_players</t>
  </si>
  <si>
    <t>min_playtime</t>
  </si>
  <si>
    <t>max_playtime</t>
  </si>
  <si>
    <t>weight</t>
  </si>
  <si>
    <t>avg_rating</t>
  </si>
  <si>
    <t>bgg_rank</t>
  </si>
  <si>
    <t>min_age</t>
  </si>
  <si>
    <t>coop_type</t>
  </si>
  <si>
    <t>Abstract • Family</t>
  </si>
  <si>
    <t>Competitive</t>
  </si>
  <si>
    <t>Party</t>
  </si>
  <si>
    <t>Family</t>
  </si>
  <si>
    <t>Social Deduction</t>
  </si>
  <si>
    <t>Dexterity</t>
  </si>
  <si>
    <t>Co-op</t>
  </si>
  <si>
    <t>Cooperative</t>
  </si>
  <si>
    <t>Set Collection</t>
  </si>
  <si>
    <t>Party • Family</t>
  </si>
  <si>
    <t>Strategy</t>
  </si>
  <si>
    <t>Drafting</t>
  </si>
  <si>
    <t>Thematic • Family</t>
  </si>
  <si>
    <t>Abandon All Artichokes</t>
  </si>
  <si>
    <t>Children's</t>
  </si>
  <si>
    <t>Abstract</t>
  </si>
  <si>
    <t>Thematic</t>
  </si>
  <si>
    <t>Finca</t>
  </si>
  <si>
    <t>Horrified</t>
  </si>
  <si>
    <t>Planted: A Game of Nature &amp; Nurture</t>
  </si>
  <si>
    <t>Outfoxed!</t>
  </si>
  <si>
    <t>Brass: Birmingham</t>
  </si>
  <si>
    <t>Telestrations</t>
  </si>
  <si>
    <t>Monikers</t>
  </si>
  <si>
    <t>Insider</t>
  </si>
  <si>
    <t>Chronicles of Crime</t>
  </si>
  <si>
    <t>Viticulture Essential Edition</t>
  </si>
  <si>
    <t>https://www.boardgameoracle.com/en-NZ/boardgame/price/YuI5r9aUyL/telestrations</t>
  </si>
  <si>
    <t>https://www.boardgameoracle.com/en-NZ/boardgame/price/brgeM6imvW/insider</t>
  </si>
  <si>
    <t>https://www.boardgameoracle.com/en-NZ/boardgame/price/-avkB43yfp/monikers</t>
  </si>
  <si>
    <t>BEST</t>
  </si>
  <si>
    <t>Jungle Speed</t>
  </si>
  <si>
    <t>The Fox in the Forest</t>
  </si>
  <si>
    <t>Nunatak: Temple of Ice</t>
  </si>
  <si>
    <t>Meeple Circus</t>
  </si>
  <si>
    <t>PitchCar</t>
  </si>
  <si>
    <t>https://www.boardgameoracle.com/en-NZ/boardgame/price/VTbO7yY5Z8/pitchcar</t>
  </si>
  <si>
    <t>MA LINK</t>
  </si>
  <si>
    <t>Count of NAME</t>
  </si>
  <si>
    <t>KLASK</t>
  </si>
  <si>
    <t>Kites</t>
  </si>
  <si>
    <t>MicroMacro: Crime City</t>
  </si>
  <si>
    <t>Captain Sonar</t>
  </si>
  <si>
    <t>Herd Mentality</t>
  </si>
  <si>
    <t>Tapple</t>
  </si>
  <si>
    <t>Anomia</t>
  </si>
  <si>
    <t>Azul: Summer Pavilion</t>
  </si>
  <si>
    <t>Radlands</t>
  </si>
  <si>
    <t>Dune: Imperium</t>
  </si>
  <si>
    <t>The LOOP</t>
  </si>
  <si>
    <t>King of New York</t>
  </si>
  <si>
    <t>Deception: Murder in Hong Kong</t>
  </si>
  <si>
    <t>Trapwords</t>
  </si>
  <si>
    <t>Challengers!</t>
  </si>
  <si>
    <t>https://www.boardgameoracle.com/en-NZ/boardgame/price/_5CdOt-_9-/wits-and-wagers-party</t>
  </si>
  <si>
    <t>https://www.boardgameoracle.com/en-NZ/boardgame/price/RHrBJEMKNY/kites</t>
  </si>
  <si>
    <t>https://www.boardgameoracle.com/en-NZ/boardgame/price/VQqEhpax9D/micromacro-crime-city</t>
  </si>
  <si>
    <t>https://www.boardgameoracle.com/en-NZ/boardgame/price/riDpYrS7rp/clank-catacombs</t>
  </si>
  <si>
    <t>Crokinole</t>
  </si>
  <si>
    <t>https://www.boardgameoracle.com/en-NZ/boardgame/price/hbL8-nXEze/azul-summer-pavilion</t>
  </si>
  <si>
    <t>https://www.boardgameoracle.com/en-NZ/boardgame/price/5xYN9dQK6O/challengers</t>
  </si>
  <si>
    <t>https://www.boardgameoracle.com/en-NZ/boardgame/price/x-sVOMQdBT/crokinole</t>
  </si>
  <si>
    <t>https://www.boardgameoracle.com/en-NZ/boardgame/price/PQCG0bZz2t/deception-murder-in-hong-kong</t>
  </si>
  <si>
    <t>Galaxy Trucker</t>
  </si>
  <si>
    <t>https://www.boardgameoracle.com/en-NZ/boardgame/price/R869HGC5Pg/galaxy-trucker-2021</t>
  </si>
  <si>
    <t>https://www.boardgameoracle.com/en-NZ/boardgame/price/pDrG0cjAJY/great-western-trail-new-zealand</t>
  </si>
  <si>
    <t>https://www.boardgameoracle.com/en-NZ/boardgame/price/uKfE_QNiwu/king-of-new-york</t>
  </si>
  <si>
    <t>https://www.boardgameoracle.com/en-NZ/boardgame/price/G9zv2hrtCk/parks</t>
  </si>
  <si>
    <t>https://www.boardgameoracle.com/en-NZ/boardgame/price/OKtz5PXOuM/radlands</t>
  </si>
  <si>
    <t>https://www.boardgameoracle.com/en-NZ/boardgame/price/2ukSnJ39H9/railroad-ink-deep-blue-edition</t>
  </si>
  <si>
    <t>https://www.boardgameoracle.com/en-NZ/boardgame/price/FVRvI8V8QJ/tapple</t>
  </si>
  <si>
    <t>https://www.boardgameoracle.com/en-NZ/boardgame/price/kZ_7gsBEb-/times-up-title-recall</t>
  </si>
  <si>
    <t>https://www.boardgameoracle.com/en-NZ/boardgame/price/AzVKgL-igR/trapwords</t>
  </si>
  <si>
    <t>https://www.boardgameoracle.com/en-NZ/boardgame/price/dWTGXTsKg4/tumblin-dice</t>
  </si>
  <si>
    <t>https://www.boardgameoracle.com/en-NZ/boardgame/price/YzFWGEmBLk/welcome-to</t>
  </si>
  <si>
    <t>Tinderblox</t>
  </si>
  <si>
    <t>Saboteur</t>
  </si>
  <si>
    <t>Cockroach Soup</t>
  </si>
  <si>
    <t>Infernal Wagon</t>
  </si>
  <si>
    <t>Lunar</t>
  </si>
  <si>
    <t>The Fox in the Forest Duet</t>
  </si>
  <si>
    <t>Pylos</t>
  </si>
  <si>
    <t>Trick Taking</t>
  </si>
  <si>
    <t>HAVE</t>
  </si>
  <si>
    <t>Camel Up (Second Edition)</t>
  </si>
  <si>
    <t>Kakerlakensuppe</t>
  </si>
  <si>
    <t>OK</t>
  </si>
  <si>
    <t>Sheriff of Nottingham: 2nd Edition</t>
  </si>
  <si>
    <t>Discount</t>
  </si>
  <si>
    <t>price</t>
  </si>
  <si>
    <t>https://www.boardgameoracle.com/en-NZ/boardgame/price/bD0EsHvlcZ/quacks</t>
  </si>
  <si>
    <t>https://www.amazon.com.au/25th-Century-Games-Green-Board/dp/B0BCH9KZYX</t>
  </si>
  <si>
    <t>https://www.nobleknight.com/P/2148218557/Green-Team-Wins-3-6-Player-Edition</t>
  </si>
  <si>
    <t>Junk Art Revolution</t>
  </si>
  <si>
    <t>Wits &amp; Wagers Party</t>
  </si>
  <si>
    <t>website</t>
  </si>
  <si>
    <t>Race for the Galaxy</t>
  </si>
  <si>
    <t>Roller Coaster Rush</t>
  </si>
  <si>
    <t>Bohnanza</t>
  </si>
  <si>
    <t>Gardeners</t>
  </si>
  <si>
    <t>Downforce</t>
  </si>
  <si>
    <t>Leaping Lemmings</t>
  </si>
  <si>
    <t>Take 5</t>
  </si>
  <si>
    <t>Abstract • Strategy</t>
  </si>
  <si>
    <t>Thematic • Strategy</t>
  </si>
  <si>
    <t>Enkounter</t>
  </si>
  <si>
    <t>Children's • Family</t>
  </si>
  <si>
    <t>War Game • Strategy</t>
  </si>
  <si>
    <t>UNO</t>
  </si>
  <si>
    <t>Spot it!</t>
  </si>
  <si>
    <t>Five Tribes: The Djinns of Naqala</t>
  </si>
  <si>
    <t>Ni no Kuni II: The Board Game</t>
  </si>
  <si>
    <t>The Hobbit: An Unexpected Party</t>
  </si>
  <si>
    <t>Worker Placement</t>
  </si>
  <si>
    <t>Ark Nova</t>
  </si>
  <si>
    <t>Terraforming Mars</t>
  </si>
  <si>
    <t>Nemesis</t>
  </si>
  <si>
    <t>Everdell</t>
  </si>
  <si>
    <t>Lisboa</t>
  </si>
  <si>
    <t>The Crew: The Quest for Planet Nine</t>
  </si>
  <si>
    <t>Blood on the Clocktower</t>
  </si>
  <si>
    <t>Wingspan Asia</t>
  </si>
  <si>
    <t>DUP</t>
  </si>
  <si>
    <t>https://www.boardgameoracle.com/en-NZ/boardgame/price/K2tNPgSWOC/brass-birmingham</t>
  </si>
  <si>
    <t>https://www.boardgameoracle.com/en-NZ/boardgame/price/yKEg3oOK67/ark-nova</t>
  </si>
  <si>
    <t>https://www.boardgameoracle.com/en-NZ/boardgame/price/DJXkZt9Z_z/terraforming-mars</t>
  </si>
  <si>
    <t>https://www.boardgameoracle.com/en-NZ/boardgame/price/vhcYsCqPMP/everdell</t>
  </si>
  <si>
    <t>https://www.boardgameoracle.com/en-NZ/boardgame/price/lonB6ksYyX/lisboa</t>
  </si>
  <si>
    <t>https://www.boardgameoracle.com/en-NZ/boardgame/price/AfIwbkw6qf/the-crew-the-quest-for-planet-nine</t>
  </si>
  <si>
    <t>https://www.boardgameoracle.com/en-NZ/boardgame/price/shpSk_nTQm/blood-on-the-clocktower</t>
  </si>
  <si>
    <t>https://www.boardgameoracle.com/en-NZ/boardgame/price/455SQydqa0/clank-a-deck-building-adventure</t>
  </si>
  <si>
    <t>Family • Economic</t>
  </si>
  <si>
    <t>Family • Thematic</t>
  </si>
  <si>
    <t>Family • Strategy</t>
  </si>
  <si>
    <t>Telestrations: Upside Drawn</t>
  </si>
  <si>
    <t>Dungeons &amp; Dragons: Waterdeep – Dungeon of the Mad Mage Board Game</t>
  </si>
  <si>
    <t>Exploding Kittens: The Board Game</t>
  </si>
  <si>
    <t>BUILDZI</t>
  </si>
  <si>
    <t>155</t>
  </si>
  <si>
    <t>245</t>
  </si>
  <si>
    <t>1</t>
  </si>
  <si>
    <t>The Resistance: Avalon</t>
  </si>
  <si>
    <t>2</t>
  </si>
  <si>
    <t>3</t>
  </si>
  <si>
    <t>4</t>
  </si>
  <si>
    <t>5</t>
  </si>
  <si>
    <t>6</t>
  </si>
  <si>
    <t>The Chameleon</t>
  </si>
  <si>
    <t>7</t>
  </si>
  <si>
    <t>8</t>
  </si>
  <si>
    <t>Spyfall</t>
  </si>
  <si>
    <t>9</t>
  </si>
  <si>
    <t>10</t>
  </si>
  <si>
    <t>Codenames: Pictures</t>
  </si>
  <si>
    <t>11</t>
  </si>
  <si>
    <t>Shifty Eyed Spies</t>
  </si>
  <si>
    <t>12</t>
  </si>
  <si>
    <t>Throw Throw Burrito</t>
  </si>
  <si>
    <t>13</t>
  </si>
  <si>
    <t>14</t>
  </si>
  <si>
    <t>15</t>
  </si>
  <si>
    <t>16</t>
  </si>
  <si>
    <t>Happy Salmon</t>
  </si>
  <si>
    <t>17</t>
  </si>
  <si>
    <t>18</t>
  </si>
  <si>
    <t>Say Anything</t>
  </si>
  <si>
    <t>Secret Hitler</t>
  </si>
  <si>
    <t>20</t>
  </si>
  <si>
    <t>21</t>
  </si>
  <si>
    <t>23</t>
  </si>
  <si>
    <t>Silver &amp; Gold</t>
  </si>
  <si>
    <t>25</t>
  </si>
  <si>
    <t>27</t>
  </si>
  <si>
    <t>Balderdash</t>
  </si>
  <si>
    <t>30</t>
  </si>
  <si>
    <t>Wits &amp; Wagers</t>
  </si>
  <si>
    <t>Hive Mind</t>
  </si>
  <si>
    <t>Fun Facts</t>
  </si>
  <si>
    <t>34</t>
  </si>
  <si>
    <t>35</t>
  </si>
  <si>
    <t>Go Cuckoo!</t>
  </si>
  <si>
    <t>37</t>
  </si>
  <si>
    <t>39</t>
  </si>
  <si>
    <t>40</t>
  </si>
  <si>
    <t>41</t>
  </si>
  <si>
    <t>43</t>
  </si>
  <si>
    <t>45</t>
  </si>
  <si>
    <t>47</t>
  </si>
  <si>
    <t>50</t>
  </si>
  <si>
    <t>Nova Luna</t>
  </si>
  <si>
    <t>54</t>
  </si>
  <si>
    <t>Reef</t>
  </si>
  <si>
    <t>Mandala</t>
  </si>
  <si>
    <t>Anomia: Party Edition</t>
  </si>
  <si>
    <t>Pictionary Air</t>
  </si>
  <si>
    <t>60</t>
  </si>
  <si>
    <t>Word Slam</t>
  </si>
  <si>
    <t>Dixit: Journey</t>
  </si>
  <si>
    <t>63</t>
  </si>
  <si>
    <t>Concept Kids: Animals</t>
  </si>
  <si>
    <t>64</t>
  </si>
  <si>
    <t>Funemployed</t>
  </si>
  <si>
    <t>Say Bye to the Villains</t>
  </si>
  <si>
    <t>67</t>
  </si>
  <si>
    <t>69</t>
  </si>
  <si>
    <t>70</t>
  </si>
  <si>
    <t>The Estates</t>
  </si>
  <si>
    <t>72</t>
  </si>
  <si>
    <t>QE</t>
  </si>
  <si>
    <t>Inside Job</t>
  </si>
  <si>
    <t>74</t>
  </si>
  <si>
    <t>75</t>
  </si>
  <si>
    <t>Long Shot: The Dice Game</t>
  </si>
  <si>
    <t>76</t>
  </si>
  <si>
    <t>Sushi Roll</t>
  </si>
  <si>
    <t>Dinosaur Island</t>
  </si>
  <si>
    <t>80</t>
  </si>
  <si>
    <t>Dinosaur World</t>
  </si>
  <si>
    <t>Flamecraft</t>
  </si>
  <si>
    <t>My City</t>
  </si>
  <si>
    <t>Legacy of Yu</t>
  </si>
  <si>
    <t>86</t>
  </si>
  <si>
    <t>A Fake Artist Goes to New York</t>
  </si>
  <si>
    <t>Trial by Trolley</t>
  </si>
  <si>
    <t>89</t>
  </si>
  <si>
    <t>90</t>
  </si>
  <si>
    <t>Paperback</t>
  </si>
  <si>
    <t>92</t>
  </si>
  <si>
    <t>Hardback</t>
  </si>
  <si>
    <t>95</t>
  </si>
  <si>
    <t>Tumult Royale</t>
  </si>
  <si>
    <t>Tragedy Looper</t>
  </si>
  <si>
    <t>97</t>
  </si>
  <si>
    <t>Detective: A Modern Crime Board Game</t>
  </si>
  <si>
    <t>Chronicles of Crime: 1400</t>
  </si>
  <si>
    <t>99</t>
  </si>
  <si>
    <t>100</t>
  </si>
  <si>
    <t>https://www.boardgameoracle.com/en-NZ/boardgame/price/ItF8JsIfpj/the-resistance-avalon</t>
  </si>
  <si>
    <t>https://www.boardgameoracle.com/en-NZ/boardgame/price/k3yPOJRrFT/the-chameleon</t>
  </si>
  <si>
    <t>https://www.boardgameoracle.com/en-NZ/boardgame/price/rx0L0tjrpi/spyfall</t>
  </si>
  <si>
    <t>https://www.boardgameoracle.com/en-NZ/boardgame/price/ewjdLh3ohv/cadollarh-n-guns-second-edition-more-cash-n-more-guns</t>
  </si>
  <si>
    <t>https://www.boardgameoracle.com/en-NZ/boardgame/price/fNJz6jCNmG/codenames-pictures</t>
  </si>
  <si>
    <t>https://www.boardgameoracle.com/en-NZ/boardgame/price/SnTGCrvP5t/shifty-eyed-spies</t>
  </si>
  <si>
    <t>https://www.boardgameoracle.com/en-NZ/boardgame/price/LVtWWyZP0b/throw-throw-burrito</t>
  </si>
  <si>
    <t>https://www.boardgameoracle.com/en-NZ/boardgame/price/TlRlv_Obzh/happy-salmon</t>
  </si>
  <si>
    <t>https://www.boardgameoracle.com/en-NZ/boardgame/price/hf0sMIIbHg/say-anything</t>
  </si>
  <si>
    <t>https://www.boardgameoracle.com/en-NZ/boardgame/price/jumFpGTKxJ/secret-hitler</t>
  </si>
  <si>
    <t>https://www.boardgameoracle.com/en-NZ/boardgame/price/AZuGf_vsN5/monikers-serious-nonsense</t>
  </si>
  <si>
    <t>https://www.boardgameoracle.com/en-NZ/boardgame/price/2BCB2TEMyR/silver-and-gold</t>
  </si>
  <si>
    <t>https://www.boardgameoracle.com/en-NZ/boardgame/price/_gTQyWl8rz/pictomania-second-edition</t>
  </si>
  <si>
    <t>https://www.boardgameoracle.com/en-NZ/boardgame/price/ULhTtbwp_X/balderdash</t>
  </si>
  <si>
    <t>https://www.boardgameoracle.com/en-NZ/boardgame/price/_uFd0jyY4n/wits-and-wagers</t>
  </si>
  <si>
    <t>https://www.boardgameoracle.com/en-NZ/boardgame/price/ujYqS0hCif/hive-mind</t>
  </si>
  <si>
    <t>https://www.boardgameoracle.com/en-NZ/boardgame/price/58UbCk7zjm/fun-facts</t>
  </si>
  <si>
    <t>https://www.boardgameoracle.com/en-NZ/boardgame/price/w0C4UxlsAv/icecool</t>
  </si>
  <si>
    <t>https://www.boardgameoracle.com/en-NZ/boardgame/price/M4qItcL-FK/go-cuckoo</t>
  </si>
  <si>
    <t>https://www.boardgameoracle.com/en-NZ/boardgame/price/vH6RlbRFFf/the-taverns-of-tiefenthal</t>
  </si>
  <si>
    <t>https://www.boardgameoracle.com/en-NZ/boardgame/price/hJGTrZ6aPj/the-quacks-of-quedlinburg-the-herb-witches</t>
  </si>
  <si>
    <t>https://www.boardgameoracle.com/en-NZ/boardgame/price/HlPRLOl8WO/oath</t>
  </si>
  <si>
    <t>https://www.boardgameoracle.com/en-NZ/boardgame/price/Ev6O7JAqLG/azul-queens-garden</t>
  </si>
  <si>
    <t>https://www.boardgameoracle.com/en-NZ/boardgame/price/A87XWRS-Qy/nova-luna</t>
  </si>
  <si>
    <t>https://www.boardgameoracle.com/en-NZ/boardgame/price/6iLJ-Jig8e/reef</t>
  </si>
  <si>
    <t>https://www.boardgameoracle.com/en-NZ/boardgame/price/ojzSzbi7Vl/mandala</t>
  </si>
  <si>
    <t>https://www.boardgameoracle.com/en-NZ/boardgame/price/CFP7-4Cqql/anomia-party-edition</t>
  </si>
  <si>
    <t>https://www.boardgameoracle.com/en-NZ/boardgame/price/g0G7cr5xoB/linkee-4</t>
  </si>
  <si>
    <t>https://www.boardgameoracle.com/en-NZ/boardgame/price/onv_F9pH45/pictionary-air</t>
  </si>
  <si>
    <t>https://www.boardgameoracle.com/en-NZ/boardgame/price/C1i9U4b4kj/word-slam</t>
  </si>
  <si>
    <t>https://www.boardgameoracle.com/en-NZ/boardgame/price/1U9V1ZOTqe/dixit-odyssey</t>
  </si>
  <si>
    <t>https://www.boardgameoracle.com/en-NZ/boardgame/price/t7DcXI-f-q/dixit-journey</t>
  </si>
  <si>
    <t>https://www.boardgameoracle.com/en-NZ/boardgame/price/OTtGoxmnrJ/concept-kids-animals</t>
  </si>
  <si>
    <t>https://www.boardgameoracle.com/en-NZ/boardgame/price/GiHr9SFSwQ/funemployed</t>
  </si>
  <si>
    <t>https://www.boardgameoracle.com/en-NZ/boardgame/price/lw0hh4NZAV/say-bye-to-the-villains</t>
  </si>
  <si>
    <t>https://www.boardgameoracle.com/en-NZ/boardgame/price/5XpE_SHvG_/dont-get-got</t>
  </si>
  <si>
    <t>https://www.boardgameoracle.com/en-NZ/boardgame/price/JQek4q-dX3/mind-mgmt-the-psychic-espionage-game</t>
  </si>
  <si>
    <t>https://www.boardgameoracle.com/en-NZ/boardgame/price/QBClcb_oyb/worlds-fair-1893</t>
  </si>
  <si>
    <t>https://www.boardgameoracle.com/en-NZ/boardgame/price/UL4rryNj8B/the-estates</t>
  </si>
  <si>
    <t>https://www.boardgameoracle.com/en-NZ/boardgame/price/xXL8WQGHo3/qe</t>
  </si>
  <si>
    <t>https://www.boardgameoracle.com/en-NZ/boardgame/price/nUda2LrLzm/inside-job</t>
  </si>
  <si>
    <t>https://www.boardgameoracle.com/en-NZ/boardgame/price/_EYQLtWuZC/a-fake-artist-goes-to-new-york</t>
  </si>
  <si>
    <t>https://www.boardgameoracle.com/en-NZ/boardgame/price/FTtQ5As3iC/long-shot-the-dice-game</t>
  </si>
  <si>
    <t>https://www.boardgameoracle.com/en-NZ/boardgame/price/0ZmEnFwvOr/sushi-roll</t>
  </si>
  <si>
    <t>https://www.boardgameoracle.com/en-NZ/boardgame/price/rq3NKRP_60/dungeon-fighter-second-edition</t>
  </si>
  <si>
    <t>https://www.boardgameoracle.com/en-NZ/boardgame/price/8NH90WytKp/dinosaur-island</t>
  </si>
  <si>
    <t>https://www.boardgameoracle.com/en-NZ/boardgame/price/7xyA-d6l0x/dinosaur-world</t>
  </si>
  <si>
    <t>https://www.boardgameoracle.com/en-NZ/boardgame/price/Il_CaPaElq/flamecraft</t>
  </si>
  <si>
    <t>https://www.boardgameoracle.com/en-NZ/boardgame/price/mNPX5hIFwF/trial-by-trolley</t>
  </si>
  <si>
    <t>https://www.boardgameoracle.com/en-NZ/boardgame/price/vmH2xJcMgd/legacy-of-yu</t>
  </si>
  <si>
    <t>https://www.boardgameoracle.com/en-NZ/boardgame/price/67BKawSrIj/paperback</t>
  </si>
  <si>
    <t>https://www.boardgameoracle.com/en-NZ/boardgame/price/UbUzjjW5su/hardback</t>
  </si>
  <si>
    <t>https://www.boardgameoracle.com/en-NZ/boardgame/price/oIlI04-plq/railroad-ink-challenge-lush-green-edition</t>
  </si>
  <si>
    <t>https://www.boardgameoracle.com/en-NZ/boardgame/price/9lxKPvEkHK/tumult-royale</t>
  </si>
  <si>
    <t>https://www.boardgameoracle.com/en-NZ/boardgame/price/oA0A_IHHqA/tragedy-looper</t>
  </si>
  <si>
    <t>https://www.boardgameoracle.com/en-NZ/boardgame/price/zMYAWaQZ6h/detective-a-modern-crime-board-game</t>
  </si>
  <si>
    <t>https://www.boardgameoracle.com/en-NZ/boardgame/price/8fD2w_wMH9/chronicles-of-crime-1400</t>
  </si>
  <si>
    <t>Ticket to Ride: First Journey (U.S.)</t>
  </si>
  <si>
    <t>A Feast for Odin</t>
  </si>
  <si>
    <t>UNO: Show 'Em No Mercy</t>
  </si>
  <si>
    <t>Isle of Skye: From Chieftain to King</t>
  </si>
  <si>
    <t>https://www.boardgameoracle.com/en-NZ/boardgame/price/BHRQNsUf39/isle-of-skye-from-chieftain-to-king</t>
  </si>
  <si>
    <t>Great Western Trail: New Zealand</t>
  </si>
  <si>
    <t>Regicide</t>
  </si>
  <si>
    <t>2022</t>
  </si>
  <si>
    <t>2010</t>
  </si>
  <si>
    <t>2020</t>
  </si>
  <si>
    <t>255</t>
  </si>
  <si>
    <t>2018</t>
  </si>
  <si>
    <t>2021</t>
  </si>
  <si>
    <t>2008</t>
  </si>
  <si>
    <t>1.1707</t>
  </si>
  <si>
    <t>2015</t>
  </si>
  <si>
    <t>2003</t>
  </si>
  <si>
    <t>115</t>
  </si>
  <si>
    <t>340</t>
  </si>
  <si>
    <t>1.3</t>
  </si>
  <si>
    <t>2019</t>
  </si>
  <si>
    <t>6.76739</t>
  </si>
  <si>
    <t>2023</t>
  </si>
  <si>
    <t>2025</t>
  </si>
  <si>
    <t>0</t>
  </si>
  <si>
    <t>2001</t>
  </si>
  <si>
    <t>2014</t>
  </si>
  <si>
    <t>1.2222</t>
  </si>
  <si>
    <t>1.2</t>
  </si>
  <si>
    <t>1997</t>
  </si>
  <si>
    <t>1.7143</t>
  </si>
  <si>
    <t>253</t>
  </si>
  <si>
    <t>2012</t>
  </si>
  <si>
    <t>2.3333</t>
  </si>
  <si>
    <t>6.50652</t>
  </si>
  <si>
    <t>7.03824</t>
  </si>
  <si>
    <t>2017</t>
  </si>
  <si>
    <t>2024</t>
  </si>
  <si>
    <t>2.8182</t>
  </si>
  <si>
    <t>1.9167</t>
  </si>
  <si>
    <t>2.2222</t>
  </si>
  <si>
    <t>165</t>
  </si>
  <si>
    <t>1993</t>
  </si>
  <si>
    <t>1.9187</t>
  </si>
  <si>
    <t>1.6667</t>
  </si>
  <si>
    <t>7.01574</t>
  </si>
  <si>
    <t>2004</t>
  </si>
  <si>
    <t>2011</t>
  </si>
  <si>
    <t>150</t>
  </si>
  <si>
    <t>235</t>
  </si>
  <si>
    <t>1.8571</t>
  </si>
  <si>
    <t>2007</t>
  </si>
  <si>
    <t>2009</t>
  </si>
  <si>
    <t>1.5</t>
  </si>
  <si>
    <t>1.6</t>
  </si>
  <si>
    <t>2.2</t>
  </si>
  <si>
    <t>1.8455</t>
  </si>
  <si>
    <t>2005</t>
  </si>
  <si>
    <t>2.1379</t>
  </si>
  <si>
    <t>2000</t>
  </si>
  <si>
    <t>1995</t>
  </si>
  <si>
    <t>120</t>
  </si>
  <si>
    <t>1994</t>
  </si>
  <si>
    <t>1979</t>
  </si>
  <si>
    <t>1.7895</t>
  </si>
  <si>
    <t>2013</t>
  </si>
  <si>
    <t>210</t>
  </si>
  <si>
    <t>2016</t>
  </si>
  <si>
    <t>243</t>
  </si>
  <si>
    <t>180</t>
  </si>
  <si>
    <t>1.0667</t>
  </si>
  <si>
    <t>1996</t>
  </si>
  <si>
    <t>1.2727</t>
  </si>
  <si>
    <t>6.13305</t>
  </si>
  <si>
    <t>199</t>
  </si>
  <si>
    <t>2006</t>
  </si>
  <si>
    <t>240</t>
  </si>
  <si>
    <t>5.08224</t>
  </si>
  <si>
    <t>1992</t>
  </si>
  <si>
    <t>2.7241</t>
  </si>
  <si>
    <t>1.3077</t>
  </si>
  <si>
    <t>1.1143</t>
  </si>
  <si>
    <t>1.0207</t>
  </si>
  <si>
    <t>2.3222</t>
  </si>
  <si>
    <t>2.4285</t>
  </si>
  <si>
    <t>1977</t>
  </si>
  <si>
    <t>1982</t>
  </si>
  <si>
    <t>276</t>
  </si>
  <si>
    <t>1000</t>
  </si>
  <si>
    <t>1998</t>
  </si>
  <si>
    <t>1991</t>
  </si>
  <si>
    <t>174</t>
  </si>
  <si>
    <t>480</t>
  </si>
  <si>
    <t>1971</t>
  </si>
  <si>
    <t>2.911</t>
  </si>
  <si>
    <t>2.4035</t>
  </si>
  <si>
    <t>1.4167</t>
  </si>
  <si>
    <t>Dixit: Odyssey</t>
  </si>
  <si>
    <t>226</t>
  </si>
  <si>
    <t>Party • Strategy</t>
  </si>
  <si>
    <t>Time's Up! Title Recall!</t>
  </si>
  <si>
    <t>1.1895</t>
  </si>
  <si>
    <t>236</t>
  </si>
  <si>
    <t>Party • Thematic</t>
  </si>
  <si>
    <t>Ca$h 'n Guns: Second Edition</t>
  </si>
  <si>
    <t>1.25</t>
  </si>
  <si>
    <t>256</t>
  </si>
  <si>
    <t>Clank!: A Deck-Building Adventure</t>
  </si>
  <si>
    <t>Clank!: Catacombs</t>
  </si>
  <si>
    <t>War Game</t>
  </si>
  <si>
    <t>1876</t>
  </si>
  <si>
    <t>322</t>
  </si>
  <si>
    <t>271</t>
  </si>
  <si>
    <t>Delta</t>
  </si>
  <si>
    <t>STORE</t>
  </si>
  <si>
    <t>Railroad Ink: Deep Blue Edition</t>
  </si>
  <si>
    <t>2.3292</t>
  </si>
  <si>
    <t>1.0606</t>
  </si>
  <si>
    <t>1.1111</t>
  </si>
  <si>
    <t>1.8715</t>
  </si>
  <si>
    <t>1.4333</t>
  </si>
  <si>
    <t>Oath</t>
  </si>
  <si>
    <t>320</t>
  </si>
  <si>
    <t>Parks (Second Edition)</t>
  </si>
  <si>
    <t>1984</t>
  </si>
  <si>
    <t>Quacks</t>
  </si>
  <si>
    <t>The Quacks of Quedlinburg: The Herb Witches</t>
  </si>
  <si>
    <t>Family • Expansion for Base-game</t>
  </si>
  <si>
    <t>The Taverns of Tiefenthal</t>
  </si>
  <si>
    <t>1.7385</t>
  </si>
  <si>
    <t>Cat in the Box: Deluxe Edition</t>
  </si>
  <si>
    <t>200</t>
  </si>
  <si>
    <t>177</t>
  </si>
  <si>
    <t>176</t>
  </si>
  <si>
    <t>Welcome To...</t>
  </si>
  <si>
    <t>1.2065</t>
  </si>
  <si>
    <t>Terraforming Mars: Ares Expedition</t>
  </si>
  <si>
    <t>Tumblin' Dice</t>
  </si>
  <si>
    <t>Catch the Moon</t>
  </si>
  <si>
    <t>Medium</t>
  </si>
  <si>
    <t>Tokyo Highway</t>
  </si>
  <si>
    <t>Targi</t>
  </si>
  <si>
    <t>Onitama</t>
  </si>
  <si>
    <t>Santorini</t>
  </si>
  <si>
    <t>Sobek: 2 Players</t>
  </si>
  <si>
    <t>Schotten Totten</t>
  </si>
  <si>
    <t>Obscurio</t>
  </si>
  <si>
    <t>Project L</t>
  </si>
  <si>
    <t>Super-Skill Pinball: 4-Cade</t>
  </si>
  <si>
    <t>Qwirkle</t>
  </si>
  <si>
    <t>5-Minute Dungeon</t>
  </si>
  <si>
    <t>Star Realms: Frontiers</t>
  </si>
  <si>
    <t>Architects of the West Kingdom</t>
  </si>
  <si>
    <t>Space Base</t>
  </si>
  <si>
    <t>Kingdom Builder</t>
  </si>
  <si>
    <t>Meadow</t>
  </si>
  <si>
    <t>Savannah Park</t>
  </si>
  <si>
    <t>Imhotep</t>
  </si>
  <si>
    <t>Sleeping Gods</t>
  </si>
  <si>
    <t>"Please recommend 100 board games I don't already own, ranked 1-100 in order of priority for my board game library. I use games for café play, conventions, and corporate team-building events.
Format for each game:
Rank (#1-100)
Game name
BoardGameGeek ID
Organization:
Ranks 1-20: Top Essentials - highest-priority additions that fill critical gaps
Ranks 21-50: Strong Additions - valuable games that strengthen the library
Ranks 51-100: Long-term Goals - good future additions or opportunistic buys
Priorities:
Fill gaps in my current collection (focus on missing genres, player counts, complexity levels)
Ensure broad genre coverage for diverse audiences
Emphasize practical utility across café, convention, and team-building contexts
Balance accessibility with engagement
My current collection:
[Insert your game list here]
Provide just the ranked list - no explanations needed."</t>
  </si>
  <si>
    <t>Azul: Queen's Garden</t>
  </si>
  <si>
    <t>2.9263</t>
  </si>
  <si>
    <t>Camel Up Cards</t>
  </si>
  <si>
    <t>1.7273</t>
  </si>
  <si>
    <t>1.9881</t>
  </si>
  <si>
    <t>1.1818</t>
  </si>
  <si>
    <t>837</t>
  </si>
  <si>
    <t>Don't Get Got!</t>
  </si>
  <si>
    <t>2.0714</t>
  </si>
  <si>
    <t>1.0909</t>
  </si>
  <si>
    <t>ICECOOL</t>
  </si>
  <si>
    <t>451</t>
  </si>
  <si>
    <t>Linkee!</t>
  </si>
  <si>
    <t>Mind MGMT: The Psychic Espionage “Game.”</t>
  </si>
  <si>
    <t>Monikers: Serious Nonsense</t>
  </si>
  <si>
    <t>Pictomania (Second Edition)</t>
  </si>
  <si>
    <t>1.463</t>
  </si>
  <si>
    <t>Railroad Ink Challenge: Lush Green Edition</t>
  </si>
  <si>
    <t>2.1622</t>
  </si>
  <si>
    <t>SCOUT</t>
  </si>
  <si>
    <t>1.1765</t>
  </si>
  <si>
    <t>285</t>
  </si>
  <si>
    <t>2.3108</t>
  </si>
  <si>
    <t>1.1039</t>
  </si>
  <si>
    <t>3.5502</t>
  </si>
  <si>
    <t>1058</t>
  </si>
  <si>
    <t>1.0263</t>
  </si>
  <si>
    <t>1.0417</t>
  </si>
  <si>
    <t>2.0385</t>
  </si>
  <si>
    <t>1.1</t>
  </si>
  <si>
    <t>World's Fair 1893</t>
  </si>
  <si>
    <t>2.757</t>
  </si>
  <si>
    <t>Can't Stop</t>
  </si>
  <si>
    <t>1980</t>
  </si>
  <si>
    <t>1.1432</t>
  </si>
  <si>
    <t>Dungeon Fighter: Second Edition</t>
  </si>
  <si>
    <t>1.7838</t>
  </si>
  <si>
    <t>1.1481</t>
  </si>
  <si>
    <t>Hadrian's Wall</t>
  </si>
  <si>
    <t>599</t>
  </si>
  <si>
    <t>212</t>
  </si>
  <si>
    <t>1.0938</t>
  </si>
  <si>
    <t>1.9103</t>
  </si>
  <si>
    <t>374</t>
  </si>
  <si>
    <t>1.7547</t>
  </si>
  <si>
    <t>1999</t>
  </si>
  <si>
    <t>1.9275</t>
  </si>
  <si>
    <t>TEAM3 GREEN</t>
  </si>
  <si>
    <t>1.2143</t>
  </si>
  <si>
    <t>1.4118</t>
  </si>
  <si>
    <t>Root</t>
  </si>
  <si>
    <t>https://www.boardgameoracle.com/en-NZ/boardgame/price/8u88FlblU7/terraforming-mars-ares-expedition</t>
  </si>
  <si>
    <t>https://www.boardgameoracle.com/en-NZ/boardgame/price/kpase6kheF/root</t>
  </si>
  <si>
    <t>https://www.boardgameoracle.com/en-NZ/boardgame/price/64Lc1Uvplx/catch-the-moon</t>
  </si>
  <si>
    <t>https://www.boardgameoracle.com/en-NZ/boardgame/price/kqyKcoVrTs/medium</t>
  </si>
  <si>
    <t>https://www.boardgameoracle.com/en-NZ/boardgame/price/4qvsJcaCLC/cant-stop</t>
  </si>
  <si>
    <t>https://www.boardgameoracle.com/en-NZ/boardgame/price/E3EyqLrnsC/tokyo-highway-2018</t>
  </si>
  <si>
    <t>https://www.boardgameoracle.com/en-NZ/boardgame/price/lAzkD15FfY/team3-green</t>
  </si>
  <si>
    <t>https://www.boardgameoracle.com/en-NZ/boardgame/price/jf9Lg3E9e8/targi</t>
  </si>
  <si>
    <t>https://www.boardgameoracle.com/en-NZ/boardgame/price/i0kG0sEypk/onitama</t>
  </si>
  <si>
    <t>https://www.boardgameoracle.com/en-NZ/boardgame/price/5_TQJXBwtr/santorini</t>
  </si>
  <si>
    <t>https://www.boardgameoracle.com/en-NZ/boardgame/price/12vLrbi1bt/sobek-2-players</t>
  </si>
  <si>
    <t>https://www.boardgameoracle.com/en-NZ/boardgame/price/AqCS_RGHZK/schotten-totten</t>
  </si>
  <si>
    <t>https://www.boardgameoracle.com/en-NZ/boardgame/price/OAUei4oHI-/architects-of-the-west-kingdom</t>
  </si>
  <si>
    <t>https://www.boardgameoracle.com/en-NZ/boardgame/price/CMEJy85do_/space-base</t>
  </si>
  <si>
    <t>https://www.boardgameoracle.com/en-NZ/boardgame/price/KOLN99FBId/sleeping-gods</t>
  </si>
  <si>
    <t>https://www.boardgameoracle.com/en-NZ/boardgame/price/r3cJkFHUON/project-l</t>
  </si>
  <si>
    <t>https://www.boardgameoracle.com/en-NZ/boardgame/price/OEvWUAWUsy/hadrians-wall</t>
  </si>
  <si>
    <t>https://www.boardgameoracle.com/en-NZ/boardgame/price/jzkb-eEhJx/kingdom-builder</t>
  </si>
  <si>
    <t>https://www.boardgameoracle.com/en-NZ/boardgame/price/yMVoGosSUu/imhotep</t>
  </si>
  <si>
    <t>https://www.boardgameoracle.com/en-NZ/boardgame/price/BFfpIsm4vr/star-realms-frontiers</t>
  </si>
  <si>
    <t>https://www.boardgameoracle.com/en-NZ/boardgame/price/KQq2yWtWo9/obscurio</t>
  </si>
  <si>
    <t>https://www.boardgameoracle.com/en-NZ/boardgame/price/sd_mxziM3f/the-loop</t>
  </si>
  <si>
    <t>https://www.boardgameoracle.com/en-NZ/boardgame/price/wadAkS5z4S/super-skill-pinball-4-cade</t>
  </si>
  <si>
    <t>https://www.boardgameoracle.com/en-NZ/boardgame/price/nFWL6NuQw_/savannah-park</t>
  </si>
  <si>
    <t>https://www.boardgameoracle.com/en-NZ/boardgame/price/sU3ueSdHYP/5-minute-dungeon</t>
  </si>
  <si>
    <t>https://www.boardgameoracle.com/en-NZ/boardgame/price/PXB8WOpvSj/qwirkle</t>
  </si>
  <si>
    <t>https://www.mightyape.co.nz/mn/buy/mighty-ape-ark-nova-board-game-35598040.data</t>
  </si>
  <si>
    <t>https://www.mightyape.co.nz/mn/buy/mighty-ape-azul-queens-garden-board-game-35290615.data</t>
  </si>
  <si>
    <t>https://www.mightyape.co.nz/mn/buy/mighty-ape-blood-on-the-clocktower-40812462.data</t>
  </si>
  <si>
    <t>https://www.mightyape.co.nz/mn/buy/mighty-ape-brass-birmingham-28144454.data</t>
  </si>
  <si>
    <t>https://www.mightyape.co.nz/mn/buy/mighty-ape-clank-a-deck-building-adventure-26883435.data</t>
  </si>
  <si>
    <t>https://www.mightyape.co.nz/mn/buy/mighty-ape-cockroach-poker-card-game-33528127.data</t>
  </si>
  <si>
    <t>https://www.mightyape.co.nz/mn/buy/mighty-ape-codenames-pictures-card-game-26164549.data</t>
  </si>
  <si>
    <t>https://www.mightyape.co.nz/mn/buy/mighty-ape-dune-imperium-33916311.data</t>
  </si>
  <si>
    <t>https://www.mightyape.co.nz/mn/buy/mighty-ape-earth-board-game-37874515.data</t>
  </si>
  <si>
    <t>https://www.mightyape.co.nz/mn/buy/mighty-ape-everdell-board-game-27801327.data</t>
  </si>
  <si>
    <t>https://www.mightyape.co.nz/mn/buy/mighty-ape-galaxy-trucker-2nd-edition-35290668.data</t>
  </si>
  <si>
    <t>https://www.mightyape.co.nz/mn/buy/mighty-ape-great-western-trail-new-zealand-board-game-37874453.data</t>
  </si>
  <si>
    <t>https://www.mightyape.co.nz/mn/buy/mighty-ape-happy-salmon-by-exploding-kittens-35323364.data</t>
  </si>
  <si>
    <t>https://www.mightyape.co.nz/mn/buy/mighty-ape-kites-time-to-fly-board-game-36044021.data</t>
  </si>
  <si>
    <t>https://www.mightyape.co.nz/mn/buy/mighty-ape-lost-ruins-of-arnak-board-game-34012325.data</t>
  </si>
  <si>
    <t>https://www.mightyape.co.nz/mn/buy/mighty-ape-micromacro-crime-city-board-game-34981963.data</t>
  </si>
  <si>
    <t>https://www.mightyape.co.nz/mn/buy/mighty-ape-monikers-27109621.data</t>
  </si>
  <si>
    <t>https://www.mightyape.co.nz/mn/buy/mighty-ape-monikers-serious-nonsense-34823860.data</t>
  </si>
  <si>
    <t>https://www.mightyape.co.nz/mn/buy/mighty-ape-oath-board-game-34843459.data</t>
  </si>
  <si>
    <t>https://www.mightyape.co.nz/mn/buy/mighty-ape-parks-board-game-31927930.data</t>
  </si>
  <si>
    <t>https://www.mightyape.co.nz/mn/buy/mighty-ape-radlands-board-game-35894067.data</t>
  </si>
  <si>
    <t>https://www.mightyape.co.nz/mn/buy/mighty-ape-railroad-ink-deep-blue-edition-board-game-28971385.data</t>
  </si>
  <si>
    <t>https://www.mightyape.co.nz/mn/buy/mighty-ape-resistance-avalon-21450378.data</t>
  </si>
  <si>
    <t>https://www.mightyape.co.nz/mn/buy/mighty-ape-scout-board-game-35830736.data</t>
  </si>
  <si>
    <t>https://www.mightyape.co.nz/mn/buy/mighty-ape-secret-hitler-28447305.data</t>
  </si>
  <si>
    <t>https://www.mightyape.co.nz/mn/buy/mighty-ape-spirit-island-board-game-27109562.data</t>
  </si>
  <si>
    <t>https://www.mightyape.co.nz/mn/buy/mighty-ape-spyfall-board-game-23993586.data</t>
  </si>
  <si>
    <t>https://www.mightyape.co.nz/mn/buy/mighty-ape-tapple-board-game-36575214.data</t>
  </si>
  <si>
    <t>https://www.mightyape.co.nz/mn/buy/mighty-ape-terraforming-mars-board-game-26161858.data</t>
  </si>
  <si>
    <t>https://www.mightyape.co.nz/mn/buy/mighty-ape-the-chameleon-game-27195512.data</t>
  </si>
  <si>
    <t>https://www.mightyape.co.nz/mn/buy/mighty-ape-throw-throw-burrito-31036134.data</t>
  </si>
  <si>
    <t>https://www.mightyape.co.nz/mn/buy/mighty-ape-undaunted-north-africa-game-expansion-33298057.data</t>
  </si>
  <si>
    <t>Zombie Dice</t>
  </si>
  <si>
    <t>581</t>
  </si>
  <si>
    <t>1.093</t>
  </si>
  <si>
    <t>The Fellowship of the Ring: Trick-Taking Game</t>
  </si>
  <si>
    <t>https://www.boardgameoracle.com/en-NZ/boardgame/price/1tFClsmmV5/camel-up-the-card-game</t>
  </si>
  <si>
    <t>110</t>
  </si>
  <si>
    <t>1.0388</t>
  </si>
  <si>
    <t>789</t>
  </si>
  <si>
    <t>91</t>
  </si>
  <si>
    <t>1.6681</t>
  </si>
  <si>
    <t>538</t>
  </si>
  <si>
    <t>259</t>
  </si>
  <si>
    <t>158</t>
  </si>
  <si>
    <t>1766</t>
  </si>
  <si>
    <t>409</t>
  </si>
  <si>
    <t>128</t>
  </si>
  <si>
    <t>477</t>
  </si>
  <si>
    <t>1538</t>
  </si>
  <si>
    <t>2.0625</t>
  </si>
  <si>
    <t>323</t>
  </si>
  <si>
    <t>1.0706</t>
  </si>
  <si>
    <t>1.4856</t>
  </si>
  <si>
    <t>464</t>
  </si>
  <si>
    <t>1.5128</t>
  </si>
  <si>
    <t>1.5435</t>
  </si>
  <si>
    <t>1052</t>
  </si>
  <si>
    <t>328</t>
  </si>
  <si>
    <t>1672</t>
  </si>
  <si>
    <t>433</t>
  </si>
  <si>
    <t>279</t>
  </si>
  <si>
    <t>1.1185</t>
  </si>
  <si>
    <t>33</t>
  </si>
  <si>
    <t>237</t>
  </si>
  <si>
    <t>274</t>
  </si>
  <si>
    <t>196</t>
  </si>
  <si>
    <t>2.9756</t>
  </si>
  <si>
    <t>42</t>
  </si>
  <si>
    <t>3.6135</t>
  </si>
  <si>
    <t>6.525</t>
  </si>
  <si>
    <t>94</t>
  </si>
  <si>
    <t>Unlock!: Short Adventures – Red Mask</t>
  </si>
  <si>
    <t>957</t>
  </si>
  <si>
    <t>264</t>
  </si>
  <si>
    <t>1250</t>
  </si>
  <si>
    <t>531</t>
  </si>
  <si>
    <t>7.26234</t>
  </si>
  <si>
    <t>1082</t>
  </si>
  <si>
    <t>thumbnail_url</t>
  </si>
  <si>
    <t>image_url</t>
  </si>
  <si>
    <t>https://cf.geekdo-images.com/35h9Za_JvMMMtx_92kT0Jg__small/img/BUOso8b0M1aUOkU80FWlhE8uuxc=/fit-in/200x150/filters:strip_icc()/pic7149798.jpg</t>
  </si>
  <si>
    <t>https://cf.geekdo-images.com/35h9Za_JvMMMtx_92kT0Jg__original/img/jt70jJDZ1y1FWJs4ZQf5FI8APVY=/0x0/filters:format(jpeg)/pic7149798.jpg</t>
  </si>
  <si>
    <t>https://cf.geekdo-images.com/zdagMskTF7wJBPjX74XsRw__small/img/gV1-ckZSIC-dCxxpq1Y7GmPITzQ=/fit-in/200x150/filters:strip_icc()/pic2576399.jpg</t>
  </si>
  <si>
    <t>https://cf.geekdo-images.com/zdagMskTF7wJBPjX74XsRw__original/img/Ju836WNSaW7Mab9Vjq2TJ_FqhWQ=/0x0/filters:format(jpeg)/pic2576399.jpg</t>
  </si>
  <si>
    <t>https://cf.geekdo-images.com/s9oGMCo1fcfV4Dk3EnqLZw__small/img/AKxMMz2DTbBrEynhDROla8fdjJ4=/fit-in/200x150/filters:strip_icc()/pic3146943.png</t>
  </si>
  <si>
    <t>https://cf.geekdo-images.com/s9oGMCo1fcfV4Dk3EnqLZw__original/img/N1X-0JB1GapFVhl98nP4tNFXMcM=/0x0/filters:format(png)/pic3146943.png</t>
  </si>
  <si>
    <t>https://cf.geekdo-images.com/qwFz_zhMjIxRjgAIx__8WQ__small/img/PPRNQrHRGq48IhY6PlOXg95aYUw=/fit-in/200x150/filters:strip_icc()/pic5335069.png</t>
  </si>
  <si>
    <t>https://cf.geekdo-images.com/qwFz_zhMjIxRjgAIx__8WQ__original/img/pxX6W95d3V38ZuynABAtorApTc8=/0x0/filters:format(png)/pic5335069.png</t>
  </si>
  <si>
    <t>https://cf.geekdo-images.com/OTb0hIJHE-U3eD0FmpBrzA__small/img/ELFjkv8JJACHRQHQf6b9hzJziaw=/fit-in/200x150/filters:strip_icc()/pic6705097.jpg</t>
  </si>
  <si>
    <t>https://cf.geekdo-images.com/OTb0hIJHE-U3eD0FmpBrzA__original/img/GpSyHl2wwgLJ6JHJAjPbEQk4MNU=/0x0/filters:format(jpeg)/pic6705097.jpg</t>
  </si>
  <si>
    <t>https://cf.geekdo-images.com/OvOpd-Lhl7t3h9fF_qi6lQ__small/img/002NO49Pl3-9dPUj43StWt0SS2c=/fit-in/200x150/filters:strip_icc()/pic2527529.jpg</t>
  </si>
  <si>
    <t>https://cf.geekdo-images.com/OvOpd-Lhl7t3h9fF_qi6lQ__original/img/0_8ukg1eYy8HxXTAwPgKptJXTeU=/0x0/filters:format(jpeg)/pic2527529.jpg</t>
  </si>
  <si>
    <t>https://cf.geekdo-images.com/DP20jf4R3RcsjJUwwV1vCw__small/img/SWczusxnG6IavIPNQXwvorFfqwo=/fit-in/200x150/filters:strip_icc()/pic2382123.jpg</t>
  </si>
  <si>
    <t>https://cf.geekdo-images.com/DP20jf4R3RcsjJUwwV1vCw__original/img/O_DcqcBQGcWqO0HhJVojg5-VMoc=/0x0/filters:format(jpeg)/pic2382123.jpg</t>
  </si>
  <si>
    <t>https://cf.geekdo-images.com/aPSHJO0d0XOpQR5X-wJonw__small/img/ccsXKrdGJw-YSClWwzVUwk5Nh9Y=/fit-in/200x150/filters:strip_icc()/pic6973671.png</t>
  </si>
  <si>
    <t>https://cf.geekdo-images.com/aPSHJO0d0XOpQR5X-wJonw__original/img/AkbtYVc6xXJF3c9EUrakklcclKw=/0x0/filters:format(png)/pic6973671.png</t>
  </si>
  <si>
    <t>https://cf.geekdo-images.com/8SADtu_4zBH_UJrCo935Iw__small/img/vwTEQOWA3Mw__ztkTMulOgJ82Pw=/fit-in/200x150/filters:strip_icc()/pic6348964.jpg</t>
  </si>
  <si>
    <t>https://cf.geekdo-images.com/8SADtu_4zBH_UJrCo935Iw__original/img/RNuAr2CDbxE3XzeJVkxj4Df3eVM=/0x0/filters:format(jpeg)/pic6348964.jpg</t>
  </si>
  <si>
    <t>https://cf.geekdo-images.com/yHhgylSLJyerUkZGZfcsQw__small/img/axXJPKxgDwN9M803G-IhUAsdlEI=/fit-in/200x150/filters:strip_icc()/pic6621220.jpg</t>
  </si>
  <si>
    <t>https://cf.geekdo-images.com/yHhgylSLJyerUkZGZfcsQw__original/img/gsbnJwEGp1mYkt2gl_ixHVFMxy4=/0x0/filters:format(jpeg)/pic6621220.jpg</t>
  </si>
  <si>
    <t>https://cf.geekdo-images.com/qGkU6XsF1448F_A4P8TY5Q__small/img/l5ODCWYHD8_1x-WFqf-TJZhXT38=/fit-in/200x150/filters:strip_icc()/pic8124431.jpg</t>
  </si>
  <si>
    <t>https://cf.geekdo-images.com/qGkU6XsF1448F_A4P8TY5Q__original/img/sm-qIkkIoKuYRUgkfP6kkXTm1QY=/0x0/filters:format(jpeg)/pic8124431.jpg</t>
  </si>
  <si>
    <t>https://cf.geekdo-images.com/qnR2V3YsW963_JaVznBjsw__small/img/qNHZxa7oJCTdnYdyBsqHs__Owsk=/fit-in/200x150/filters:strip_icc()/pic8584959.jpg</t>
  </si>
  <si>
    <t>https://cf.geekdo-images.com/qnR2V3YsW963_JaVznBjsw__original/img/8F0hZUlnJ6X924xYr8u5wtamtng=/0x0/filters:format(jpeg)/pic8584959.jpg</t>
  </si>
  <si>
    <t>https://cf.geekdo-images.com/okM0dq_bEXnbyQTOvHfwRA__small/img/88274KiOg94wziybVHyW8AeOiXg=/fit-in/200x150/filters:strip_icc()/pic6544250.png</t>
  </si>
  <si>
    <t>https://cf.geekdo-images.com/okM0dq_bEXnbyQTOvHfwRA__original/img/aVZEXAI-cUtuunNfPhjeHlS4fwQ=/0x0/filters:format(png)/pic6544250.png</t>
  </si>
  <si>
    <t>https://cf.geekdo-images.com/MjeJZfulbsM1DSV3DrGJYA__small/img/tVSFjSxYEcw7sKj3unIIQV8kxoc=/fit-in/200x150/filters:strip_icc()/pic5100691.jpg</t>
  </si>
  <si>
    <t>https://cf.geekdo-images.com/MjeJZfulbsM1DSV3DrGJYA__original/img/B374C04Eip7fmQBGJzgiOTp-jyQ=/0x0/filters:format(jpeg)/pic5100691.jpg</t>
  </si>
  <si>
    <t>https://cf.geekdo-images.com/PyUol9QxBnZQCJqZI6bmSA__original/img/g11AF48C6pLizxWPAq9dUEeKltQ=/0x0/filters:format(png)/pic8632666.png</t>
  </si>
  <si>
    <t>https://cf.geekdo-images.com/WuOY1XAIJQ-RGAmT_apW_w__small/img/dhNHd8Ztln_lUFAdti6WkPnGTGg=/fit-in/200x150/filters:strip_icc()/pic8632998.jpg</t>
  </si>
  <si>
    <t>https://cf.geekdo-images.com/WuOY1XAIJQ-RGAmT_apW_w__original/img/06TSBC2s-cwbxfPmy_pf7n5p-jM=/0x0/filters:format(jpeg)/pic8632998.jpg</t>
  </si>
  <si>
    <t>https://cf.geekdo-images.com/78Dgd-b_1_xEv4OXVKdaag__small/img/mrvl6BsXE-IGkqt2otFbIe7zYV4=/fit-in/200x150/filters:strip_icc()/pic7012177.jpg</t>
  </si>
  <si>
    <t>https://cf.geekdo-images.com/78Dgd-b_1_xEv4OXVKdaag__original/img/1V-WCnoHrm2tDjBHpXfxoKp2rCo=/0x0/filters:format(jpeg)/pic7012177.jpg</t>
  </si>
  <si>
    <t>https://cf.geekdo-images.com/EAqbd46lFxo-7GumlO8U4w__small/img/g-qxFyjgqn7kwH3erf3jhmgYaIU=/fit-in/200x150/filters:strip_icc()/pic5598833.jpg</t>
  </si>
  <si>
    <t>https://cf.geekdo-images.com/EAqbd46lFxo-7GumlO8U4w__original/img/oNM6bkDbjww-7nKZX-WYYmPxRws=/0x0/filters:format(jpeg)/pic5598833.jpg</t>
  </si>
  <si>
    <t>https://cf.geekdo-images.com/1BMyuEwK0zV9005oYinYLw__small/img/QFzbDlFGzK3yRZNLnRr4YzHwEuY=/fit-in/200x150/filters:strip_icc()/pic4317519.jpg</t>
  </si>
  <si>
    <t>https://cf.geekdo-images.com/1BMyuEwK0zV9005oYinYLw__original/img/3OigysLof9HIk4jvV79Cm-tb-gY=/0x0/filters:format(jpeg)/pic4317519.jpg</t>
  </si>
  <si>
    <t>https://cf.geekdo-images.com/sHd0jkZZLDgixHjAXtn7kA__small/img/HB0Z5D7uwBjf1lCCPjMck-5VP9A=/fit-in/200x150/filters:strip_icc()/pic3119514.jpg</t>
  </si>
  <si>
    <t>https://cf.geekdo-images.com/sHd0jkZZLDgixHjAXtn7kA__original/img/9n76iqzSN06hlbX4DuuPD6fSkHQ=/0x0/filters:format(jpeg)/pic3119514.jpg</t>
  </si>
  <si>
    <t>https://cf.geekdo-images.com/ZlIPl9mGLZlplbgJjiqlRQ__small/img/okJST6kzwf5h9_4U_7jtcO3CSK8=/fit-in/200x150/filters:strip_icc()/pic485177.jpg</t>
  </si>
  <si>
    <t>https://cf.geekdo-images.com/ZlIPl9mGLZlplbgJjiqlRQ__original/img/bb84W9a2o_xCkdk0fMaoz7Pqq7c=/0x0/filters:format(jpeg)/pic485177.jpg</t>
  </si>
  <si>
    <t>https://cf.geekdo-images.com/nC6ifPCDnAItwoKSKXVrnw__small/img/1iZav_8ZqurrDbvkZA9GcFhB5x0=/fit-in/200x150/filters:strip_icc()/pic8907965.jpg</t>
  </si>
  <si>
    <t>https://cf.geekdo-images.com/nC6ifPCDnAItwoKSKXVrnw__original/img/Id-jjIer_61ZbvI2_RVRCeBZFY4=/0x0/filters:format(jpeg)/pic8907965.jpg</t>
  </si>
  <si>
    <t>https://cf.geekdo-images.com/pd3qaiROSgTJ5js_0e4Nhw__small/img/SveyL9J1DT0hX4ucYWjRR6DMrbk=/fit-in/200x150/filters:strip_icc()/pic6653783.png</t>
  </si>
  <si>
    <t>https://cf.geekdo-images.com/pd3qaiROSgTJ5js_0e4Nhw__original/img/W1cSDjB5Bi9bGhl3VRxQSP_Vw54=/0x0/filters:format(png)/pic6653783.png</t>
  </si>
  <si>
    <t>https://cf.geekdo-images.com/hHFs0_KRoW_FJ0cMIVgZcw__small/img/1MmGQvJVNw8TA7eWAJ8oIK-ZENc=/fit-in/200x150/filters:strip_icc()/pic4991925.jpg</t>
  </si>
  <si>
    <t>https://cf.geekdo-images.com/hHFs0_KRoW_FJ0cMIVgZcw__original/img/vbR7Wrdlq4fPcwUE1Ck9CowlJHY=/0x0/filters:format(jpeg)/pic4991925.jpg</t>
  </si>
  <si>
    <t>https://cf.geekdo-images.com/beS7setHhqAMOp9jXlUBBw__small/img/7OTTb_tqVSxokbOqamDthmQY8iM=/fit-in/200x150/filters:strip_icc()/pic8457547.png</t>
  </si>
  <si>
    <t>https://cf.geekdo-images.com/beS7setHhqAMOp9jXlUBBw__original/img/vIwSktsyDPP0qQCp2cZA7gBTf6k=/0x0/filters:format(png)/pic8457547.png</t>
  </si>
  <si>
    <t>https://cf.geekdo-images.com/g4mV4BH-ZrhMUVgil-yV1A__small/img/foFGN8KwmN8BaYNpolq0HcMba4M=/fit-in/200x150/filters:strip_icc()/pic3016500.jpg</t>
  </si>
  <si>
    <t>https://cf.geekdo-images.com/g4mV4BH-ZrhMUVgil-yV1A__original/img/NjrnSg1aeia8I4eETDU3I1Br7a8=/0x0/filters:format(jpeg)/pic3016500.jpg</t>
  </si>
  <si>
    <t>https://cf.geekdo-images.com/wpWzYeX4dg5TgNdR9OsxAg__small/img/Pl2jzTPAUf7LI9-phQsJHL4BycE=/fit-in/200x150/filters:strip_icc()/pic2906832.jpg</t>
  </si>
  <si>
    <t>https://cf.geekdo-images.com/wpWzYeX4dg5TgNdR9OsxAg__original/img/Cu0M5-DOI29unYaVVm40KDuS-rY=/0x0/filters:format(jpeg)/pic2906832.jpg</t>
  </si>
  <si>
    <t>https://cf.geekdo-images.com/hHZWXnUTMYDd_KTAM6Jwlw__small/img/O5XHaPOALYquS058qcXWVm5b_k4=/fit-in/200x150/filters:strip_icc()/pic3759421.jpg</t>
  </si>
  <si>
    <t>https://cf.geekdo-images.com/hHZWXnUTMYDd_KTAM6Jwlw__original/img/lL6QJ69UmZT7CeljUcjyA47b-e0=/0x0/filters:format(jpeg)/pic3759421.jpg</t>
  </si>
  <si>
    <t>https://cf.geekdo-images.com/Q96PxRVbrDxS9_4ZPTJtHQ__small/img/hXnjkvD7KiLk2fon8tbvsXNtT_k=/fit-in/200x150/filters:strip_icc()/pic5941333.png</t>
  </si>
  <si>
    <t>https://cf.geekdo-images.com/Q96PxRVbrDxS9_4ZPTJtHQ__original/img/kGU8ligha3fyP0LuVTwmLMK9yEQ=/0x0/filters:format(png)/pic5941333.png</t>
  </si>
  <si>
    <t>https://cf.geekdo-images.com/J0PlHArkZDJ57H-brXW2Fw__small/img/QVwPXskFikQwBQlrdLJBAiRGgdg=/fit-in/200x150/filters:strip_icc()/pic6738336.jpg</t>
  </si>
  <si>
    <t>https://cf.geekdo-images.com/J0PlHArkZDJ57H-brXW2Fw__original/img/jt3kFCHJ3HJ2079dMLwipFZqdQg=/0x0/filters:format(jpeg)/pic6738336.jpg</t>
  </si>
  <si>
    <t>https://cf.geekdo-images.com/OGOmpi0GgwOwH2y28QgkuA__small/img/jnSHqOXWLN3PfdpCtnfjf44oTsA=/fit-in/200x150/filters:strip_icc()/pic460011.jpg</t>
  </si>
  <si>
    <t>https://cf.geekdo-images.com/OGOmpi0GgwOwH2y28QgkuA__original/img/VHMKsFZvoK2KKGZiLyoKZb_YhNQ=/0x0/filters:format(jpeg)/pic460011.jpg</t>
  </si>
  <si>
    <t>https://cf.geekdo-images.com/Nqw3SzV4JDd64lcDgytPEg__small/img/SYowoPc4NsBcU6duKGUM93itzZY=/fit-in/200x150/filters:strip_icc()/pic7227691.jpg</t>
  </si>
  <si>
    <t>https://cf.geekdo-images.com/Nqw3SzV4JDd64lcDgytPEg__original/img/CK6xh0d01jIC7WOIGALHZCDli34=/0x0/filters:format(jpeg)/pic7227691.jpg</t>
  </si>
  <si>
    <t>https://cf.geekdo-images.com/c74C-NVJHuMVxt6A_j2TsA__small/img/OUdT3uFyqBBzN7q9ZDFN6WBiecU=/fit-in/200x150/filters:strip_icc()/pic3432548.png</t>
  </si>
  <si>
    <t>https://cf.geekdo-images.com/c74C-NVJHuMVxt6A_j2TsA__original/img/FHgW4u5dIooEJnNjm2RXcO_yJWs=/0x0/filters:format(png)/pic3432548.png</t>
  </si>
  <si>
    <t>https://cf.geekdo-images.com/S_Cpk3j3Z3ceNJBPNg4l7w__small/img/yyYrzwIVoBwTJ0U3TI6oZWvkgS0=/fit-in/200x150/filters:strip_icc()/pic5212561.png</t>
  </si>
  <si>
    <t>https://cf.geekdo-images.com/S_Cpk3j3Z3ceNJBPNg4l7w__original/img/2g1g35Rp3u1tF_8fX3YLpmjIPj8=/0x0/filters:format(png)/pic5212561.png</t>
  </si>
  <si>
    <t>https://cf.geekdo-images.com/CwlOEAEzD-O09vdbvyD2Gw__small/img/MlBFEI8Stn8fmmHhF9Wgym9PHVU=/fit-in/200x150/filters:strip_icc()/pic7988716.jpg</t>
  </si>
  <si>
    <t>https://cf.geekdo-images.com/CwlOEAEzD-O09vdbvyD2Gw__original/img/C9b_1Wjp5-1m8AnaKlYrWmnB6NA=/0x0/filters:format(jpeg)/pic7988716.jpg</t>
  </si>
  <si>
    <t>https://cf.geekdo-images.com/9A9UNdTEDZcDQ7vwERuxLA__small/img/mVrH-JbVB8-uo8Rf_DtoOrfGAfc=/fit-in/200x150/filters:strip_icc()/pic4409330.jpg</t>
  </si>
  <si>
    <t>https://cf.geekdo-images.com/9A9UNdTEDZcDQ7vwERuxLA__original/img/cGQQBKeWpVS7t5poJMp9LpNLlqs=/0x0/filters:format(jpeg)/pic4409330.jpg</t>
  </si>
  <si>
    <t>https://cf.geekdo-images.com/cnFppsVNOSTJ-W3APQFuTg__small/img/X8XQO2_mRl7HRSzzOEgoKrWulj4=/fit-in/200x150/filters:strip_icc()/pic1974056.jpg</t>
  </si>
  <si>
    <t>https://cf.geekdo-images.com/cnFppsVNOSTJ-W3APQFuTg__original/img/AbcjscBi-x3tVrsJsBhXq2RxLbc=/0x0/filters:format(jpeg)/pic1974056.jpg</t>
  </si>
  <si>
    <t>https://cf.geekdo-images.com/wNCSCl961fMzDUhwetfjTg__small/img/sc0S7TSpC40Mg9EEmufj-XqXcBw=/fit-in/200x150/filters:strip_icc()/pic1236119.jpg</t>
  </si>
  <si>
    <t>https://cf.geekdo-images.com/wNCSCl961fMzDUhwetfjTg__original/img/H-iLs6JcceMk96bYON5c9PFUag8=/0x0/filters:format(jpeg)/pic1236119.jpg</t>
  </si>
  <si>
    <t>https://cf.geekdo-images.com/1CIfreuv-gqcaUndxUAExw__small/img/ve4j9SWc6dtPQhF-fRcRjPmqUxc=/fit-in/200x150/filters:strip_icc()/pic3117400.png</t>
  </si>
  <si>
    <t>https://cf.geekdo-images.com/1CIfreuv-gqcaUndxUAExw__original/img/1-lAwj58R_C50ogYHKN34mWVoR0=/0x0/filters:format(png)/pic3117400.png</t>
  </si>
  <si>
    <t>https://cf.geekdo-images.com/3oiMV9BNAqWX0boEUWw3bg__small/img/rDMMRpOVvRVN2nCNReiJPECHNbk=/fit-in/200x150/filters:strip_icc()/pic8905009.jpg</t>
  </si>
  <si>
    <t>https://cf.geekdo-images.com/3oiMV9BNAqWX0boEUWw3bg__original/img/zEWd1JMRhNLyRThG2KDQAX6gnlU=/0x0/filters:format(jpeg)/pic8905009.jpg</t>
  </si>
  <si>
    <t>https://cf.geekdo-images.com/Wv3asVffJEVjqwFyPiOvXA__small/img/fnm1WQ8UG40hv-3UnLZQJ6SM7wA=/fit-in/200x150/filters:strip_icc()/pic7551635.jpg</t>
  </si>
  <si>
    <t>https://cf.geekdo-images.com/Wv3asVffJEVjqwFyPiOvXA__original/img/554uO8XKUlva4FiEOrOLcTMgZjc=/0x0/filters:format(jpeg)/pic7551635.jpg</t>
  </si>
  <si>
    <t>https://cf.geekdo-images.com/dmo-WD6HZHVUPrbVHunaTw__small/img/I6KVJlQgS1GfWDPSWAFNqce4Cgc=/fit-in/200x150/filters:strip_icc()/pic2055255.jpg</t>
  </si>
  <si>
    <t>https://cf.geekdo-images.com/dmo-WD6HZHVUPrbVHunaTw__original/img/PS9HXrThM8Pepbd-cuA1tX8KCYU=/0x0/filters:format(jpeg)/pic2055255.jpg</t>
  </si>
  <si>
    <t>https://cf.geekdo-images.com/Jmuh3Tlp5r4Kr7l8-ZKkmg__small/img/1pqk7oNP_0U39wX2FOYz-6sp9Gs=/fit-in/200x150/filters:strip_icc()/pic7066993.png</t>
  </si>
  <si>
    <t>https://cf.geekdo-images.com/Jmuh3Tlp5r4Kr7l8-ZKkmg__original/img/QA2V6BchrZxU_zp9gyJT86E5NT4=/0x0/filters:format(png)/pic7066993.png</t>
  </si>
  <si>
    <t>https://cf.geekdo-images.com/YrQxEB9Ef0kQorRApzG5vQ__small/img/_dNNsSelyw9qUEOIXBRt6PE_1us=/fit-in/200x150/filters:strip_icc()/pic8780246.jpg</t>
  </si>
  <si>
    <t>https://cf.geekdo-images.com/YrQxEB9Ef0kQorRApzG5vQ__original/img/hK6k-x_GYfooemrkkRuF0bTvKxE=/0x0/filters:format(jpeg)/pic8780246.jpg</t>
  </si>
  <si>
    <t>https://cf.geekdo-images.com/AvYbVtqvg4b4EJ3GNGsEow__small/img/Lo6za0xfB_3iSaKJN0Yd2VWsON8=/fit-in/200x150/filters:strip_icc()/pic4746208.jpg</t>
  </si>
  <si>
    <t>https://cf.geekdo-images.com/AvYbVtqvg4b4EJ3GNGsEow__original/img/yCqUfcEgq4Sty9vXE9I-qsBwMZo=/0x0/filters:format(jpeg)/pic4746208.jpg</t>
  </si>
  <si>
    <t>https://cf.geekdo-images.com/kmangN-29sLNmYfjkeUOVg__small/img/NGTU5g8nV6yOBIPMS5tOu4t5hnc=/fit-in/200x150/filters:strip_icc()/pic6372326.jpg</t>
  </si>
  <si>
    <t>https://cf.geekdo-images.com/kmangN-29sLNmYfjkeUOVg__original/img/d1aOu-WBA84Xj199EkRPtlOb5wA=/0x0/filters:format(jpeg)/pic6372326.jpg</t>
  </si>
  <si>
    <t>https://cf.geekdo-images.com/ZBQHRlhd32wt4F_zgeic6w__small/img/MjQ7iYoOXuU9AUrTojjYE8sdyTk=/fit-in/200x150/filters:strip_icc()/pic2405641.jpg</t>
  </si>
  <si>
    <t>https://cf.geekdo-images.com/ZBQHRlhd32wt4F_zgeic6w__original/img/6-0pkob0RUXgRyxGPJ2ZKyYObxw=/0x0/filters:format(jpeg)/pic2405641.jpg</t>
  </si>
  <si>
    <t>https://cf.geekdo-images.com/dJh9HkZC346NgPTAicJq_A__small/img/3cgW5aP-JJeKSpZMjA0NFheMnfY=/fit-in/200x150/filters:strip_icc()/pic1513085.jpg</t>
  </si>
  <si>
    <t>https://cf.geekdo-images.com/dJh9HkZC346NgPTAicJq_A__original/img/6ib2NLakSlsf69WYwCOe9NNLcsc=/0x0/filters:format(jpeg)/pic1513085.jpg</t>
  </si>
  <si>
    <t>https://cf.geekdo-images.com/JgAkEBUaiHOsOS94iRMs2w__small/img/5aPR8-KMbgucI_XkPE2PJaMQQsg=/fit-in/200x150/filters:strip_icc()/pic646458.jpg</t>
  </si>
  <si>
    <t>https://cf.geekdo-images.com/JgAkEBUaiHOsOS94iRMs2w__original/img/H5d4I5z_HSpPEu7EAl0DqLt9_pM=/0x0/filters:format(jpeg)/pic646458.jpg</t>
  </si>
  <si>
    <t>https://cf.geekdo-images.com/2urn9RKuOsEGdGNKYRxG4w__small/img/dt1DOnZj_ePIzXzjQMf-TKKZNpw=/fit-in/200x150/filters:strip_icc()/pic6991274.png</t>
  </si>
  <si>
    <t>https://cf.geekdo-images.com/2urn9RKuOsEGdGNKYRxG4w__original/img/AuwOYXvTPff_YWmuVSb0zCsuQ-o=/0x0/filters:format(png)/pic6991274.png</t>
  </si>
  <si>
    <t>https://cf.geekdo-images.com/OlPw-qCHEgl-83A8rWf9IA__small/img/uQwxOsY1lZ2D5T2OTQ0Q5t52MZo=/fit-in/200x150/filters:strip_icc()/pic984692.jpg</t>
  </si>
  <si>
    <t>https://cf.geekdo-images.com/OlPw-qCHEgl-83A8rWf9IA__original/img/4ulSIYQhzgyhzzxlg6tKjis70kY=/0x0/filters:format(jpeg)/pic984692.jpg</t>
  </si>
  <si>
    <t>https://cf.geekdo-images.com/1EeG4Iw7oH6HR15Yo9waQA__small/img/MKP3l9UNeQVzS_lJB22GwNhPjpQ=/fit-in/200x150/filters:strip_icc()/pic8272357.jpg</t>
  </si>
  <si>
    <t>https://cf.geekdo-images.com/1EeG4Iw7oH6HR15Yo9waQA__original/img/DQj_Zz0AZ4jb_aQyPHDYizXu870=/0x0/filters:format(jpeg)/pic8272357.jpg</t>
  </si>
  <si>
    <t>https://cf.geekdo-images.com/sZYp_3BTDGjh2unaZfZmuA__small/img/veqFeP4d_3zNhFc3GNBkV95rBEQ=/fit-in/200x150/filters:strip_icc()/pic2437871.jpg</t>
  </si>
  <si>
    <t>https://cf.geekdo-images.com/sZYp_3BTDGjh2unaZfZmuA__original/img/7d-lj5Gd1e8PFnD97LYFah2c45M=/0x0/filters:format(jpeg)/pic2437871.jpg</t>
  </si>
  <si>
    <t>https://cf.geekdo-images.com/0dE03b-pcKKZ5g3Zrk-SlA__small/img/WzP63AwbYG8bFxKOlcZFSioRFRU=/fit-in/200x150/filters:strip_icc()/pic8199109.png</t>
  </si>
  <si>
    <t>https://cf.geekdo-images.com/0dE03b-pcKKZ5g3Zrk-SlA__original/img/C9RJ4beOskLv9GQoz9kUUnvu05M=/0x0/filters:format(png)/pic8199109.png</t>
  </si>
  <si>
    <t>https://cf.geekdo-images.com/-vOrd4bOspibyohYExLqWg__small/img/2GbaKvYOzWIxfgbYTk2R9puiyzo=/fit-in/200x150/filters:strip_icc()/pic6940449.png</t>
  </si>
  <si>
    <t>https://cf.geekdo-images.com/-vOrd4bOspibyohYExLqWg__original/img/iXU8a9WaVlwrkiEiOxWN06y9y5g=/0x0/filters:format(png)/pic6940449.png</t>
  </si>
  <si>
    <t>https://cf.geekdo-images.com/85hYrpSl9Aoh2TgMf4CiDA__small/img/b4cbnSNGps3koFIZKsh2ThZwV8E=/fit-in/200x150/filters:strip_icc()/pic5509026.png</t>
  </si>
  <si>
    <t>https://cf.geekdo-images.com/85hYrpSl9Aoh2TgMf4CiDA__original/img/QPcr2EfpZjJzvNGjfQZwRbs-kMo=/0x0/filters:format(png)/pic5509026.png</t>
  </si>
  <si>
    <t>https://cf.geekdo-images.com/fQe85tsBZoH6ibPnm1k1UA__small/img/8ULXa8v7095ohgXMMmNlCGrC7zU=/fit-in/200x150/filters:strip_icc()/pic791151.jpg</t>
  </si>
  <si>
    <t>https://cf.geekdo-images.com/fQe85tsBZoH6ibPnm1k1UA__original/img/eqUVrCJKcMBGBhw4Gfc9_9JabYE=/0x0/filters:format(jpeg)/pic791151.jpg</t>
  </si>
  <si>
    <t>https://cf.geekdo-images.com/-t184dGXfs_Gl2glwdkWtg__small/img/-0ZGSA3g2YYx_V5n2-jjxMFbfLo=/fit-in/200x150/filters:strip_icc()/pic3007776.png</t>
  </si>
  <si>
    <t>https://cf.geekdo-images.com/-t184dGXfs_Gl2glwdkWtg__original/img/b_8n8RXbBdRsxC3pHizDVwftu7A=/0x0/filters:format(png)/pic3007776.png</t>
  </si>
  <si>
    <t>https://cf.geekdo-images.com/SoClIcwjDo_iZs0idVikDw__small/img/YSf5Z99aBqAlNKaGBj_oGb1oKH4=/fit-in/200x150/filters:strip_icc()/pic4848330.jpg</t>
  </si>
  <si>
    <t>https://cf.geekdo-images.com/SoClIcwjDo_iZs0idVikDw__original/img/TEprFkOM3G_u2HnUvh05WITeXbg=/0x0/filters:format(jpeg)/pic4848330.jpg</t>
  </si>
  <si>
    <t>https://cf.geekdo-images.com/jdR8WW75HkaoHGMTCIx9lA__small/img/EJ5gcczwsYvSavYuO4UoNPS45vo=/fit-in/200x150/filters:strip_icc()/pic5390676.jpg</t>
  </si>
  <si>
    <t>https://cf.geekdo-images.com/jdR8WW75HkaoHGMTCIx9lA__original/img/i8nlw_c9CYgJMzixadYVh7GTTPc=/0x0/filters:format(jpeg)/pic5390676.jpg</t>
  </si>
  <si>
    <t>https://cf.geekdo-images.com/VQGfh1TGelec_hEKGkioBg__small/img/fnnPKm7-oMsxUvVL72-Idq_MVkw=/fit-in/200x150/filters:strip_icc()/pic6745725.jpg</t>
  </si>
  <si>
    <t>https://cf.geekdo-images.com/VQGfh1TGelec_hEKGkioBg__original/img/ZAH2m-x0jV3YGxWGckfN7upEvZY=/0x0/filters:format(jpeg)/pic6745725.jpg</t>
  </si>
  <si>
    <t>https://cf.geekdo-images.com/_LTujSe_o16nvjDC-J0seA__small/img/82vhODfpxIT03BzW4NkisJ5Unzs=/fit-in/200x150/filters:strip_icc()/pic5100947.jpg</t>
  </si>
  <si>
    <t>https://cf.geekdo-images.com/_LTujSe_o16nvjDC-J0seA__original/img/zUnAdsgt4dCxvtoRDc_9DHbic0M=/0x0/filters:format(jpeg)/pic5100947.jpg</t>
  </si>
  <si>
    <t>https://cf.geekdo-images.com/pb553nZgH3akaF24MzT7nA__small/img/Clb-hjbKmSJcl6U6UJMqAz0Kxy0=/fit-in/200x150/filters:strip_icc()/pic4659199.jpg</t>
  </si>
  <si>
    <t>https://cf.geekdo-images.com/pb553nZgH3akaF24MzT7nA__original/img/YVxlSoQ5q-8w4FMn8hM6Gz4nCNg=/0x0/filters:format(jpeg)/pic4659199.jpg</t>
  </si>
  <si>
    <t>https://cf.geekdo-images.com/74haNunMBn85beBi-yIKwA__small/img/feIV-gqMeza43ycvxh6PGx4lA_w=/fit-in/200x150/filters:strip_icc()/pic8669313.png</t>
  </si>
  <si>
    <t>https://cf.geekdo-images.com/74haNunMBn85beBi-yIKwA__original/img/hA22qL6nZxchA8FMTIfhLMcI53I=/0x0/filters:format(png)/pic8669313.png</t>
  </si>
  <si>
    <t>https://cf.geekdo-images.com/fJvmkVWht2tVbfGs90CJOQ__small/img/0MtnW-pf9RXpXJtKUS50caJPuPo=/fit-in/200x150/filters:strip_icc()/pic2404184.jpg</t>
  </si>
  <si>
    <t>https://cf.geekdo-images.com/fJvmkVWht2tVbfGs90CJOQ__original/img/uApWJiDoVbnACmZkbRbSUPWAgt4=/0x0/filters:format(jpeg)/pic2404184.jpg</t>
  </si>
  <si>
    <t>https://cf.geekdo-images.com/-OTABDc2MzNsSoqTdk_Ldw__small/img/KV4nR_66M7Eem1-dAz_Jox2KEts=/fit-in/200x150/filters:strip_icc()/pic8879814.png</t>
  </si>
  <si>
    <t>https://cf.geekdo-images.com/-OTABDc2MzNsSoqTdk_Ldw__original/img/aMcNzbymAo5ewhYcT_aq8fxysTo=/0x0/filters:format(png)/pic8879814.png</t>
  </si>
  <si>
    <t>https://cf.geekdo-images.com/m_RzXpHURC0_xLkvRSR_sw__small/img/OfgWmkGJj5BgOO0zFHEtP5CHfbU=/fit-in/200x150/filters:strip_icc()/pic3043734.jpg</t>
  </si>
  <si>
    <t>https://cf.geekdo-images.com/m_RzXpHURC0_xLkvRSR_sw__original/img/hSvWgiRYJCTTuoLOWTW3c8sYtl8=/0x0/filters:format(jpeg)/pic3043734.jpg</t>
  </si>
  <si>
    <t>https://cf.geekdo-images.com/c0m3gwZTcfKoLI63ASio8g__small/img/4p4Xydg0tze9UFcd6oUbCnVyxCw=/fit-in/200x150/filters:strip_icc()/pic8443569.png</t>
  </si>
  <si>
    <t>https://cf.geekdo-images.com/c0m3gwZTcfKoLI63ASio8g__original/img/HT6NQPT0cSFcZXjSewtjTO_NBAE=/0x0/filters:format(png)/pic8443569.png</t>
  </si>
  <si>
    <t>https://cf.geekdo-images.com/Tygk_sCQEIpa7PUxsl2TmA__small/img/QNTDALrYI4_MCxyN14Z2tF2egrY=/fit-in/200x150/filters:strip_icc()/pic4783810.jpg</t>
  </si>
  <si>
    <t>https://cf.geekdo-images.com/Tygk_sCQEIpa7PUxsl2TmA__original/img/JbxNf6L8DvSJzi6SSSa9EFK8xaM=/0x0/filters:format(jpeg)/pic4783810.jpg</t>
  </si>
  <si>
    <t>https://cf.geekdo-images.com/oPNuEm_dR987BKoYEF9zGQ__small/img/JeO68IlD-DGB8zg2ozB-3MmpN2s=/fit-in/200x150/filters:strip_icc()/pic7414566.png</t>
  </si>
  <si>
    <t>https://cf.geekdo-images.com/oPNuEm_dR987BKoYEF9zGQ__original/img/ZNqEkLMKkrIPxRduZWmWC6VBgoY=/0x0/filters:format(png)/pic7414566.png</t>
  </si>
  <si>
    <t>https://cf.geekdo-images.com/dgaRvaxKKXTgUm51UthTmQ__small/img/MwoeoBDCfx_Q4Vo0QCX59JWyvjY=/fit-in/200x150/filters:strip_icc()/pic6713136.jpg</t>
  </si>
  <si>
    <t>https://cf.geekdo-images.com/dgaRvaxKKXTgUm51UthTmQ__original/img/lu8RyTWC3xti8NbC4bPwABRw5Ao=/0x0/filters:format(jpeg)/pic6713136.jpg</t>
  </si>
  <si>
    <t>https://cf.geekdo-images.com/JmY4nVWwW98qEn0NRbKdTw__small/img/qQuRUZQAineOCl4abLvZgPjnqTE=/fit-in/200x150/filters:strip_icc()/pic2372790.png</t>
  </si>
  <si>
    <t>https://cf.geekdo-images.com/JmY4nVWwW98qEn0NRbKdTw__original/img/a5OqnY-e8hhVO1IHp6wZKnXHWlY=/0x0/filters:format(png)/pic2372790.png</t>
  </si>
  <si>
    <t>https://cf.geekdo-images.com/a4iXNnKmRMGJPimWki6T_w__small/img/WW128EBG5gcd2Mm6g9SAhW_Hvww=/fit-in/200x150/filters:strip_icc()/pic7047121.jpg</t>
  </si>
  <si>
    <t>https://cf.geekdo-images.com/a4iXNnKmRMGJPimWki6T_w__original/img/ti-q16xwJv-Sw5DG4tVvQEdM-e4=/0x0/filters:format(jpeg)/pic7047121.jpg</t>
  </si>
  <si>
    <t>https://cf.geekdo-images.com/6e-V_Xb2IsAsMNXU18Fi6A__small/img/KJIHXXkkIU7R-oK5i9byIyGdfm4=/fit-in/200x150/filters:strip_icc()/pic6669033.jpg</t>
  </si>
  <si>
    <t>https://cf.geekdo-images.com/6e-V_Xb2IsAsMNXU18Fi6A__original/img/gLDo-RR_9RvU_Hrs9DnHWy_TWpk=/0x0/filters:format(jpeg)/pic6669033.jpg</t>
  </si>
  <si>
    <t>https://cf.geekdo-images.com/V5NWK66oZZHydpvTWP7IrQ__small/img/48OIp0h3gsp1tSmZW1Te2pNM02c=/fit-in/200x150/filters:strip_icc()/pic7823579.png</t>
  </si>
  <si>
    <t>https://cf.geekdo-images.com/V5NWK66oZZHydpvTWP7IrQ__original/img/Ps__dDB3dNUNx0Hwy1gxhQo-f0s=/0x0/filters:format(png)/pic7823579.png</t>
  </si>
  <si>
    <t>https://cf.geekdo-images.com/PhNY4VQAob6x4GjWHmbTsQ__small/img/UCbbfnszecog0-L46xQVjMo_RTk=/fit-in/200x150/filters:strip_icc()/pic4624124.jpg</t>
  </si>
  <si>
    <t>https://cf.geekdo-images.com/PhNY4VQAob6x4GjWHmbTsQ__original/img/dyyphqMmGF-imUTnPvyJQap3LoM=/0x0/filters:format(jpeg)/pic4624124.jpg</t>
  </si>
  <si>
    <t>https://cf.geekdo-images.com/V7WQjhAh0AatPXTYOrXtCQ__small/img/PNp3MFmie6ffR5RtyNs7TsVV4wA=/fit-in/200x150/filters:strip_icc()/pic4766499.png</t>
  </si>
  <si>
    <t>https://cf.geekdo-images.com/V7WQjhAh0AatPXTYOrXtCQ__original/img/peOFPtAkzWUSpOSVTJu3pTDv2ck=/0x0/filters:format(png)/pic4766499.png</t>
  </si>
  <si>
    <t>https://cf.geekdo-images.com/MmJapKYTIXA0Sf4WCCSmQg__small/img/4M0q-gcqAmPQkH9Fk-EPYRplrj4=/fit-in/200x150/filters:strip_icc()/pic7440823.jpg</t>
  </si>
  <si>
    <t>https://cf.geekdo-images.com/MmJapKYTIXA0Sf4WCCSmQg__original/img/eDzdZf-_gQgeTWqCpXPVPArC9xo=/0x0/filters:format(jpeg)/pic7440823.jpg</t>
  </si>
  <si>
    <t>https://cf.geekdo-images.com/DUO2hz9AlLOH8p9ED-lCWg__small/img/0bWDfnjzYebauQZrHmjyHkuUttI=/fit-in/200x150/filters:strip_icc()/pic1083380.jpg</t>
  </si>
  <si>
    <t>https://cf.geekdo-images.com/DUO2hz9AlLOH8p9ED-lCWg__original/img/PDDH38Vf9NEB_4ODURxcJKNBfVQ=/0x0/filters:format(jpeg)/pic1083380.jpg</t>
  </si>
  <si>
    <t>https://cf.geekdo-images.com/vgG5uGO2RIqozSklzzAbQA__small/img/pxSWitMhzvShxy-vU52hpcC4Cd0=/fit-in/200x150/filters:strip_icc()/pic1897286.jpg</t>
  </si>
  <si>
    <t>https://cf.geekdo-images.com/vgG5uGO2RIqozSklzzAbQA__original/img/UQku2OmxD__AIoOJOnsgO_rdmTM=/0x0/filters:format(jpeg)/pic1897286.jpg</t>
  </si>
  <si>
    <t>https://cf.geekdo-images.com/LIooA9bTdjnE9qmhjL-UFw__small/img/kwaa7aI2sMeyWV5JSRKcKrS5hC8=/fit-in/200x150/filters:strip_icc()/pic3118622.jpg</t>
  </si>
  <si>
    <t>https://cf.geekdo-images.com/LIooA9bTdjnE9qmhjL-UFw__original/img/Go6c8-ZiXomS8E7X4MBCdDd-aZc=/0x0/filters:format(jpeg)/pic3118622.jpg</t>
  </si>
  <si>
    <t>https://cf.geekdo-images.com/1ist092d5nP-fGl6YR4ZAQ__small/img/q1ov1wicWk33VC0WSSST-JmmXL0=/fit-in/200x150/filters:strip_icc()/pic1001627.jpg</t>
  </si>
  <si>
    <t>https://cf.geekdo-images.com/1ist092d5nP-fGl6YR4ZAQ__original/img/dx2UgQcGG1XFsddSK4oCnDoIINE=/0x0/filters:format(jpeg)/pic1001627.jpg</t>
  </si>
  <si>
    <t>https://cf.geekdo-images.com/lAvfCCEBDeyoa1CpdgOFCg__small/img/VWb3wbHwAbNIQJYyeu7-OT_ynJU=/fit-in/200x150/filters:strip_icc()/pic4975740.jpg</t>
  </si>
  <si>
    <t>https://cf.geekdo-images.com/lAvfCCEBDeyoa1CpdgOFCg__original/img/WMg5tKw3Z9Q4PocARnRmdg4tEks=/0x0/filters:format(jpeg)/pic4975740.jpg</t>
  </si>
  <si>
    <t>https://cf.geekdo-images.com/wLto-xaabHwKQe_Bc4iD1Q__small/img/AUqMholGVlwXLjMcxwiziE_7Ffw=/fit-in/200x150/filters:strip_icc()/pic3458036.png</t>
  </si>
  <si>
    <t>https://cf.geekdo-images.com/wLto-xaabHwKQe_Bc4iD1Q__original/img/s3Gai8XBTVfWFFlYpL4XF3kIlWU=/0x0/filters:format(png)/pic3458036.png</t>
  </si>
  <si>
    <t>https://cf.geekdo-images.com/1UIYrbuNXdhm6VOUmE9E4g__small/img/Lilpl59a2f3kC-Y0vutD5CLXAq0=/fit-in/200x150/filters:strip_icc()/pic2270443.jpg</t>
  </si>
  <si>
    <t>https://cf.geekdo-images.com/1UIYrbuNXdhm6VOUmE9E4g__original/img/pjclQJECyTavfK6PuSKVQoGnu9g=/0x0/filters:format(jpeg)/pic2270443.jpg</t>
  </si>
  <si>
    <t>https://cf.geekdo-images.com/UbQPqXChcoPKW-reUv7yJQ__small/img/Xvp0jRHt8eCsfHpMKKZPdjeW9gI=/fit-in/200x150/filters:strip_icc()/pic2522755.jpg</t>
  </si>
  <si>
    <t>https://cf.geekdo-images.com/UbQPqXChcoPKW-reUv7yJQ__original/img/x43XjBiXZs7FmUz4_ZilwYPxZlQ=/0x0/filters:format(jpeg)/pic2522755.jpg</t>
  </si>
  <si>
    <t>https://cf.geekdo-images.com/jacehOaTJlMKMEl5RKZuGw__small/img/pl51DzVdTuF_0FrCPr3XFPggtv8=/fit-in/200x150/filters:strip_icc()/pic4472950.jpg</t>
  </si>
  <si>
    <t>https://cf.geekdo-images.com/jacehOaTJlMKMEl5RKZuGw__original/img/MgHPbS6FUyonnCgnTZJqWFbbF0g=/0x0/filters:format(jpeg)/pic4472950.jpg</t>
  </si>
  <si>
    <t>https://cf.geekdo-images.com/H1aCQoaq0H9Qt91hOgc3Sw__small/img/hQK2kYzXnB12Yt7h5kaVljDWDqE=/fit-in/200x150/filters:strip_icc()/pic9005688.jpg</t>
  </si>
  <si>
    <t>https://cf.geekdo-images.com/H1aCQoaq0H9Qt91hOgc3Sw__original/img/WFYWAb7gD96COGI6JW10XCd_vPI=/0x0/filters:format(jpeg)/pic9005688.jpg</t>
  </si>
  <si>
    <t>https://cf.geekdo-images.com/U2CYPYgIEC1cLF45Rh0UGw__small/img/bTRB0-Qnb-tvrYxN3vJJZRBEZ1s=/fit-in/200x150/filters:strip_icc()/pic5581038.jpg</t>
  </si>
  <si>
    <t>https://cf.geekdo-images.com/U2CYPYgIEC1cLF45Rh0UGw__original/img/472oJ1mqGHWxFxuOsnXFiZBshUc=/0x0/filters:format(jpeg)/pic5581038.jpg</t>
  </si>
  <si>
    <t>https://cf.geekdo-images.com/4KSmlm59w0GwLIlgDnJDAQ__small/img/P20AxSqNHOEM5qT_doqeeE7JAHQ=/fit-in/200x150/filters:strip_icc()/pic8211747.png</t>
  </si>
  <si>
    <t>https://cf.geekdo-images.com/4KSmlm59w0GwLIlgDnJDAQ__original/img/f0VmAKrPrMRQOUcOJHekRvuysDE=/0x0/filters:format(png)/pic8211747.png</t>
  </si>
  <si>
    <t>https://cf.geekdo-images.com/8Ffxk6KCux8_ktrtMQ2HsQ__small/img/1xrVMkn-UHsLsgcuIC8Y5E1p1ME=/fit-in/200x150/filters:strip_icc()/pic4862891.jpg</t>
  </si>
  <si>
    <t>https://cf.geekdo-images.com/8Ffxk6KCux8_ktrtMQ2HsQ__original/img/2lnQrb98vvM4nJgoXhivzcOvdsQ=/0x0/filters:format(jpeg)/pic4862891.jpg</t>
  </si>
  <si>
    <t>https://cf.geekdo-images.com/r0FDGwFOsoQ94jYYjY7EjQ__small/img/uSII5Nfm3-tXq3ZCogirEPmvi3A=/fit-in/200x150/filters:strip_icc()/pic5493417.jpg</t>
  </si>
  <si>
    <t>https://cf.geekdo-images.com/r0FDGwFOsoQ94jYYjY7EjQ__original/img/51G-5q0C3OI-Rgs-oRx-OTQmLSs=/0x0/filters:format(jpeg)/pic5493417.jpg</t>
  </si>
  <si>
    <t>https://cf.geekdo-images.com/JSAs8aMopjf8P9JXwTMV7w__small/img/j7oqDPsahGkdKQMXbKjYMZ0jmwM=/fit-in/200x150/filters:strip_icc()/pic9005058.png</t>
  </si>
  <si>
    <t>https://cf.geekdo-images.com/JSAs8aMopjf8P9JXwTMV7w__original/img/pm0ioQ1vNabJExMgcXwB2oMIalY=/0x0/filters:format(png)/pic9005058.png</t>
  </si>
  <si>
    <t>https://cf.geekdo-images.com/VJPCdc7f-D_ejCJq_6PK1w__small/img/CosNT_fmVw-wp3NoXjQ3qfUJwgY=/fit-in/200x150/filters:strip_icc()/pic7962729.jpg</t>
  </si>
  <si>
    <t>https://cf.geekdo-images.com/VJPCdc7f-D_ejCJq_6PK1w__original/img/SeMnTEpfE9-E6oyPP0ACVOh_IfQ=/0x0/filters:format(jpeg)/pic7962729.jpg</t>
  </si>
  <si>
    <t>https://cf.geekdo-images.com/SBGExkbKV5prvb6KAy75kQ__small/img/6Ji7krbXc1ZE5wcpbr_JTKoZ5XM=/fit-in/200x150/filters:strip_icc()/pic4185431.jpg</t>
  </si>
  <si>
    <t>https://cf.geekdo-images.com/SBGExkbKV5prvb6KAy75kQ__original/img/PCWzK2c3AjOFf-FRU5Y6bc5TmTA=/0x0/filters:format(jpeg)/pic4185431.jpg</t>
  </si>
  <si>
    <t>https://cf.geekdo-images.com/v0FCI-wY8YlPn39XKd3F8w__small/img/lgy2HBtB0l2m-XknC9fGn-qakXc=/fit-in/200x150/filters:strip_icc()/pic2401324.jpg</t>
  </si>
  <si>
    <t>https://cf.geekdo-images.com/v0FCI-wY8YlPn39XKd3F8w__original/img/vppUmOYk1ZFqprmgN_1-htcXa-s=/0x0/filters:format(jpeg)/pic2401324.jpg</t>
  </si>
  <si>
    <t>https://cf.geekdo-images.com/7iEVA7Wo1FU7HWl058qHIQ__small/img/w_COHfuJ1TKNmMn6wHSTAbXoUSY=/fit-in/200x150/filters:strip_icc()/pic7112362.png</t>
  </si>
  <si>
    <t>https://cf.geekdo-images.com/7iEVA7Wo1FU7HWl058qHIQ__original/img/C4ujfPYtmDuIoyWBwh45-ivwoKg=/0x0/filters:format(png)/pic7112362.png</t>
  </si>
  <si>
    <t>https://cf.geekdo-images.com/4nhokcLdYoo6ulbZ1rmGgA__small/img/1gEbke_bKTA6D2jjpPm1HowGGHM=/fit-in/200x150/filters:strip_icc()/pic4462987.png</t>
  </si>
  <si>
    <t>https://cf.geekdo-images.com/4nhokcLdYoo6ulbZ1rmGgA__original/img/9ktZDu003VVVTw0RxD-ufLYV1HQ=/0x0/filters:format(png)/pic4462987.png</t>
  </si>
  <si>
    <t>https://cf.geekdo-images.com/S3ybV1LAp-8SnHIXLLjVqA__small/img/oqViRj6nVxK3m36NluTxU1PZkrk=/fit-in/200x150/filters:strip_icc()/pic1534148.jpg</t>
  </si>
  <si>
    <t>https://cf.geekdo-images.com/S3ybV1LAp-8SnHIXLLjVqA__original/img/IsrvRLpUV1TEyZsO5rC-btXaPz0=/0x0/filters:format(jpeg)/pic1534148.jpg</t>
  </si>
  <si>
    <t>https://cf.geekdo-images.com/RDOwMRBnIb3Ehl6GyXj9xg__small/img/nxex9ASN99exPLXEc9E4s08qZzc=/fit-in/200x150/filters:strip_icc()/pic8669620.jpg</t>
  </si>
  <si>
    <t>https://cf.geekdo-images.com/RDOwMRBnIb3Ehl6GyXj9xg__original/img/iVl8KAZ8JMmDXsnBqQecFRkOhK8=/0x0/filters:format(jpeg)/pic8669620.jpg</t>
  </si>
  <si>
    <t>https://cf.geekdo-images.com/w05q02PbXAw64GKtd4H4qg__small/img/MYOOXanLTSiv-vGmyPJ1fy-RIiQ=/fit-in/200x150/filters:strip_icc()/pic6978684.jpg</t>
  </si>
  <si>
    <t>https://cf.geekdo-images.com/w05q02PbXAw64GKtd4H4qg__original/img/UEjgCd1LgTU3rCuGyjCNVsqyD-4=/0x0/filters:format(jpeg)/pic6978684.jpg</t>
  </si>
  <si>
    <t>https://cf.geekdo-images.com/Xy0W9NtEpX0EVjwgxO3IEA__small/img/1gKeE2_50dXcL03gH3cEU-Ixj6c=/fit-in/200x150/filters:strip_icc()/pic4621571.png</t>
  </si>
  <si>
    <t>https://cf.geekdo-images.com/Xy0W9NtEpX0EVjwgxO3IEA__original/img/WdLBZcryNqysYsyC3PNF9FeaPWQ=/0x0/filters:format(png)/pic4621571.png</t>
  </si>
  <si>
    <t>https://cf.geekdo-images.com/yd6LuatytHRhcFCxCf-EEg__small/img/jWTonZ5oYNlPzpELKHIJGWSS0Y8=/fit-in/200x150/filters:strip_icc()/pic4459753.jpg</t>
  </si>
  <si>
    <t>https://cf.geekdo-images.com/yd6LuatytHRhcFCxCf-EEg__original/img/OS13C6W4i1XW__wWVVVaqF7BV0c=/0x0/filters:format(jpeg)/pic4459753.jpg</t>
  </si>
  <si>
    <t>https://cf.geekdo-images.com/Kc_1o8YrUG8tKRQfb-bm1A__small/img/J0VDu51wHSA7YsqKYu1MhRKzn0k=/fit-in/200x150/filters:strip_icc()/pic3488228.jpg</t>
  </si>
  <si>
    <t>https://cf.geekdo-images.com/Kc_1o8YrUG8tKRQfb-bm1A__original/img/8xIMJ1z9um-t0dFUbYQSoR3qK-c=/0x0/filters:format(jpeg)/pic3488228.jpg</t>
  </si>
  <si>
    <t>https://cf.geekdo-images.com/W9HX05eyz2zQbwWdrjKUzQ__small/img/Qdfn4yBiilfyFLcSMXLsg8UHZAg=/fit-in/200x150/filters:strip_icc()/pic4161982.jpg</t>
  </si>
  <si>
    <t>https://cf.geekdo-images.com/W9HX05eyz2zQbwWdrjKUzQ__original/img/ScCURHDoqBbVK4_DjMuAywANBwE=/0x0/filters:format(jpeg)/pic4161982.jpg</t>
  </si>
  <si>
    <t>https://cf.geekdo-images.com/-DOqixs8uwKUvvWPKI4f9w__small/img/xLs-ldTPwaADbvzkOpF0sgWzwck=/fit-in/200x150/filters:strip_icc()/pic5261714.jpg</t>
  </si>
  <si>
    <t>https://cf.geekdo-images.com/-DOqixs8uwKUvvWPKI4f9w__original/img/Vh-DCkTPa8OU45LaJdUywwhiYqE=/0x0/filters:format(jpeg)/pic5261714.jpg</t>
  </si>
  <si>
    <t>https://cf.geekdo-images.com/1JOjllv-MOItgIZsGS7QfQ__small/img/18g0RHI9EKHOhINEqxxRXkK0xqk=/fit-in/200x150/filters:strip_icc()/pic6503824.png</t>
  </si>
  <si>
    <t>https://cf.geekdo-images.com/1JOjllv-MOItgIZsGS7QfQ__original/img/f1BDXqwnli5KzIoNeYwpa7IH2x8=/0x0/filters:format(png)/pic6503824.png</t>
  </si>
  <si>
    <t>https://cf.geekdo-images.com/4ZCV2o_OiGha0bknXDTfdA__small/img/S3t6BJifjuZMOwfnUQ6lcdUx9RA=/fit-in/200x150/filters:strip_icc()/pic6678381.jpg</t>
  </si>
  <si>
    <t>https://cf.geekdo-images.com/4ZCV2o_OiGha0bknXDTfdA__original/img/3ITIxi3iZsBvjnYWAn2KWRBAO-M=/0x0/filters:format(jpeg)/pic6678381.jpg</t>
  </si>
  <si>
    <t>https://cf.geekdo-images.com/jRg6horhSAWDITN_tSJuhg__small/img/AIJuadutdwZfVWSBQGD0x1KneMA=/fit-in/200x150/filters:strip_icc()/pic6974609.jpg</t>
  </si>
  <si>
    <t>https://cf.geekdo-images.com/jRg6horhSAWDITN_tSJuhg__original/img/Y2EbbSt0UAbMy2EZKepbai-XwaY=/0x0/filters:format(jpeg)/pic6974609.jpg</t>
  </si>
  <si>
    <t>https://cf.geekdo-images.com/n5x9eZiQ7Da4SQjB7M41-w__small/img/dGMw2df-4gOwfLCdUeJceBeLCk8=/fit-in/200x150/filters:strip_icc()/pic6877018.jpg</t>
  </si>
  <si>
    <t>https://cf.geekdo-images.com/n5x9eZiQ7Da4SQjB7M41-w__original/img/Y6dJpidB1624ox-QCAdiSVsCnf4=/0x0/filters:format(jpeg)/pic6877018.jpg</t>
  </si>
  <si>
    <t>https://cf.geekdo-images.com/DXA__BmtPAOfEyH9m_dvKQ__small/img/zrna46xuYgI5ASAbyLeopPX5EK4=/fit-in/200x150/filters:strip_icc()/pic1374907.jpg</t>
  </si>
  <si>
    <t>https://cf.geekdo-images.com/DXA__BmtPAOfEyH9m_dvKQ__original/img/13wt6O81Gq09wo2DS8_Mn1FkV_s=/0x0/filters:format(jpeg)/pic1374907.jpg</t>
  </si>
  <si>
    <t>https://cf.geekdo-images.com/eJx8hRJ6-86C2VrhECwEPA__small/img/J1PlqFqtN-hxuXM4eEi-ekANPP4=/fit-in/200x150/filters:strip_icc()/pic1000553.jpg</t>
  </si>
  <si>
    <t>https://cf.geekdo-images.com/eJx8hRJ6-86C2VrhECwEPA__original/img/-9I8B82hDOO1n0h9urwZUdz6bqc=/0x0/filters:format(jpeg)/pic1000553.jpg</t>
  </si>
  <si>
    <t>https://cf.geekdo-images.com/E4_JprtgeBemcad1YLLfHQ__small/img/oOLAFPvgisEeaA8r6uTN6PrGGck=/fit-in/200x150/filters:strip_icc()/pic7331485.png</t>
  </si>
  <si>
    <t>https://cf.geekdo-images.com/E4_JprtgeBemcad1YLLfHQ__original/img/vRdZYdAhJfRdOW63YGcNANUWoiU=/0x0/filters:format(png)/pic7331485.png</t>
  </si>
  <si>
    <t>https://cf.geekdo-images.com/LeaLDlTTmeN639MfuflcMw__small/img/CSPEyoFAcA3WwtzDekp3Mfepcek=/fit-in/200x150/filters:strip_icc()/pic2286966.jpg</t>
  </si>
  <si>
    <t>https://cf.geekdo-images.com/LeaLDlTTmeN639MfuflcMw__original/img/fusGQFpm4srwqhM8CDlEDzh0NyQ=/0x0/filters:format(jpeg)/pic2286966.jpg</t>
  </si>
  <si>
    <t>https://cf.geekdo-images.com/0vJwP6NGa7GHPZKC3gplUw__small/img/B3j-is62fP09eHP34uFG_gsxNQs=/fit-in/200x150/filters:strip_icc()/pic3989824.jpg</t>
  </si>
  <si>
    <t>https://cf.geekdo-images.com/0vJwP6NGa7GHPZKC3gplUw__original/img/TJDCd-PYySXmhQn-LC-y88JPA7U=/0x0/filters:format(jpeg)/pic3989824.jpg</t>
  </si>
  <si>
    <t>https://cf.geekdo-images.com/7k_nOxpO9OGIjhLq2BUZdA__small/img/eQ69OEDdjYjfKg6q5Navee87skU=/fit-in/200x150/filters:strip_icc()/pic3163924.jpg</t>
  </si>
  <si>
    <t>https://cf.geekdo-images.com/7k_nOxpO9OGIjhLq2BUZdA__original/img/HlDb9F365w0tSP8uD1vf1pfniQE=/0x0/filters:format(jpeg)/pic3163924.jpg</t>
  </si>
  <si>
    <t>https://cf.geekdo-images.com/CIh_rXKoRw9z8K0PJxT8nQ__small/img/Jh6NjibuHeYrZtSsAUXq82B1fTQ=/fit-in/200x150/filters:strip_icc()/pic6973911.jpg</t>
  </si>
  <si>
    <t>https://cf.geekdo-images.com/CIh_rXKoRw9z8K0PJxT8nQ__original/img/AX2wyHhWFgVh5OArXAjVHY-nFZg=/0x0/filters:format(jpeg)/pic6973911.jpg</t>
  </si>
  <si>
    <t>https://cf.geekdo-images.com/VosGBqkOjkhgC2QFS1o3_g__small/img/PNwWrQIQNo757BtoW6Hniy3P-cw=/fit-in/200x150/filters:strip_icc()/pic212893.jpg</t>
  </si>
  <si>
    <t>https://cf.geekdo-images.com/VosGBqkOjkhgC2QFS1o3_g__original/img/ZIc1p75HIEOIwtKy9ZIHsP2l0zQ=/0x0/filters:format(jpeg)/pic212893.jpg</t>
  </si>
  <si>
    <t>https://cf.geekdo-images.com/VHiB06XHhK6G3vxH9QAwHw__small/img/gl0OYJ3Lt-dMcVGfpgXnHyvVMzQ=/fit-in/200x150/filters:strip_icc()/pic5169196.jpg</t>
  </si>
  <si>
    <t>https://cf.geekdo-images.com/VHiB06XHhK6G3vxH9QAwHw__original/img/qmBX9dnhhCo66x4C7vlEpslSxMw=/0x0/filters:format(jpeg)/pic5169196.jpg</t>
  </si>
  <si>
    <t>https://cf.geekdo-images.com/OPrd2iXm43dir7BwKAMOuQ__small/img/yEnb4YWN-Cp41KWTQ2EeNkrqlZI=/fit-in/200x150/filters:strip_icc()/pic6097488.jpg</t>
  </si>
  <si>
    <t>https://cf.geekdo-images.com/OPrd2iXm43dir7BwKAMOuQ__original/img/ygPnbmg8FCpA7jO5gXw38uyNQ10=/0x0/filters:format(jpeg)/pic6097488.jpg</t>
  </si>
  <si>
    <t>https://cf.geekdo-images.com/uXMeQzNenHb3zK7Hoa6b2w__small/img/WyPClajMWU9lV5BdCXiZnqdZgmU=/fit-in/200x150/filters:strip_icc()/pic7398904.jpg</t>
  </si>
  <si>
    <t>https://cf.geekdo-images.com/uXMeQzNenHb3zK7Hoa6b2w__original/img/mWOQnkpyYBorh_Y1-0Y2o-ew17k=/0x0/filters:format(jpeg)/pic7398904.jpg</t>
  </si>
  <si>
    <t>https://cf.geekdo-images.com/PQzVclEoOQ_wr4e1V86kxA__small/img/cpmsSDagE5RvQ1ERXl-fMJIaUUg=/fit-in/200x150/filters:strip_icc()/pic8157856.png</t>
  </si>
  <si>
    <t>https://cf.geekdo-images.com/PQzVclEoOQ_wr4e1V86kxA__original/img/KXOf1hP1cIJQLabKhZulWP-e9wI=/0x0/filters:format(png)/pic8157856.png</t>
  </si>
  <si>
    <t>https://cf.geekdo-images.com/vNFe4JkhKAERzi4T0Ntwpw__small/img/KKU_42Uswt4tKCpf1zY5kTzgr-g=/fit-in/200x150/filters:strip_icc()/pic8234167.png</t>
  </si>
  <si>
    <t>https://cf.geekdo-images.com/vNFe4JkhKAERzi4T0Ntwpw__original/img/rqcUdtu_N4v-SpI96XVmpYHnJww=/0x0/filters:format(png)/pic8234167.png</t>
  </si>
  <si>
    <t>https://cf.geekdo-images.com/hqDT4HbEb2eNCyMOeiGj-g__small/img/ZNgW2QhLjYpVltWHy3LyJqstnow=/fit-in/200x150/filters:strip_icc()/pic6477003.png</t>
  </si>
  <si>
    <t>https://cf.geekdo-images.com/hqDT4HbEb2eNCyMOeiGj-g__original/img/6w3wjI3YZOWa8XLxoKQqg3XnbN0=/0x0/filters:format(png)/pic6477003.png</t>
  </si>
  <si>
    <t>https://cf.geekdo-images.com/2f9uTicUSXkdPp2Yks6zFw__small/img/_mXR9Tlo0f-i80h6pfhDEOBgvpY=/fit-in/200x150/filters:strip_icc()/pic5885689.jpg</t>
  </si>
  <si>
    <t>https://cf.geekdo-images.com/2f9uTicUSXkdPp2Yks6zFw__original/img/WQcFmlhYBMIp8f6gNNVhnnue1w4=/0x0/filters:format(jpeg)/pic5885689.jpg</t>
  </si>
  <si>
    <t>https://cf.geekdo-images.com/PktcqPAlKWjcG6916wWd2Q__small/img/EIAh4fDq_PHJHoHOXGRxzRVBeWI=/fit-in/200x150/filters:strip_icc()/pic5249010.jpg</t>
  </si>
  <si>
    <t>https://cf.geekdo-images.com/PktcqPAlKWjcG6916wWd2Q__original/img/WRtIhpbO-2_Z037tsGIZ3dkCM3s=/0x0/filters:format(jpeg)/pic5249010.jpg</t>
  </si>
  <si>
    <t>https://cf.geekdo-images.com/u1EZSUC5n8k4g4OFPkn3ow__small/img/mOfaidSnvnq2gHEQuAsYTLyIQQQ=/fit-in/200x150/filters:strip_icc()/pic8014078.jpg</t>
  </si>
  <si>
    <t>https://cf.geekdo-images.com/u1EZSUC5n8k4g4OFPkn3ow__original/img/e4QJiofBkd18ZffIURPyqNWrhxk=/0x0/filters:format(jpeg)/pic8014078.jpg</t>
  </si>
  <si>
    <t>https://cf.geekdo-images.com/9pXymk67xI4PlV4RDJknpw__small/img/yzuulEyLidKy7nx3fIbaJv39sXk=/fit-in/200x150/filters:strip_icc()/pic5675728.png</t>
  </si>
  <si>
    <t>https://cf.geekdo-images.com/9pXymk67xI4PlV4RDJknpw__original/img/2XfpZFrsT1KimTQ2XgXQchxNgF0=/0x0/filters:format(png)/pic5675728.png</t>
  </si>
  <si>
    <t>https://cf.geekdo-images.com/OYne8uBCHv5oEgRfpOrV0A__small/img/_YPdmxegKIoZI_ButuMJzfw9UBo=/fit-in/200x150/filters:strip_icc()/pic2648303.jpg</t>
  </si>
  <si>
    <t>https://cf.geekdo-images.com/OYne8uBCHv5oEgRfpOrV0A__original/img/jcTlhpYG2496xQtuQ277bFTIldY=/0x0/filters:format(jpeg)/pic2648303.jpg</t>
  </si>
  <si>
    <t>https://cf.geekdo-images.com/VuBqZ1sMaDAVVHF_OEJP4g__small/img/EdacXlcFZ06YK0-ZKa0oKwL4VCw=/fit-in/200x150/filters:strip_icc()/pic5988903.jpg</t>
  </si>
  <si>
    <t>https://cf.geekdo-images.com/VuBqZ1sMaDAVVHF_OEJP4g__original/img/jGWxczXC_VWZofeAmlO_DkB0hCI=/0x0/filters:format(jpeg)/pic5988903.jpg</t>
  </si>
  <si>
    <t>https://cf.geekdo-images.com/spcy6nvsfq-hxYgwEpmidQ__small/img/nR2TKxtWOVJR1OHD6hAF05IHuOI=/fit-in/200x150/filters:strip_icc()/pic3496085.jpg</t>
  </si>
  <si>
    <t>https://cf.geekdo-images.com/spcy6nvsfq-hxYgwEpmidQ__original/img/rXKH8tfISrTxPqUKCw1FXIDSBc0=/0x0/filters:format(jpeg)/pic3496085.jpg</t>
  </si>
  <si>
    <t>https://cf.geekdo-images.com/1uTAJoAdG3UC6N0G7UMeTA__small/img/SzaN4ejLFyjTbElgZPGGjUtlf6o=/fit-in/200x150/filters:strip_icc()/pic4942502.jpg</t>
  </si>
  <si>
    <t>https://cf.geekdo-images.com/1uTAJoAdG3UC6N0G7UMeTA__original/img/Xo0bcffWDmM8g3iLRqFZs3rhWRw=/0x0/filters:format(jpeg)/pic4942502.jpg</t>
  </si>
  <si>
    <t>https://cf.geekdo-images.com/zfG4LJqTIersZa6OQUlonw__small/img/83TUWmy5EZVzewUqKo_2P9wP8GA=/fit-in/200x150/filters:strip_icc()/pic2397380.jpg</t>
  </si>
  <si>
    <t>https://cf.geekdo-images.com/zfG4LJqTIersZa6OQUlonw__original/img/U4KGSt6ld0XpoDgLMc0PdbbLEI4=/0x0/filters:format(jpeg)/pic2397380.jpg</t>
  </si>
  <si>
    <t>https://cf.geekdo-images.com/ydwU0FMlRVa6wt8tOu1tgg__small/img/9hYAUB4S9PHAVvUoPEcaRm7jHIg=/fit-in/200x150/filters:strip_icc()/pic7962719.jpg</t>
  </si>
  <si>
    <t>https://cf.geekdo-images.com/ydwU0FMlRVa6wt8tOu1tgg__original/img/RT9ajRhK-eHlBJgsksL9rJQHIuk=/0x0/filters:format(jpeg)/pic7962719.jpg</t>
  </si>
  <si>
    <t>https://cf.geekdo-images.com/kFvA9hyXiRLdU86unuxtBA__small/img/qWUZh_qchnQdjzB3HhvLN6zoOao=/fit-in/200x150/filters:strip_icc()/pic5227104.png</t>
  </si>
  <si>
    <t>https://cf.geekdo-images.com/kFvA9hyXiRLdU86unuxtBA__original/img/ZgnURKOaUq8MXDoZbUp-wk_6okY=/0x0/filters:format(png)/pic5227104.png</t>
  </si>
  <si>
    <t>https://cf.geekdo-images.com/q_JGK291hrhnhiRB0667oA__small/img/PUrzEmTo5kOcK5BOb4cbOOcH86I=/fit-in/200x150/filters:strip_icc()/pic3979766.png</t>
  </si>
  <si>
    <t>https://cf.geekdo-images.com/q_JGK291hrhnhiRB0667oA__original/img/8VjZEG278faO9JZwzce3v3EKssI=/0x0/filters:format(png)/pic3979766.png</t>
  </si>
  <si>
    <t>https://cf.geekdo-images.com/qXT1U-nFh9PE8ujfdmI7dA__small/img/ru1l95gdKNXSsByDglE9Xxgu0kE=/fit-in/200x150/filters:strip_icc()/pic7754663.jpg</t>
  </si>
  <si>
    <t>https://cf.geekdo-images.com/qXT1U-nFh9PE8ujfdmI7dA__original/img/jzmifZJ0Sg2Js7hmQjzX7bEHVBY=/0x0/filters:format(jpeg)/pic7754663.jpg</t>
  </si>
  <si>
    <t>https://cf.geekdo-images.com/qti1p7RCdYMq7YLrpK_fyQ__small/img/gMAwEx8jF3OEyxxiVBDkUw8JN8g=/fit-in/200x150/filters:strip_icc()/pic8935198.jpg</t>
  </si>
  <si>
    <t>https://cf.geekdo-images.com/qti1p7RCdYMq7YLrpK_fyQ__original/img/T_cFL0N7KwL8m7y6WEp0ruRXNu4=/0x0/filters:format(jpeg)/pic8935198.jpg</t>
  </si>
  <si>
    <t>https://cf.geekdo-images.com/Rq_hJIAO7jDgIpAW943hJA__small/img/blKEV5US-j7v3VDceGF1CIUb-lE=/fit-in/200x150/filters:strip_icc()/pic7697747.jpg</t>
  </si>
  <si>
    <t>https://cf.geekdo-images.com/Rq_hJIAO7jDgIpAW943hJA__original/img/9lIQGNwBYmAlsgXOI6Iw2Q2CIkA=/0x0/filters:format(jpeg)/pic7697747.jpg</t>
  </si>
  <si>
    <t>https://cf.geekdo-images.com/gz8_8iYP2SSGVAxpp7CwLg__small/img/5jkPnPGk5LWNzuW5GANPDLa4ZRA=/fit-in/200x150/filters:strip_icc()/pic5854968.png</t>
  </si>
  <si>
    <t>https://cf.geekdo-images.com/gz8_8iYP2SSGVAxpp7CwLg__original/img/9ULfNvkyu0k1m0d63-Mk0k5e0MA=/0x0/filters:format(png)/pic5854968.png</t>
  </si>
  <si>
    <t>https://cf.geekdo-images.com/0K1AOciqlMVUWFPLTJSiww__small/img/RDvu2FvsYVVH8icp1VsilUlqUGI=/fit-in/200x150/filters:strip_icc()/pic66668.jpg</t>
  </si>
  <si>
    <t>https://cf.geekdo-images.com/0K1AOciqlMVUWFPLTJSiww__original/img/O37sCRSJLq4S8EpCxFDNVsNBuxE=/0x0/filters:format(jpeg)/pic66668.jpg</t>
  </si>
  <si>
    <t>https://cf.geekdo-images.com/bGvfrC4pLxR-xkK_nN31DA__small/img/oHlL9FSE6aJxTGwxAY7hVYqz7Ew=/fit-in/200x150/filters:strip_icc()/pic3116341.jpg</t>
  </si>
  <si>
    <t>https://cf.geekdo-images.com/bGvfrC4pLxR-xkK_nN31DA__original/img/YyJlEee0IXZKQKeDD9UxPwQgRk8=/0x0/filters:format(jpeg)/pic3116341.jpg</t>
  </si>
  <si>
    <t>https://cf.geekdo-images.com/RswtgTJ47UP-DcxucKMhSQ__small/img/E4s593_YfvAEbOymG3WyFVaPdMs=/fit-in/200x150/filters:strip_icc()/pic5076448.png</t>
  </si>
  <si>
    <t>https://cf.geekdo-images.com/RswtgTJ47UP-DcxucKMhSQ__original/img/HivCaidlsASHUqVQJmd1wwSlVXU=/0x0/filters:format(png)/pic5076448.png</t>
  </si>
  <si>
    <t>https://cf.geekdo-images.com/2V3d4ryhxkS3RoPtDrvpUw__small/img/NWgNhoxUIF7Lmj1apRkZQhFL6NU=/fit-in/200x150/filters:strip_icc()/pic875761.jpg</t>
  </si>
  <si>
    <t>https://cf.geekdo-images.com/2V3d4ryhxkS3RoPtDrvpUw__original/img/TP5U-O2eujPBK9IVmmifdfkWwdQ=/0x0/filters:format(jpeg)/pic875761.jpg</t>
  </si>
  <si>
    <t>https://cf.geekdo-images.com/_Ppn5lssO5OaildSE-FgFA__small/img/lfEukJE0JsoZZObaF9K9YnFp62E=/fit-in/200x150/filters:strip_icc()/pic3727516.jpg</t>
  </si>
  <si>
    <t>https://cf.geekdo-images.com/_Ppn5lssO5OaildSE-FgFA__original/img/kVpZ0Maa_LeQGWxOqsYKP3N4KUY=/0x0/filters:format(jpeg)/pic3727516.jpg</t>
  </si>
  <si>
    <t>https://cf.geekdo-images.com/pNCiUUphnoeWOYfsWq0kng__small/img/p7alNkNy8Avm8UISmhYHCiMz5bE=/fit-in/200x150/filters:strip_icc()/pic3530661.jpg</t>
  </si>
  <si>
    <t>https://cf.geekdo-images.com/pNCiUUphnoeWOYfsWq0kng__original/img/Iae47UtAd_RXVd5tJ3YzbDHOv4E=/0x0/filters:format(jpeg)/pic3530661.jpg</t>
  </si>
  <si>
    <t>https://cf.geekdo-images.com/ZpP78uEJrNuRfOW_wUkzSQ__small/img/9my9Z8EpkRJgqIf2j8Fpq6fdYvw=/fit-in/200x150/filters:strip_icc()/pic7638978.png</t>
  </si>
  <si>
    <t>https://cf.geekdo-images.com/ZpP78uEJrNuRfOW_wUkzSQ__original/img/Wg8CMdHJfN36s18V361KB5KeXaI=/0x0/filters:format(png)/pic7638978.png</t>
  </si>
  <si>
    <t>https://cf.geekdo-images.com/-DHiHBBSnvaLu0Do8CIykQ__small/img/AUkAjClJAk3BX1vEpk7EasSh_44=/fit-in/200x150/filters:strip_icc()/pic8204165.jpg</t>
  </si>
  <si>
    <t>https://cf.geekdo-images.com/-DHiHBBSnvaLu0Do8CIykQ__original/img/fRfoyWezpQsumExNKVxf1cwtJfg=/0x0/filters:format(jpeg)/pic8204165.jpg</t>
  </si>
  <si>
    <t>https://cf.geekdo-images.com/BrmN9uBYLBf9qzlqtQUhTg__small/img/_hEs-7kw3PYDJ1UPCXdWAtqN2j4=/fit-in/200x150/filters:strip_icc()/pic7762353.jpg</t>
  </si>
  <si>
    <t>https://cf.geekdo-images.com/BrmN9uBYLBf9qzlqtQUhTg__original/img/Wz1TpseAsLyzf065Wfl5RHDmuYc=/0x0/filters:format(jpeg)/pic7762353.jpg</t>
  </si>
  <si>
    <t>https://cf.geekdo-images.com/l_PRU2lVlX9seScRFcvFlA__small/img/pULDtVd75QZgGfvSMhr6Rs07vK8=/fit-in/200x150/filters:strip_icc()/pic6500949.jpg</t>
  </si>
  <si>
    <t>https://cf.geekdo-images.com/l_PRU2lVlX9seScRFcvFlA__original/img/gDL7OZFlzoOFgU0VYlREs8P5hCQ=/0x0/filters:format(jpeg)/pic6500949.jpg</t>
  </si>
  <si>
    <t>https://cf.geekdo-images.com/z4fbPdmJg_5yphJEvql4ZA__small/img/bxLuHVLF-Y06jWRSKA-tuQ3YYcE=/fit-in/200x150/filters:strip_icc()/pic4552862.png</t>
  </si>
  <si>
    <t>https://cf.geekdo-images.com/z4fbPdmJg_5yphJEvql4ZA__original/img/bP1gM8RC-o5iz20_WazBaBNDHnU=/0x0/filters:format(png)/pic4552862.png</t>
  </si>
  <si>
    <t>https://cf.geekdo-images.com/lZwgk3_MqyAmROjkz4v8Wg__small/img/pI0Bnq7hO-Msonh7OJkKiHGnmfI=/fit-in/200x150/filters:strip_icc()/pic6974323.png</t>
  </si>
  <si>
    <t>https://cf.geekdo-images.com/lZwgk3_MqyAmROjkz4v8Wg__original/img/W0gWMrkx5fEgVp8b2fMc-LfGmz8=/0x0/filters:format(png)/pic6974323.png</t>
  </si>
  <si>
    <t>https://cf.geekdo-images.com/yLZJCVLlIx4c7eJEWUNJ7w__small/img/VNToqgS2-pOGU6MuvIkMPKn_y-s=/fit-in/200x150/filters:strip_icc()/pic4458123.jpg</t>
  </si>
  <si>
    <t>https://cf.geekdo-images.com/yLZJCVLlIx4c7eJEWUNJ7w__original/img/cI782Zis9cT66j2MjSHKJGnFPNw=/0x0/filters:format(jpeg)/pic4458123.jpg</t>
  </si>
  <si>
    <t>https://cf.geekdo-images.com/h1dRxq4lNMpuSUSGdgCmfA__small/img/hPsEFlgh0b_JhtQmsJQv3vmq814=/fit-in/200x150/filters:strip_icc()/pic7107431.jpg</t>
  </si>
  <si>
    <t>https://cf.geekdo-images.com/h1dRxq4lNMpuSUSGdgCmfA__original/img/MSX7waTxS81SiyxAmmCJFFWAl1I=/0x0/filters:format(jpeg)/pic7107431.jpg</t>
  </si>
  <si>
    <t>https://cf.geekdo-images.com/Y-tJqlLcr_TWRCi8c51Nhw__small/img/7JmCzGMj1OWM8zwVr-EJfzHoxT0=/fit-in/200x150/filters:strip_icc()/pic6219131.png</t>
  </si>
  <si>
    <t>https://cf.geekdo-images.com/Y-tJqlLcr_TWRCi8c51Nhw__original/img/xm-1W9HTA_2RAn1Za7JqKj-vQL0=/0x0/filters:format(png)/pic6219131.png</t>
  </si>
  <si>
    <t>https://cf.geekdo-images.com/1E7ghRKcegsb941W1QwrOw__small/img/OQe2YrchPfNyh_LvUx6vCEWGei4=/fit-in/200x150/filters:strip_icc()/pic2247621.jpg</t>
  </si>
  <si>
    <t>https://cf.geekdo-images.com/1E7ghRKcegsb941W1QwrOw__original/img/f73J1UFyuBzmOAU8Lt-hy0NkiKs=/0x0/filters:format(jpeg)/pic2247621.jpg</t>
  </si>
  <si>
    <t>https://cf.geekdo-images.com/Iwv0Vg8FXIKlEr8xKsapIQ__small/img/LbMfaYV0-_2yRXvl6D8pjXa86IY=/fit-in/200x150/filters:strip_icc()/pic4334067.jpg</t>
  </si>
  <si>
    <t>https://cf.geekdo-images.com/Iwv0Vg8FXIKlEr8xKsapIQ__original/img/MmYKhIQ-QmB-PQBZuo8vLUtbQIM=/0x0/filters:format(jpeg)/pic4334067.jpg</t>
  </si>
  <si>
    <t>https://cf.geekdo-images.com/C9U2E51tkzLljewFEGQ74g__small/img/4KV3wj3NiJDgGTh3zmW0_8Ph3Zc=/fit-in/200x150/filters:strip_icc()/pic5837347.jpg</t>
  </si>
  <si>
    <t>https://cf.geekdo-images.com/C9U2E51tkzLljewFEGQ74g__original/img/Q-a5lAydzhwNLLhy8n326tlxuYE=/0x0/filters:format(jpeg)/pic5837347.jpg</t>
  </si>
  <si>
    <t>https://cf.geekdo-images.com/iPy584JMAJYrupqRdQp8gA__small/img/0qjQ2T0wXNZDVvMie54bEVmKeT8=/fit-in/200x150/filters:strip_icc()/pic4991962.jpg</t>
  </si>
  <si>
    <t>https://cf.geekdo-images.com/iPy584JMAJYrupqRdQp8gA__original/img/zPbWjPYgLscrjd96Uitf3GTPb34=/0x0/filters:format(jpeg)/pic4991962.jpg</t>
  </si>
  <si>
    <t>https://cf.geekdo-images.com/uC4N_3kQdoHefNPesAHCzQ__small/img/hLjGKsIwJP43656LEnehjFVRzDE=/fit-in/200x150/filters:strip_icc()/pic8437787.png</t>
  </si>
  <si>
    <t>https://cf.geekdo-images.com/uC4N_3kQdoHefNPesAHCzQ__original/img/ohKFXmrxtaOPqJyiIMaABIy-WjU=/0x0/filters:format(png)/pic8437787.png</t>
  </si>
  <si>
    <t>https://cf.geekdo-images.com/Kt-BIWfqYeoHGXQoJ9CwvA__small/img/0z738NQYKW2qENkQmpJtOuYm00Q=/fit-in/200x150/filters:strip_icc()/pic7624633.jpg</t>
  </si>
  <si>
    <t>https://cf.geekdo-images.com/Kt-BIWfqYeoHGXQoJ9CwvA__original/img/Ou0GZXj3wOZLKgHQn8Qvm6R7bc0=/0x0/filters:format(jpeg)/pic7624633.jpg</t>
  </si>
  <si>
    <t>https://cf.geekdo-images.com/bFZKvxPJ23dzGwgpOg-mIA__small/img/DcrVgGjSLsCZqXvEE_s0a1JSdn4=/fit-in/200x150/filters:strip_icc()/pic3213622.png</t>
  </si>
  <si>
    <t>https://cf.geekdo-images.com/bFZKvxPJ23dzGwgpOg-mIA__original/img/Pi321k82TYCMy0v6GqKZ3LHvBYM=/0x0/filters:format(png)/pic3213622.png</t>
  </si>
  <si>
    <t>https://cf.geekdo-images.com/5Q5YHxJeVp6PAhfv5Ct0-g__small/img/nqo8xhGEWnqXYDEvYcVpBpABBI4=/fit-in/200x150/filters:strip_icc()/pic3678404.png</t>
  </si>
  <si>
    <t>https://cf.geekdo-images.com/5Q5YHxJeVp6PAhfv5Ct0-g__original/img/yRNioltDOtjrTRXa0HHoTTCWNf8=/0x0/filters:format(png)/pic3678404.png</t>
  </si>
  <si>
    <t>https://cf.geekdo-images.com/aONz4E-8u8HKwjlADeqT8A__small/img/8AOH1oxfDitXHAHfPtJE8BxBbHM=/fit-in/200x150/filters:strip_icc()/pic4991869.jpg</t>
  </si>
  <si>
    <t>https://cf.geekdo-images.com/aONz4E-8u8HKwjlADeqT8A__original/img/0j3IXbO8NrctencAgy0n-Uoa794=/0x0/filters:format(jpeg)/pic4991869.jpg</t>
  </si>
  <si>
    <t>https://cf.geekdo-images.com/OAX7HfOz-9N60StgADzd0g__small/img/sBMaoJ-Kz74lJ6djcl-NNMTr0Wo=/fit-in/200x150/filters:strip_icc()/pic3781944.png</t>
  </si>
  <si>
    <t>https://cf.geekdo-images.com/OAX7HfOz-9N60StgADzd0g__original/img/x2Y_DYWrzzleMETfnu7Jm3R8jPo=/0x0/filters:format(png)/pic3781944.png</t>
  </si>
  <si>
    <t>https://cf.geekdo-images.com/SoU8p28Sk1s8MSvoM4N8pQ__small/img/4KuHNTWSMPf8vTNDKSRMMI3oOv8=/fit-in/200x150/filters:strip_icc()/pic6293412.jpg</t>
  </si>
  <si>
    <t>https://cf.geekdo-images.com/SoU8p28Sk1s8MSvoM4N8pQ__original/img/g4S18szTdrXCdIwVKzMKrZrYAcM=/0x0/filters:format(jpeg)/pic6293412.jpg</t>
  </si>
  <si>
    <t>https://cf.geekdo-images.com/l-NBWJ1gIcfOCfrvAw8qvw__small/img/kvxUPoBvCzjV5r6poE29LFUQnSM=/fit-in/200x150/filters:strip_icc()/pic6389125.jpg</t>
  </si>
  <si>
    <t>https://cf.geekdo-images.com/l-NBWJ1gIcfOCfrvAw8qvw__original/img/VaPUWBlEE3Wg_QGYAsHxKV8mBkw=/0x0/filters:format(jpeg)/pic6389125.jpg</t>
  </si>
  <si>
    <t>https://cf.geekdo-images.com/843kZ6WR0HfyXWEybA6L7A__small/img/sOiQSPo_DM7G1Om0PF1T2Z8ACcA=/fit-in/200x150/filters:strip_icc()/pic4930887.jpg</t>
  </si>
  <si>
    <t>https://cf.geekdo-images.com/843kZ6WR0HfyXWEybA6L7A__original/img/VtYGvhy_YCSw14FpV8FGzv0eMe4=/0x0/filters:format(jpeg)/pic4930887.jpg</t>
  </si>
  <si>
    <t>https://cf.geekdo-images.com/hXNqiCcLt9AJzcqBSsyKiQ__small/img/z9TNjpF6z2JxYMWRDtsF958SX8A=/fit-in/200x150/filters:strip_icc()/pic5121000.jpg</t>
  </si>
  <si>
    <t>https://cf.geekdo-images.com/hXNqiCcLt9AJzcqBSsyKiQ__original/img/77EMP3lRlpwjMTGP1cHQqv7w5lk=/0x0/filters:format(jpeg)/pic5121000.jpg</t>
  </si>
  <si>
    <t>https://cf.geekdo-images.com/HINb2nkFn5IiZxAlzQIs4g__small/img/cRCX-PIROiSFG5aLvwkn2O7tHsg=/fit-in/200x150/filters:strip_icc()/pic7009391.jpg</t>
  </si>
  <si>
    <t>https://cf.geekdo-images.com/HINb2nkFn5IiZxAlzQIs4g__original/img/e7izEwSmnBPiErsIF6hlWbgybBE=/0x0/filters:format(jpeg)/pic7009391.jpg</t>
  </si>
  <si>
    <t>https://cf.geekdo-images.com/x3zxjr-Vw5iU4yDPg70Jgw__small/img/o18rjEemoWaVru9Y2TyPwuIaRfE=/fit-in/200x150/filters:strip_icc()/pic3490053.jpg</t>
  </si>
  <si>
    <t>https://cf.geekdo-images.com/x3zxjr-Vw5iU4yDPg70Jgw__original/img/FpyxH41Y6_ROoePAilPNEhXnzO8=/0x0/filters:format(jpeg)/pic3490053.jpg</t>
  </si>
  <si>
    <t>https://cf.geekdo-images.com/b4qSA5fvVJe9QQOKPCMoNA__small/img/0yWeezsHg0jGc2flURUSlyqxK2M=/fit-in/200x150/filters:strip_icc()/pic2907864.jpg</t>
  </si>
  <si>
    <t>https://cf.geekdo-images.com/b4qSA5fvVJe9QQOKPCMoNA__original/img/WVKN6ArSni8knEze0BT4VOYB-AY=/0x0/filters:format(jpeg)/pic2907864.jpg</t>
  </si>
  <si>
    <t>https://cf.geekdo-images.com/8OA8L-EvrHSTIdLcZrZTJw__small/img/S0RNcItSGHd-qS_0qiRkWKnRG5s=/fit-in/200x150/filters:strip_icc()/pic3152346.jpg</t>
  </si>
  <si>
    <t>https://cf.geekdo-images.com/8OA8L-EvrHSTIdLcZrZTJw__original/img/kvgIhqG6laLt_QiFlc5XilXonO8=/0x0/filters:format(jpeg)/pic3152346.jpg</t>
  </si>
  <si>
    <t>https://cf.geekdo-images.com/nMitZr9Lu4Ux7LLqBy7Z8A__small/img/mLHWOFfdxrWljImkFZ2ulIhHt7A=/fit-in/200x150/filters:strip_icc()/pic6875169.png</t>
  </si>
  <si>
    <t>https://cf.geekdo-images.com/nMitZr9Lu4Ux7LLqBy7Z8A__original/img/A_bSjGJJXDFfSocVclabxi8ArY8=/0x0/filters:format(png)/pic6875169.png</t>
  </si>
  <si>
    <t>https://cf.geekdo-images.com/Dpu5nFJu4UUJ4Y50WyKueg__small/img/tRPNrLtteyfINpaFLLqEjyfTA10=/fit-in/200x150/filters:strip_icc()/pic7069368.jpg</t>
  </si>
  <si>
    <t>https://cf.geekdo-images.com/Dpu5nFJu4UUJ4Y50WyKueg__original/img/feQTYcCwgIg4LneCYIoaWz12Z24=/0x0/filters:format(jpeg)/pic7069368.jpg</t>
  </si>
  <si>
    <t>https://cf.geekdo-images.com/GifbnAmsA4lfEcDkeaC9VA__small/img/TTxZzwbna07hMcPQ0xaFtT10egE=/fit-in/200x150/filters:strip_icc()/pic4397932.png</t>
  </si>
  <si>
    <t>https://cf.geekdo-images.com/GifbnAmsA4lfEcDkeaC9VA__original/img/YzJORdIDNza8kmrY6KEU_h2p2Wo=/0x0/filters:format(png)/pic4397932.png</t>
  </si>
  <si>
    <t>https://cf.geekdo-images.com/M1gT_9LjNqUzAx3RAqdGRQ__small/img/3I1JU_hP5YtIg6RzcJePmmNOWAQ=/fit-in/200x150/filters:strip_icc()/pic6731829.jpg</t>
  </si>
  <si>
    <t>https://cf.geekdo-images.com/M1gT_9LjNqUzAx3RAqdGRQ__original/img/euRCLPNg4Zpqqtvwdcjvbrna9JQ=/0x0/filters:format(jpeg)/pic6731829.jpg</t>
  </si>
  <si>
    <t>https://cf.geekdo-images.com/aP1eb0AC--mJ2tGrzdbf6w__small/img/YNAl2fBYYvQpvUyldEubgO9xOn0=/fit-in/200x150/filters:strip_icc()/pic6630227.jpg</t>
  </si>
  <si>
    <t>https://cf.geekdo-images.com/aP1eb0AC--mJ2tGrzdbf6w__original/img/ZFXklIfTL9aYL1e5CK_6rmM5VM4=/0x0/filters:format(jpeg)/pic6630227.jpg</t>
  </si>
  <si>
    <t>https://cf.geekdo-images.com/GtLESZ4ZjqikK12bjBTmig__small/img/66Emb1wn1JD_5_9XdsYY2DgMVMA=/fit-in/200x150/filters:strip_icc()/pic7040521.jpg</t>
  </si>
  <si>
    <t>https://cf.geekdo-images.com/GtLESZ4ZjqikK12bjBTmig__original/img/CHUtcmSXFs8LYKRHyUaeio2ra4U=/0x0/filters:format(jpeg)/pic7040521.jpg</t>
  </si>
  <si>
    <t>https://cf.geekdo-images.com/oyTU673yivJK4wM6DsEb1A__small/img/YCFAaQJVMO41hrOay_n4jzwVNeI=/fit-in/200x150/filters:strip_icc()/pic5201597.jpg</t>
  </si>
  <si>
    <t>https://cf.geekdo-images.com/oyTU673yivJK4wM6DsEb1A__original/img/vhUthenkAIHpkRpUukYtrHrPc0c=/0x0/filters:format(jpeg)/pic5201597.jpg</t>
  </si>
  <si>
    <t>https://cf.geekdo-images.com/DPjV1iI0ygo5Bl3XLNRiIg__small/img/O2WnqJew5gNjQqPUH3gqmTBc1pQ=/fit-in/200x150/filters:strip_icc()/pic4449526.jpg</t>
  </si>
  <si>
    <t>https://cf.geekdo-images.com/DPjV1iI0ygo5Bl3XLNRiIg__original/img/cXqOdM3BLyIeRt0GP3M3V--gF1M=/0x0/filters:format(jpeg)/pic4449526.jpg</t>
  </si>
  <si>
    <t>https://cf.geekdo-images.com/cCLn9Mvb7jRSaZzHeUXhoQ__small/img/B8BFQLR2Po3ekI_7XSG1kR9oil0=/fit-in/200x150/filters:strip_icc()/pic6937913.jpg</t>
  </si>
  <si>
    <t>https://cf.geekdo-images.com/cCLn9Mvb7jRSaZzHeUXhoQ__original/img/NK4hsA9nc-kdI07hR0Nc23dL_bk=/0x0/filters:format(jpeg)/pic6937913.jpg</t>
  </si>
  <si>
    <t>https://cf.geekdo-images.com/lHadyVLPUQfNz_qV6MMp_Q__small/img/zWiETTyIp4Xo1o0l2mtOdt3G-ls=/fit-in/200x150/filters:strip_icc()/pic3218988.jpg</t>
  </si>
  <si>
    <t>https://cf.geekdo-images.com/lHadyVLPUQfNz_qV6MMp_Q__original/img/qN8xusrxWyTJfgq1gTUWrdE4B2I=/0x0/filters:format(jpeg)/pic3218988.jpg</t>
  </si>
  <si>
    <t>https://cf.geekdo-images.com/OFSDgRR7lbFF0W3VP4mISw__small/img/wx-QjSj1vQfEZBgQXjgnwPpzyow=/fit-in/200x150/filters:strip_icc()/pic8911187.png</t>
  </si>
  <si>
    <t>https://cf.geekdo-images.com/OFSDgRR7lbFF0W3VP4mISw__original/img/c38ZwmumTOCA8rLQVKrrNz83RzU=/0x0/filters:format(png)/pic8911187.png</t>
  </si>
  <si>
    <t>https://cf.geekdo-images.com/JmQ5V6UobToAeWnt2O5eZQ__small/img/OdpetBzOKBc9CXIbB4VgZ_AW58Y=/fit-in/200x150/filters:strip_icc()/pic4268509.jpg</t>
  </si>
  <si>
    <t>https://cf.geekdo-images.com/JmQ5V6UobToAeWnt2O5eZQ__original/img/pnoSNQGIVuEqeTTWP3bw-bHQuWg=/0x0/filters:format(jpeg)/pic4268509.jpg</t>
  </si>
  <si>
    <t>https://cf.geekdo-images.com/DOwZ7_Q1w68iBhARcDAxig__small/img/nkY1mEj6fItSXJHctfzFcRIcDT0=/fit-in/200x150/filters:strip_icc()/pic8549797.jpg</t>
  </si>
  <si>
    <t>https://cf.geekdo-images.com/DOwZ7_Q1w68iBhARcDAxig__original/img/0E7UQ_sXErRusbZVixlIiN8MIJQ=/0x0/filters:format(jpeg)/pic8549797.jpg</t>
  </si>
  <si>
    <t>https://cf.geekdo-images.com/qrPLpAnhFgc470ZRuXlvbg__small/img/ZFL0o-lhnuWE21Sa9YS8qi8ayGU=/fit-in/200x150/filters:strip_icc()/pic4037705.jpg</t>
  </si>
  <si>
    <t>https://cf.geekdo-images.com/qrPLpAnhFgc470ZRuXlvbg__original/img/QenUCVaFRry4-wlimHmeLn226Bo=/0x0/filters:format(jpeg)/pic4037705.jpg</t>
  </si>
  <si>
    <t>https://cf.geekdo-images.com/1COY3oeK9aN2_XNimKaNww__small/img/8IWDjnSYX-tYAVRgfq-W3y1b_Ww=/fit-in/200x150/filters:strip_icc()/pic3033330.jpg</t>
  </si>
  <si>
    <t>https://cf.geekdo-images.com/1COY3oeK9aN2_XNimKaNww__original/img/ZzyzlO15ggCfkLg9ckeM4PWNePI=/0x0/filters:format(jpeg)/pic3033330.jpg</t>
  </si>
  <si>
    <t>https://cf.geekdo-images.com/Fy-jrkPaNbPEOV8414pKqw__small/img/QADFRTNGx45dtrGDh5hWvyi2z3M=/fit-in/200x150/filters:strip_icc()/pic4783811.jpg</t>
  </si>
  <si>
    <t>https://cf.geekdo-images.com/Fy-jrkPaNbPEOV8414pKqw__original/img/A1DG5nsO42tyfoDvNaG9PLBtcXs=/0x0/filters:format(jpeg)/pic4783811.jpg</t>
  </si>
  <si>
    <t>https://cf.geekdo-images.com/wJphcoCCYScWCNkE32D_hw__small/img/9FV7H95C0vPv_y60nitZVlMTTgc=/fit-in/200x150/filters:strip_icc()/pic5756205.jpg</t>
  </si>
  <si>
    <t>https://cf.geekdo-images.com/wJphcoCCYScWCNkE32D_hw__original/img/qSYnPWdXgggfxYvT03Oa32zSrh0=/0x0/filters:format(jpeg)/pic5756205.jpg</t>
  </si>
  <si>
    <t>https://cf.geekdo-images.com/hLJv1A1TwrMrLLIJhVpKVA__small/img/cHgvJgF-Gr6mgDKj51uPoqbjHQk=/fit-in/200x150/filters:strip_icc()/pic3429338.png</t>
  </si>
  <si>
    <t>https://cf.geekdo-images.com/hLJv1A1TwrMrLLIJhVpKVA__original/img/LXqkRZSyg3hRMJlUMm2m83gmi_s=/0x0/filters:format(png)/pic3429338.png</t>
  </si>
  <si>
    <t>https://cf.geekdo-images.com/q-CvtJOYWZQDw1tuOdDd4Q__small/img/JmOmFgjBhY0rc1ejk7z7Cw1o9Dw=/fit-in/200x150/filters:strip_icc()/pic6020854.jpg</t>
  </si>
  <si>
    <t>https://cf.geekdo-images.com/q-CvtJOYWZQDw1tuOdDd4Q__original/img/Eo6IIIYE_Ks1AkMS7garjfSXsh4=/0x0/filters:format(jpeg)/pic6020854.jpg</t>
  </si>
  <si>
    <t>https://cf.geekdo-images.com/HX0lvc-JiPzf7Nrqp_N-Fw__small/img/iInoc-itpaO_STBI1QVQ0B-WWME=/fit-in/200x150/filters:strip_icc()/pic1387599.jpg</t>
  </si>
  <si>
    <t>https://cf.geekdo-images.com/HX0lvc-JiPzf7Nrqp_N-Fw__original/img/9qsDO-TCNWxVxNZEbgLX08aYeJc=/0x0/filters:format(jpeg)/pic1387599.jpg</t>
  </si>
  <si>
    <t>https://cf.geekdo-images.com/7b75ZZJQ4EEbDsKLi6kYSw__small/img/N0ZKQJsEo6_hk2UxH2rvqKorh2g=/fit-in/200x150/filters:strip_icc()/pic918568.jpg</t>
  </si>
  <si>
    <t>https://cf.geekdo-images.com/7b75ZZJQ4EEbDsKLi6kYSw__original/img/Oep0CGYNB5HiLBBOMmEo2qKgXaM=/0x0/filters:format(jpeg)/pic918568.jpg</t>
  </si>
  <si>
    <t>https://cf.geekdo-images.com/YIxmAusaJJq4SpiSpSAKWQ__small/img/9i6K95aGNZegnktzp4Cv4t805I4=/fit-in/200x150/filters:strip_icc()/pic6935641.png</t>
  </si>
  <si>
    <t>https://cf.geekdo-images.com/YIxmAusaJJq4SpiSpSAKWQ__original/img/eF9QBEETiQcbshrwrstTk6X5Pf0=/0x0/filters:format(png)/pic6935641.png</t>
  </si>
  <si>
    <t>https://cf.geekdo-images.com/JahbLRZ_jEe8P8gisXUtJw__small/img/XGKi6qBOizS_IdLqOHny-rf0JZw=/fit-in/200x150/filters:strip_icc()/pic4447676.jpg</t>
  </si>
  <si>
    <t>https://cf.geekdo-images.com/JahbLRZ_jEe8P8gisXUtJw__original/img/Ug7yXzMmgpaqcv7B_lNTXsAk7_g=/0x0/filters:format(jpeg)/pic4447676.jpg</t>
  </si>
  <si>
    <t>https://cf.geekdo-images.com/PhjygpWSo-0labGrPBMyyg__small/img/JGgY-nBmkyB8WRp8vcoBLlNMQ5U=/fit-in/200x150/filters:strip_icc()/pic5666597.jpg</t>
  </si>
  <si>
    <t>https://cf.geekdo-images.com/PhjygpWSo-0labGrPBMyyg__original/img/mZzaBAEEJpMlHWWmC0R6Su0OibQ=/0x0/filters:format(jpeg)/pic5666597.jpg</t>
  </si>
  <si>
    <t>https://cf.geekdo-images.com/ZuseUrDocxDQC-nXa6mKSA__small/img/26YmQhpbrDgCehmPsy_D_awkBnI=/fit-in/200x150/filters:strip_icc()/pic6685018.jpg</t>
  </si>
  <si>
    <t>https://cf.geekdo-images.com/ZuseUrDocxDQC-nXa6mKSA__original/img/YnCeOe432RbLe5_aqXvKC2Gal60=/0x0/filters:format(jpeg)/pic6685018.jpg</t>
  </si>
  <si>
    <t>https://cf.geekdo-images.com/0xqF_KyOb7V26Lu5YT3fxw__small/img/ABTwzzMGekkz2jVl01LC4789TcQ=/fit-in/200x150/filters:strip_icc()/pic6699821.jpg</t>
  </si>
  <si>
    <t>https://cf.geekdo-images.com/0xqF_KyOb7V26Lu5YT3fxw__original/img/uqxMcj1QPt-U34drYdL6mmv2eos=/0x0/filters:format(jpeg)/pic6699821.jpg</t>
  </si>
  <si>
    <t>https://cf.geekdo-images.com/fjE7V5LNq31yVEW_yuqI-Q__small/img/Cf_mYxR_VvdjTEPXseSurni2JNI=/fit-in/200x150/filters:strip_icc()/pic3918905.png</t>
  </si>
  <si>
    <t>https://cf.geekdo-images.com/fjE7V5LNq31yVEW_yuqI-Q__original/img/HQ1ti16wT9lqja5_h3gUfHUIcVI=/0x0/filters:format(png)/pic3918905.png</t>
  </si>
  <si>
    <t>https://cf.geekdo-images.com/EvGtnsBDcfnKiqSiXHothQ__small/img/bQcyvzYRdMFFvcdQkFVnIRiCPjE=/fit-in/200x150/filters:strip_icc()/pic6605448.jpg</t>
  </si>
  <si>
    <t>https://cf.geekdo-images.com/EvGtnsBDcfnKiqSiXHothQ__original/img/7yj8nA0ObuZ1w5AYCThEOK6meWA=/0x0/filters:format(jpeg)/pic6605448.jpg</t>
  </si>
  <si>
    <t>https://cf.geekdo-images.com/wkj9lur-J5Bxun09mnI2rQ__small/img/WD6rjSm3DZS3JD2Bb4EXM9fL5bk=/fit-in/200x150/filters:strip_icc()/pic7070521.jpg</t>
  </si>
  <si>
    <t>https://cf.geekdo-images.com/wkj9lur-J5Bxun09mnI2rQ__original/img/4qUgF74h0l6EMn-HPzGI4Nydszk=/0x0/filters:format(jpeg)/pic7070521.jpg</t>
  </si>
  <si>
    <t>https://cf.geekdo-images.com/o-fsLzEaCHcoAv3oxzOI_w__small/img/c40hqqP80E7K0mg7ysCBeW7K7gA=/fit-in/200x150/filters:strip_icc()/pic3558503.jpg</t>
  </si>
  <si>
    <t>https://cf.geekdo-images.com/o-fsLzEaCHcoAv3oxzOI_w__original/img/MaLhTg5Sa0jwAIKP8MYMvxTn_TA=/0x0/filters:format(jpeg)/pic3558503.jpg</t>
  </si>
  <si>
    <t>https://cf.geekdo-images.com/gLFt1Kif5Cfag505_COYYw__small/img/WOW_QsRuV1KyP8dLjP0yH6TlpvU=/fit-in/200x150/filters:strip_icc()/pic3926631.jpg</t>
  </si>
  <si>
    <t>https://cf.geekdo-images.com/gLFt1Kif5Cfag505_COYYw__original/img/5vUNCkVDoQpcTfmlhFzkS4e1EaQ=/0x0/filters:format(jpeg)/pic3926631.jpg</t>
  </si>
  <si>
    <t>https://cf.geekdo-images.com/7iIFnoc2JJwt0fSOXc7eIA__small/img/wUcpMs8QcP-ehHoktFTivBODkNQ=/fit-in/200x150/filters:strip_icc()/pic7502821.jpg</t>
  </si>
  <si>
    <t>https://cf.geekdo-images.com/7iIFnoc2JJwt0fSOXc7eIA__original/img/_p9z7g8E88uk25dlA7a82hnINBw=/0x0/filters:format(jpeg)/pic7502821.jpg</t>
  </si>
  <si>
    <t>https://cf.geekdo-images.com/X4KaD6ADLW1ohOznNay7xg__small/img/iCWpe4ydO3Rtu6yBjn01eQ97xLc=/fit-in/200x150/filters:strip_icc()/pic7350809.png</t>
  </si>
  <si>
    <t>https://cf.geekdo-images.com/X4KaD6ADLW1ohOznNay7xg__original/img/HhxsLMIsz6Te567qXEbRBen4Sm8=/0x0/filters:format(png)/pic7350809.png</t>
  </si>
  <si>
    <t>https://cf.geekdo-images.com/CnbTdFLjxjuvX_HXgIDYGw__small/img/Xo93w8kwKWbYS-NwE_4XGD6XhQE=/fit-in/200x150/filters:strip_icc()/pic6691185.png</t>
  </si>
  <si>
    <t>https://cf.geekdo-images.com/CnbTdFLjxjuvX_HXgIDYGw__original/img/LGP4yQrZC_67Z2cerjV1ph7ggwQ=/0x0/filters:format(png)/pic6691185.png</t>
  </si>
  <si>
    <t>https://cf.geekdo-images.com/4XzRDw3VrgNpNfZlzZl66w__small/img/dGMBL60RMtAfcx741phN75mqlnA=/fit-in/200x150/filters:strip_icc()/pic5608818.png</t>
  </si>
  <si>
    <t>https://cf.geekdo-images.com/4XzRDw3VrgNpNfZlzZl66w__original/img/SfU1sNqUtpcvhcdzspDb5M9uSQQ=/0x0/filters:format(png)/pic5608818.png</t>
  </si>
  <si>
    <t>https://cf.geekdo-images.com/qiPO300rG73UqxJvpUe3og__small/img/jo26IkaY-DSx4MhfRQ7lDHCPtbo=/fit-in/200x150/filters:strip_icc()/pic7354069.jpg</t>
  </si>
  <si>
    <t>https://cf.geekdo-images.com/qiPO300rG73UqxJvpUe3og__original/img/r-ZepVlPDZRwmxcWJgLA4GpaXfY=/0x0/filters:format(jpeg)/pic7354069.jpg</t>
  </si>
  <si>
    <t>https://cf.geekdo-images.com/QKo6ujrTGJBgXoG1oEuoAQ__small/img/owRLmPoUxcdR0JBDl5BzZ3RFLhI=/fit-in/200x150/filters:strip_icc()/pic3968823.jpg</t>
  </si>
  <si>
    <t>https://cf.geekdo-images.com/QKo6ujrTGJBgXoG1oEuoAQ__original/img/bPquvg26GUQ1icN94avjE3RY2PE=/0x0/filters:format(jpeg)/pic3968823.jpg</t>
  </si>
  <si>
    <t>https://cf.geekdo-images.com/CdPotpqnreo8BjI0053MOQ__small/img/BufM56uPpL8K8c6IacQElBTmhtc=/fit-in/200x150/filters:strip_icc()/pic6706273.png</t>
  </si>
  <si>
    <t>https://cf.geekdo-images.com/CdPotpqnreo8BjI0053MOQ__original/img/hScvBhtH5avBIrXQJLCqGFqHPtQ=/0x0/filters:format(png)/pic6706273.png</t>
  </si>
  <si>
    <t>https://cf.geekdo-images.com/xVx8ex1fjO9C7W8rRvWdVQ__small/img/7ZeCdaJWigksF5wUHTGGXmmfP6Y=/fit-in/200x150/filters:strip_icc()/pic3320017.png</t>
  </si>
  <si>
    <t>https://cf.geekdo-images.com/xVx8ex1fjO9C7W8rRvWdVQ__original/img/rIyNSXqNgGs4Yqt0xL5CdTp9grg=/0x0/filters:format(png)/pic3320017.png</t>
  </si>
  <si>
    <t>https://cf.geekdo-images.com/HkAt5n4R8XM0vNozl7fftA__small/img/1JpxGZSWJf3mxnZZGaGOTqExoH4=/fit-in/200x150/filters:strip_icc()/pic3029488.jpg</t>
  </si>
  <si>
    <t>https://cf.geekdo-images.com/HkAt5n4R8XM0vNozl7fftA__original/img/934t5i7J90wlw6mb6p2m_3u98i0=/0x0/filters:format(jpeg)/pic3029488.jpg</t>
  </si>
  <si>
    <t>https://cf.geekdo-images.com/Kimz03Spg3dB96_O-xbcPg__small/img/4MXilcl8plyqXtNQoCk6pE_lroM=/fit-in/200x150/filters:strip_icc()/pic7233520.png</t>
  </si>
  <si>
    <t>https://cf.geekdo-images.com/Kimz03Spg3dB96_O-xbcPg__original/img/306hB7Q2HkcGe1DTiqKOnVNU03Q=/0x0/filters:format(png)/pic7233520.png</t>
  </si>
  <si>
    <t>https://cf.geekdo-images.com/VW7K2SmGbr-Eim9nNhxfJw__small/img/0eBd_mdXuJE_sHVMZHawEHenSvM=/fit-in/200x150/filters:strip_icc()/pic3325362.jpg</t>
  </si>
  <si>
    <t>https://cf.geekdo-images.com/VW7K2SmGbr-Eim9nNhxfJw__original/img/UY2k4aU_0kF24cYks1b0awwE3gU=/0x0/filters:format(jpeg)/pic3325362.jpg</t>
  </si>
  <si>
    <t>https://cf.geekdo-images.com/GCxsnITFBO1pNXiBYkq_qA__small/img/0BJUretj0lJj09f2JjDGrQzmakI=/fit-in/200x150/filters:strip_icc()/pic2524838.jpg</t>
  </si>
  <si>
    <t>https://cf.geekdo-images.com/GCxsnITFBO1pNXiBYkq_qA__original/img/8uoTbz4B_M1GbT4N3vGN-bhZF2Q=/0x0/filters:format(jpeg)/pic2524838.jpg</t>
  </si>
  <si>
    <t>https://cf.geekdo-images.com/AbGDmFZgW2huIxU4SgJ7jQ__small/img/hs_LkM0fQ-l4-5XudoU7qdOzMno=/fit-in/200x150/filters:strip_icc()/pic8935838.jpg</t>
  </si>
  <si>
    <t>https://cf.geekdo-images.com/AbGDmFZgW2huIxU4SgJ7jQ__original/img/V4rAXNmHj5V0TMFjR-idMvM-NTg=/0x0/filters:format(jpeg)/pic8935838.jpg</t>
  </si>
  <si>
    <t>https://cf.geekdo-images.com/FGekxht_r5xqt8oSmQ9HZg__small/img/DBoMebkqbcyZWJVLC5MRbF-YbnU=/fit-in/200x150/filters:strip_icc()/pic2407103.jpg</t>
  </si>
  <si>
    <t>https://cf.geekdo-images.com/FGekxht_r5xqt8oSmQ9HZg__original/img/b5zgGvja0Qpte-Jqb5baQNWuG3c=/0x0/filters:format(jpeg)/pic2407103.jpg</t>
  </si>
  <si>
    <t>https://cf.geekdo-images.com/kJOP_BICVX-88sKqFRh9PQ__small/img/KwrWpSRncnCE0cEldldyVQ-0Cdk=/fit-in/200x150/filters:strip_icc()/pic1152359.jpg</t>
  </si>
  <si>
    <t>https://cf.geekdo-images.com/kJOP_BICVX-88sKqFRh9PQ__original/img/2m6YJhA3JbYe1cNhybRtFJrRECw=/0x0/filters:format(jpeg)/pic1152359.jpg</t>
  </si>
  <si>
    <t>https://cf.geekdo-images.com/TIEYwnIRV6kvAEnFkYe2OA__small/img/ysbEGf4Z0tNnYPSnGOH8tw5sa8Y=/fit-in/200x150/filters:strip_icc()/pic6858706.png</t>
  </si>
  <si>
    <t>https://cf.geekdo-images.com/TIEYwnIRV6kvAEnFkYe2OA__original/img/F_I7FrEWXrTcl-3fYOgC4OZcryQ=/0x0/filters:format(png)/pic6858706.png</t>
  </si>
  <si>
    <t>https://cf.geekdo-images.com/cVE1FZQR3gqdlAmehJpaBw__small/img/D52Pgq1xs7MNiDjkinf4VLGroxQ=/fit-in/200x150/filters:strip_icc()/pic6630422.png</t>
  </si>
  <si>
    <t>https://cf.geekdo-images.com/cVE1FZQR3gqdlAmehJpaBw__original/img/F5aSQaJkh-PKGpq7I7mGFn9YFhg=/0x0/filters:format(png)/pic6630422.png</t>
  </si>
  <si>
    <t>https://cf.geekdo-images.com/8qh1V4TIn1vGecr5cB-ZSQ__small/img/B3614E9Ps-6Yi3BYZxdszJiJpC4=/fit-in/200x150/filters:strip_icc()/pic4820668.png</t>
  </si>
  <si>
    <t>https://cf.geekdo-images.com/8qh1V4TIn1vGecr5cB-ZSQ__original/img/G9banGD5jecW6qmwCGCiosVRXCY=/0x0/filters:format(png)/pic4820668.png</t>
  </si>
  <si>
    <t>https://cf.geekdo-images.com/OrHS8_a1CqSGiXeTfCk0Wg__small/img/ZBTT0qZcD5HMFlhFN7PLMe6zXvg=/fit-in/200x150/filters:strip_icc()/pic3209553.jpg</t>
  </si>
  <si>
    <t>https://cf.geekdo-images.com/OrHS8_a1CqSGiXeTfCk0Wg__original/img/hVArRkZYHiPTGTfi0DPR58i4o44=/0x0/filters:format(jpeg)/pic3209553.jpg</t>
  </si>
  <si>
    <t>https://cf.geekdo-images.com/j9RO81ihYw0_oPj6iqV_bA__small/img/iRomFjZ0oELmm1pBVtJrNwyl4nc=/fit-in/200x150/filters:strip_icc()/pic6682376.jpg</t>
  </si>
  <si>
    <t>https://cf.geekdo-images.com/j9RO81ihYw0_oPj6iqV_bA__original/img/-jPNsFg5d9uA7D4WGDIP3TNLHX4=/0x0/filters:format(jpeg)/pic6682376.jpg</t>
  </si>
  <si>
    <t>https://cf.geekdo-images.com/6GqH14TJJhza86BX5HCLEQ__small/img/J8SVmGOJXZGxNjkT3xYNQU7Haxg=/fit-in/200x150/filters:strip_icc()/pic5674958.jpg</t>
  </si>
  <si>
    <t>https://cf.geekdo-images.com/6GqH14TJJhza86BX5HCLEQ__original/img/CXqwimJPonWy1oyXEMgPN_ZVmUI=/0x0/filters:format(jpeg)/pic5674958.jpg</t>
  </si>
  <si>
    <t>https://cf.geekdo-images.com/wJfDIveg2zpTGn8E1WzEpA__small/img/Un57jB38oeBZ0WFdd7rXSOEP-1k=/fit-in/200x150/filters:strip_icc()/pic3268473.jpg</t>
  </si>
  <si>
    <t>https://cf.geekdo-images.com/wJfDIveg2zpTGn8E1WzEpA__original/img/hlp96WuBfwiCijcfPddNmfgTq6E=/0x0/filters:format(jpeg)/pic3268473.jpg</t>
  </si>
  <si>
    <t>https://cf.geekdo-images.com/FZUJ_Ieaw83mpz1eL-dY_g__small/img/o8B080rjfGtNloX7wMa_IRthuXo=/fit-in/200x150/filters:strip_icc()/pic5056121.jpg</t>
  </si>
  <si>
    <t>https://cf.geekdo-images.com/FZUJ_Ieaw83mpz1eL-dY_g__original/img/FvjnGQH9SpkJ9_FB4frouPOe064=/0x0/filters:format(jpeg)/pic5056121.jpg</t>
  </si>
  <si>
    <t>https://cf.geekdo-images.com/9r3qdPijtgoIN24PxFU2gw__small/img/tugW5aKyC6Vs31QaBX8YvmQiPTQ=/fit-in/200x150/filters:strip_icc()/pic5894745.jpg</t>
  </si>
  <si>
    <t>https://cf.geekdo-images.com/9r3qdPijtgoIN24PxFU2gw__original/img/tHQTKwwk4N8J5fpWhsoE8t0FQhw=/0x0/filters:format(jpeg)/pic5894745.jpg</t>
  </si>
  <si>
    <t>https://cf.geekdo-images.com/gaiG9Iv8S3G6ppC5AKlNIQ__small/img/85q4rpTU8rQy3n0-agc3YUjda4o=/fit-in/200x150/filters:strip_icc()/pic4912833.png</t>
  </si>
  <si>
    <t>https://cf.geekdo-images.com/gaiG9Iv8S3G6ppC5AKlNIQ__original/img/Qrleq5aHqrsQEcNKin1FYtgp6-E=/0x0/filters:format(png)/pic4912833.png</t>
  </si>
  <si>
    <t>https://cf.geekdo-images.com/jmdwGVSEsYR9WQ8_Cjjlhg__small/img/BV0SAwXm1ICEIVBlQLE8JD4ZC9c=/fit-in/200x150/filters:strip_icc()/pic3895016.jpg</t>
  </si>
  <si>
    <t>https://cf.geekdo-images.com/jmdwGVSEsYR9WQ8_Cjjlhg__original/img/WdVD5izYS30uZdZdQSOUSc2lB4w=/0x0/filters:format(jpeg)/pic3895016.jpg</t>
  </si>
  <si>
    <t>https://cf.geekdo-images.com/bLL3P-G25nIUkFjHxfJfnw__small/img/XY_Z5rRJe3IPLRfOvWp70OM2B68=/fit-in/200x150/filters:strip_icc()/pic7632081.jpg</t>
  </si>
  <si>
    <t>https://cf.geekdo-images.com/bLL3P-G25nIUkFjHxfJfnw__original/img/HBEhgjfb0QcF9pFrdJ8VYhBapoU=/0x0/filters:format(jpeg)/pic7632081.jpg</t>
  </si>
  <si>
    <t>https://cf.geekdo-images.com/hYP-VIJGRFR8yB78-UN7Rg__small/img/e0Yk_RzMK0b7jwcoR96UeJpjy3c=/fit-in/200x150/filters:strip_icc()/pic5154610.jpg</t>
  </si>
  <si>
    <t>https://cf.geekdo-images.com/hYP-VIJGRFR8yB78-UN7Rg__original/img/3vUqoYuF2SrVU0n752sfU3bBhHc=/0x0/filters:format(jpeg)/pic5154610.jpg</t>
  </si>
  <si>
    <t>https://cf.geekdo-images.com/fhaltzDyhDwjaSOyfVA-rA__small/img/QPcr96o4Y-wjKRFQbZvKEKhLmJI=/fit-in/200x150/filters:strip_icc()/pic4912732.png</t>
  </si>
  <si>
    <t>https://cf.geekdo-images.com/fhaltzDyhDwjaSOyfVA-rA__original/img/ZSDrLwaCON02kOhNAgm8956PJXY=/0x0/filters:format(png)/pic4912732.png</t>
  </si>
  <si>
    <t>https://cf.geekdo-images.com/fz4aYmycg9baQlm_DzwyKA__small/img/j66PBN_vi0zLs7c-zR-r2NkUT2g=/fit-in/200x150/filters:strip_icc()/pic7443423.jpg</t>
  </si>
  <si>
    <t>https://cf.geekdo-images.com/fz4aYmycg9baQlm_DzwyKA__original/img/TvWwknCLoPNxx3uIOhlCg-9F1mM=/0x0/filters:format(jpeg)/pic7443423.jpg</t>
  </si>
  <si>
    <t>https://cf.geekdo-images.com/k8OZeKYMN2vVSVCl5FD-UA__small/img/lRMeiFcB9C3ivyZlCoPRQe5xKNU=/fit-in/200x150/filters:strip_icc()/pic5382418.jpg</t>
  </si>
  <si>
    <t>https://cf.geekdo-images.com/k8OZeKYMN2vVSVCl5FD-UA__original/img/XiytG0d5nHtdoN4Kq3pCM6VcSac=/0x0/filters:format(jpeg)/pic5382418.jpg</t>
  </si>
  <si>
    <t>https://cf.geekdo-images.com/gTxav_KKQK1rDg-XuCjCSA__small/img/tFTOAKG5aDXxYfNRmJNmfyxH83M=/fit-in/200x150/filters:strip_icc()/pic5164812.jpg</t>
  </si>
  <si>
    <t>https://cf.geekdo-images.com/gTxav_KKQK1rDg-XuCjCSA__original/img/lG-iXVzDlfFrD6VPggvg2WQ7228=/0x0/filters:format(jpeg)/pic5164812.jpg</t>
  </si>
  <si>
    <t>https://cf.geekdo-images.com/gSBn3vnTQ6Hh6JmxA38N7g__small/img/oYWbj-zNavmDg7fS22uOp6NKnnY=/fit-in/200x150/filters:strip_icc()/pic4611791.jpg</t>
  </si>
  <si>
    <t>https://cf.geekdo-images.com/gSBn3vnTQ6Hh6JmxA38N7g__original/img/hZUqpAVXnuStIYiL7Poqy-7JLXw=/0x0/filters:format(jpeg)/pic4611791.jpg</t>
  </si>
  <si>
    <t>https://cf.geekdo-images.com/GJKuOCy5HGAYgVH_Rei5mA__small/img/Q3W4poMS4btD-HZLervgqbSCtmE=/fit-in/200x150/filters:strip_icc()/pic7070194.jpg</t>
  </si>
  <si>
    <t>https://cf.geekdo-images.com/GJKuOCy5HGAYgVH_Rei5mA__original/img/oRsIxp72iv58128KFdqvjG6Gz64=/0x0/filters:format(jpeg)/pic7070194.jpg</t>
  </si>
  <si>
    <t>https://cf.geekdo-images.com/iZl2U-2BjftbWfLw5y25Vg__small/img/36X5ESX-n44TFPf8V97Cvr1yPao=/fit-in/200x150/filters:strip_icc()/pic7069377.jpg</t>
  </si>
  <si>
    <t>https://cf.geekdo-images.com/iZl2U-2BjftbWfLw5y25Vg__original/img/2kvlCGamVRWxUarnVS0nuV8LudM=/0x0/filters:format(jpeg)/pic7069377.jpg</t>
  </si>
  <si>
    <t>https://cf.geekdo-images.com/hHnw1JGLaEkJXaOv8bm6YQ__small/img/VueCGH75QOD4dv0yeaKqQZgTqMo=/fit-in/200x150/filters:strip_icc()/pic8660069.jpg</t>
  </si>
  <si>
    <t>https://cf.geekdo-images.com/hHnw1JGLaEkJXaOv8bm6YQ__original/img/ptOJJyJ1acojUJIbEJ7zobysPzw=/0x0/filters:format(jpeg)/pic8660069.jpg</t>
  </si>
  <si>
    <t>https://cf.geekdo-images.com/MO0XCVGdl0b8xIt9xLv1Ow__small/img/yyi5YAFsrM3jMJRNvw_Abmt6Qpc=/fit-in/200x150/filters:strip_icc()/pic4886981.jpg</t>
  </si>
  <si>
    <t>https://cf.geekdo-images.com/MO0XCVGdl0b8xIt9xLv1Ow__original/img/i5eIEn4aRc0jrvMdRt-_jwe5Qsg=/0x0/filters:format(jpeg)/pic4886981.jpg</t>
  </si>
  <si>
    <t>https://cf.geekdo-images.com/AXnDLnuXrmbQRoFpCMvTJA__small/img/eBxAUMxxsKEagCdV_l-hBlh_mjs=/fit-in/200x150/filters:strip_icc()/pic4122381.jpg</t>
  </si>
  <si>
    <t>https://cf.geekdo-images.com/AXnDLnuXrmbQRoFpCMvTJA__original/img/TKTOPSUFA-zKMipbpznhxY8E-XU=/0x0/filters:format(jpeg)/pic4122381.jpg</t>
  </si>
  <si>
    <t>https://cf.geekdo-images.com/lvC1qJo4-RQ_zqudi_oRmA__small/img/7IuVc3d0QWtb0eCd6PaYHg8Qg2U=/fit-in/200x150/filters:strip_icc()/pic215555.jpg</t>
  </si>
  <si>
    <t>https://cf.geekdo-images.com/lvC1qJo4-RQ_zqudi_oRmA__original/img/6hC5NG-_7acG1lMzMfrAnou4Fb8=/0x0/filters:format(jpeg)/pic215555.jpg</t>
  </si>
  <si>
    <t>https://cf.geekdo-images.com/Zwx2ZXS6r6PaxhkaVEe75Q__small/img/3x5kSxZlvLK6PdeMHX9xd_sSTMs=/fit-in/200x150/filters:strip_icc()/pic4309147.jpg</t>
  </si>
  <si>
    <t>https://cf.geekdo-images.com/Zwx2ZXS6r6PaxhkaVEe75Q__original/img/nBfsV9V5a-xc3uJkYhE0DN-QVjI=/0x0/filters:format(jpeg)/pic4309147.jpg</t>
  </si>
  <si>
    <t>https://cf.geekdo-images.com/47o_swlkRbfpMH3hnFZgtA__small/img/gT07BJ5Ynlopp-UIQRIySERKUmI=/fit-in/200x150/filters:strip_icc()/pic4383594.png</t>
  </si>
  <si>
    <t>https://cf.geekdo-images.com/47o_swlkRbfpMH3hnFZgtA__original/img/V6-uacjfLFXQyOVHcLmEOVoZgf8=/0x0/filters:format(png)/pic4383594.png</t>
  </si>
  <si>
    <t>https://cf.geekdo-images.com/B1bLRWzTASZ-xx9NoAE79A__small/img/deG3pr-ORZ3JrGvQA-oQNrwh0l0=/fit-in/200x150/filters:strip_icc()/pic8780293.png</t>
  </si>
  <si>
    <t>https://cf.geekdo-images.com/B1bLRWzTASZ-xx9NoAE79A__original/img/HulJk6gFzp_bxl0wzc2XEMq8NLM=/0x0/filters:format(png)/pic8780293.png</t>
  </si>
  <si>
    <t>https://cf.geekdo-images.com/k7zHj8j_a6uUAtXUt5Fvuw__small/img/APPui4zwBuwAIHXSTW6UxYcY6Ow=/fit-in/200x150/filters:strip_icc()/pic309353.jpg</t>
  </si>
  <si>
    <t>https://cf.geekdo-images.com/k7zHj8j_a6uUAtXUt5Fvuw__original/img/FNi6yap-UmVKX8X6rj0A_YW2q8Y=/0x0/filters:format(jpeg)/pic309353.jpg</t>
  </si>
  <si>
    <t>https://cf.geekdo-images.com/YpQUtpxNtDHBF5eVcwzBtQ__small/img/tN06HL-O6O-ayKHxEio9xYoJym0=/fit-in/200x150/filters:strip_icc()/pic6478338.png</t>
  </si>
  <si>
    <t>https://cf.geekdo-images.com/YpQUtpxNtDHBF5eVcwzBtQ__original/img/br-kw0KuyBfH1mrxZ0kgVrF9UMc=/0x0/filters:format(png)/pic6478338.png</t>
  </si>
  <si>
    <t>https://cf.geekdo-images.com/SOSOn5ningJ66cE1CBJlyQ__small/img/tUtJ8AG1lN3NzLrHl0FGS4Cymek=/fit-in/200x150/filters:strip_icc()/pic5350593.jpg</t>
  </si>
  <si>
    <t>https://cf.geekdo-images.com/SOSOn5ningJ66cE1CBJlyQ__original/img/OfkxR1fw4gYu-Sn-i7T_UCPr1II=/0x0/filters:format(jpeg)/pic5350593.jpg</t>
  </si>
  <si>
    <t>https://cf.geekdo-images.com/x3hjEgkxZE9M96o6wgj6Tw__small/img/idn6fyLMcqvmxqKXU57rAuLgMvg=/fit-in/200x150/filters:strip_icc()/pic4097632.png</t>
  </si>
  <si>
    <t>https://cf.geekdo-images.com/x3hjEgkxZE9M96o6wgj6Tw__original/img/aLU9rLTBaZhBK_U6YMUY8mmJnrM=/0x0/filters:format(png)/pic4097632.png</t>
  </si>
  <si>
    <t>https://cf.geekdo-images.com/I3BgmkjP3g6cRQ4cejoHrg__small/img/JDWcuLadW0pHSAh7fybzRRXNZZ8=/fit-in/200x150/filters:strip_icc()/pic5376430.png</t>
  </si>
  <si>
    <t>https://cf.geekdo-images.com/I3BgmkjP3g6cRQ4cejoHrg__original/img/m0FXYQ2cNByp2YXLSK632rcH1_Q=/0x0/filters:format(png)/pic5376430.png</t>
  </si>
  <si>
    <t>https://cf.geekdo-images.com/JUAUWaVUzeBgzirhZNmHHw__small/img/ACovMZzGGIsBRyEQXFnsT8282NM=/fit-in/200x150/filters:strip_icc()/pic4254509.jpg</t>
  </si>
  <si>
    <t>https://cf.geekdo-images.com/JUAUWaVUzeBgzirhZNmHHw__original/img/E0s2LvtFA1L5YKk-_44D4u2VD2s=/0x0/filters:format(jpeg)/pic4254509.jpg</t>
  </si>
  <si>
    <t>https://cf.geekdo-images.com/665Ply7Ho1WVf1v1iZlWeg__small/img/BKnSb6kAhpVFHV8cyUXrs3EF_dw=/fit-in/200x150/filters:strip_icc()/pic3283110.png</t>
  </si>
  <si>
    <t>https://cf.geekdo-images.com/665Ply7Ho1WVf1v1iZlWeg__original/img/4q6RCxd7st-yW2MyrJwVC_d3ajk=/0x0/filters:format(png)/pic3283110.png</t>
  </si>
  <si>
    <t>https://cf.geekdo-images.com/D7UzjghUmmKWXiiGt3rUcA__small/img/Y24B-tNoz7UvzbpPit7J3QORZPg=/fit-in/200x150/filters:strip_icc()/pic6202222.jpg</t>
  </si>
  <si>
    <t>https://cf.geekdo-images.com/D7UzjghUmmKWXiiGt3rUcA__original/img/slTwvhxSaiasMT3wQswcpDGTtE0=/0x0/filters:format(jpeg)/pic6202222.jpg</t>
  </si>
  <si>
    <t>https://cf.geekdo-images.com/6yVHs8Xa9H3-10ls3H8Ojw__small/img/jdn7CE0vyWV6bDOKhMlAxtTA71M=/fit-in/200x150/filters:strip_icc()/pic4222162.jpg</t>
  </si>
  <si>
    <t>https://cf.geekdo-images.com/6yVHs8Xa9H3-10ls3H8Ojw__original/img/hg5lb99W9JM_PrIGvXDNdggABck=/0x0/filters:format(jpeg)/pic4222162.jpg</t>
  </si>
  <si>
    <t>https://cf.geekdo-images.com/RuFFxXHHmE-TCf5CRuvXTw__small/img/FWZclwm-kV2KcG7EUz4MJvOckTk=/fit-in/200x150/filters:strip_icc()/pic2038963.jpg</t>
  </si>
  <si>
    <t>https://cf.geekdo-images.com/RuFFxXHHmE-TCf5CRuvXTw__original/img/WVaSCz4UZuf8SxoGFvKmwptEsu8=/0x0/filters:format(jpeg)/pic2038963.jpg</t>
  </si>
  <si>
    <t>https://cf.geekdo-images.com/69mwXe7c6HNYmT6S35Y4zg__small/img/97DW-2XWDrSSkgy3XnUJ7f7tLiQ=/fit-in/200x150/filters:strip_icc()/pic2932872.jpg</t>
  </si>
  <si>
    <t>https://cf.geekdo-images.com/69mwXe7c6HNYmT6S35Y4zg__original/img/C5YBiD7Qhpkf5FO1GteEjo9KRVE=/0x0/filters:format(jpeg)/pic2932872.jpg</t>
  </si>
  <si>
    <t>https://cf.geekdo-images.com/cf0xxkevbwTGF3VUZymKjg__small/img/NUcMdmZ3_eA1YfIwL8iRgkZKaHw=/fit-in/200x150/filters:strip_icc()/pic6398727.png</t>
  </si>
  <si>
    <t>https://cf.geekdo-images.com/cf0xxkevbwTGF3VUZymKjg__original/img/vkElrRCPJxy7Q3TH9olpq20egA4=/0x0/filters:format(png)/pic6398727.png</t>
  </si>
  <si>
    <t>https://cf.geekdo-images.com/rAQ3hIXoH6xDcj41v9iqCg__small/img/xA2T7PiwN3Z8pwAksicoCOA1tf0=/fit-in/200x150/filters:strip_icc()/pic5164305.jpg</t>
  </si>
  <si>
    <t>https://cf.geekdo-images.com/rAQ3hIXoH6xDcj41v9iqCg__original/img/7oKwNUYakx3-vHUBLHWVuFNKfl4=/0x0/filters:format(jpeg)/pic5164305.jpg</t>
  </si>
  <si>
    <t>https://cf.geekdo-images.com/J8GvDIigfMdxT9MoMHR01Q__small/img/EWVfiXLL6HFexzDlxXNU_Q386sI=/fit-in/200x150/filters:strip_icc()/pic4372703.jpg</t>
  </si>
  <si>
    <t>https://cf.geekdo-images.com/J8GvDIigfMdxT9MoMHR01Q__original/img/yoLuqqFI7Y47zvbtA3AYbLsmv2I=/0x0/filters:format(jpeg)/pic4372703.jpg</t>
  </si>
  <si>
    <t>https://cf.geekdo-images.com/a6DA19Zb8GLJ3wxyamCiJw__small/img/YVYnsMuksuud8E7DfNenfuH5jis=/fit-in/200x150/filters:strip_icc()/pic6974604.jpg</t>
  </si>
  <si>
    <t>https://cf.geekdo-images.com/a6DA19Zb8GLJ3wxyamCiJw__original/img/0VTXqGyyc0PC_-AdDcOIllSQDMg=/0x0/filters:format(jpeg)/pic6974604.jpg</t>
  </si>
  <si>
    <t>https://cf.geekdo-images.com/Zdt8l4oTBpFICsMyNof7Jg__small/img/71w4Tt3xOnuDEDTCG8ni63QUhVE=/fit-in/200x150/filters:strip_icc()/pic5975244.png</t>
  </si>
  <si>
    <t>https://cf.geekdo-images.com/Zdt8l4oTBpFICsMyNof7Jg__original/img/-okZ810RkA8fKKhIeZyX4cnqmbE=/0x0/filters:format(png)/pic5975244.png</t>
  </si>
  <si>
    <t>https://cf.geekdo-images.com/8oipK9-ivkn53h7L5U2Yfg__small/img/cBKt41XFKkdphyqZItit4EIC45k=/fit-in/200x150/filters:strip_icc()/pic6588069.png</t>
  </si>
  <si>
    <t>https://cf.geekdo-images.com/8oipK9-ivkn53h7L5U2Yfg__original/img/KtvdQ2mT4ShhUaJekT9IvuOCvv8=/0x0/filters:format(png)/pic6588069.png</t>
  </si>
  <si>
    <t>https://cf.geekdo-images.com/BAsvubJSF40047knaPXRQQ__small/img/q4wR9WEL5M8tIFxMbUz2sxi09MA=/fit-in/200x150/filters:strip_icc()/pic6696884.jpg</t>
  </si>
  <si>
    <t>https://cf.geekdo-images.com/BAsvubJSF40047knaPXRQQ__original/img/mEznaodHZjltdb5caSguj2sgPcw=/0x0/filters:format(jpeg)/pic6696884.jpg</t>
  </si>
  <si>
    <t>https://cf.geekdo-images.com/MHhQxXVjiaa6C-04nGiIWw__small/img/rgETRyeuYs_wiZ5y-9Zj5H8kyFo=/fit-in/200x150/filters:strip_icc()/pic6640638.jpg</t>
  </si>
  <si>
    <t>https://cf.geekdo-images.com/MHhQxXVjiaa6C-04nGiIWw__original/img/QyWen0FVOKD_4wf7Na7fdsMTjis=/0x0/filters:format(jpeg)/pic6640638.jpg</t>
  </si>
  <si>
    <t>https://cf.geekdo-images.com/kjCm4ZvPjIZxS-mYgSPy1g__small/img/aUlIih2_R7P8IYKeyNl2heLQbu8=/fit-in/200x150/filters:strip_icc()/pic7013651.jpg</t>
  </si>
  <si>
    <t>https://cf.geekdo-images.com/kjCm4ZvPjIZxS-mYgSPy1g__original/img/9uLd9C3XAvInLCLhAoXqKVk56zs=/0x0/filters:format(jpeg)/pic7013651.jpg</t>
  </si>
  <si>
    <t>https://cf.geekdo-images.com/Ehx72XRdSeQHISVXcZVnHg__small/img/sPJVWjzGcEpiseZGdoD6HNR9nRI=/fit-in/200x150/filters:strip_icc()/pic2453926.jpg</t>
  </si>
  <si>
    <t>https://cf.geekdo-images.com/Ehx72XRdSeQHISVXcZVnHg__original/img/bI3PgKtvAGiD59QYya-pqasF_tk=/0x0/filters:format(jpeg)/pic2453926.jpg</t>
  </si>
  <si>
    <t>https://cf.geekdo-images.com/-CogwvQ7V19RQH0tE6msFw__small/img/mcqeVvpTU9wcnJXkJcVceZv4Z8s=/fit-in/200x150/filters:strip_icc()/pic4171533.png</t>
  </si>
  <si>
    <t>https://cf.geekdo-images.com/-CogwvQ7V19RQH0tE6msFw__original/img/mRZ48c_emFwHzpeFIW9PBi8huQc=/0x0/filters:format(png)/pic4171533.png</t>
  </si>
  <si>
    <t>https://cf.geekdo-images.com/Tmm3TEDHjb4daehm9sgstQ__small/img/582BiL1sLioLTCZF0_adtz4kYmA=/fit-in/200x150/filters:strip_icc()/pic5295593.jpg</t>
  </si>
  <si>
    <t>https://cf.geekdo-images.com/Tmm3TEDHjb4daehm9sgstQ__original/img/_gbOQyUrnpHDaK76RA7Fe3ujsZY=/0x0/filters:format(jpeg)/pic5295593.jpg</t>
  </si>
  <si>
    <t>https://cf.geekdo-images.com/fPyRT9GarW397PFE9Wz7GA__small/img/KaypUOL7u6t1kouptduCxYLmSjE=/fit-in/200x150/filters:strip_icc()/pic4574571.jpg</t>
  </si>
  <si>
    <t>https://cf.geekdo-images.com/fPyRT9GarW397PFE9Wz7GA__original/img/Hcso8Szmp58YYcyxab0mGog6Js8=/0x0/filters:format(jpeg)/pic4574571.jpg</t>
  </si>
  <si>
    <t>https://cf.geekdo-images.com/ug2wHUhS3E-LA_lmLQYyNQ__small/img/oRSQkTP3qWvIF8b1ssOdesOxUmM=/fit-in/200x150/filters:strip_icc()/pic6650117.jpg</t>
  </si>
  <si>
    <t>https://cf.geekdo-images.com/ug2wHUhS3E-LA_lmLQYyNQ__original/img/Z3Gm2AVnrwffFW2LU10hg5k9Pt8=/0x0/filters:format(jpeg)/pic6650117.jpg</t>
  </si>
  <si>
    <t>https://cf.geekdo-images.com/wHg4fOf48cs1kw1PDOk1tQ__small/img/6l-jqYlfECK1SVSsUs7FXUheKzQ=/fit-in/200x150/filters:strip_icc()/pic3958793.jpg</t>
  </si>
  <si>
    <t>https://cf.geekdo-images.com/wHg4fOf48cs1kw1PDOk1tQ__original/img/St4ABQhpauYiq4Mt6-f38JtLOjM=/0x0/filters:format(jpeg)/pic3958793.jpg</t>
  </si>
  <si>
    <t>https://cf.geekdo-images.com/7XazX55Q-s9AaBiPxtfkWw__small/img/7Pt1BLU8HLEQh1zIxSRzLmNe2kM=/fit-in/200x150/filters:strip_icc()/pic4651080.png</t>
  </si>
  <si>
    <t>https://cf.geekdo-images.com/7XazX55Q-s9AaBiPxtfkWw__original/img/TXp-iXw0A-dZk6HifcVg3hx5glw=/0x0/filters:format(png)/pic4651080.png</t>
  </si>
  <si>
    <t>https://cf.geekdo-images.com/Dd94J37Oi1tgL7HAAaOfAQ__small/img/CcgassIExgVh2dwANVY_Srp6be0=/fit-in/200x150/filters:strip_icc()/pic8855812.jpg</t>
  </si>
  <si>
    <t>https://cf.geekdo-images.com/Dd94J37Oi1tgL7HAAaOfAQ__original/img/SAMxnv21q2rwvViEOu2nti4H0Is=/0x0/filters:format(jpeg)/pic8855812.jpg</t>
  </si>
  <si>
    <t>https://cf.geekdo-images.com/wg9oOLcsKvDesSUdZQ4rxw__small/img/BTxqxgYay5tHJfVoJ2NF5g43_gA=/fit-in/200x150/filters:strip_icc()/pic3536616.jpg</t>
  </si>
  <si>
    <t>https://cf.geekdo-images.com/wg9oOLcsKvDesSUdZQ4rxw__original/img/thIqWDnH9utKuoKVEUqveDixprI=/0x0/filters:format(jpeg)/pic3536616.jpg</t>
  </si>
  <si>
    <t>https://cf.geekdo-images.com/eT_Atcy_vRJvuUMgYakNrQ__small/img/YxoNRQg9owsoi68POaMY0Ix31ZI=/fit-in/200x150/filters:strip_icc()/pic6260098.jpg</t>
  </si>
  <si>
    <t>https://cf.geekdo-images.com/eT_Atcy_vRJvuUMgYakNrQ__original/img/upZwrb6k8zZMNTwB8VfpI372yuo=/0x0/filters:format(jpeg)/pic6260098.jpg</t>
  </si>
  <si>
    <t>https://cf.geekdo-images.com/-uBkiypUVyRKxNuOI_-ZpQ__small/img/qv_sRsagG0xQzNxg4Ol_AgiR2SY=/fit-in/200x150/filters:strip_icc()/pic3552344.png</t>
  </si>
  <si>
    <t>https://cf.geekdo-images.com/-uBkiypUVyRKxNuOI_-ZpQ__original/img/Y_12y74FIaAXMfiQ0tFhpfkrN1U=/0x0/filters:format(png)/pic3552344.png</t>
  </si>
  <si>
    <t>https://cf.geekdo-images.com/98LnQShydr11OBKS46xY-Q__small/img/et-fnuozyOdBOVL-5kSS3_7I8fw=/fit-in/200x150/filters:strip_icc()/pic5687013.jpg</t>
  </si>
  <si>
    <t>https://cf.geekdo-images.com/98LnQShydr11OBKS46xY-Q__original/img/Q-ZkgnuBu9OTBr7J3qnqPjqamAE=/0x0/filters:format(jpeg)/pic5687013.jpg</t>
  </si>
  <si>
    <t>https://cf.geekdo-images.com/AvC3AzHo8JlcvgKtQ3PDWA__small/img/eMsTjGHKNFzWiw7uNiOKDLtYcq4=/fit-in/200x150/filters:strip_icc()/pic4071903.jpg</t>
  </si>
  <si>
    <t>https://cf.geekdo-images.com/AvC3AzHo8JlcvgKtQ3PDWA__original/img/bLkTdJ11F1JN8zUU4dPjR0J3_2k=/0x0/filters:format(jpeg)/pic4071903.jpg</t>
  </si>
  <si>
    <t>https://cf.geekdo-images.com/NPWdxDD5uLOBLBDdVgdLvA__small/img/7464PJPFWWPzsOUMvf8t860zct0=/fit-in/200x150/filters:strip_icc()/pic6034093.png</t>
  </si>
  <si>
    <t>https://cf.geekdo-images.com/NPWdxDD5uLOBLBDdVgdLvA__original/img/zlx0Qqcgt0TLu62F5sKUmYTDNvc=/0x0/filters:format(png)/pic6034093.png</t>
  </si>
  <si>
    <t>https://cf.geekdo-images.com/nseXZ6c_ubJwyCM1s086yA__small/img/mhXh1WC05O6XmAGvXMOX8vP7mK4=/fit-in/200x150/filters:strip_icc()/pic6137510.png</t>
  </si>
  <si>
    <t>https://cf.geekdo-images.com/nseXZ6c_ubJwyCM1s086yA__original/img/qbq826nSRdJ7XJJxKeXEeY-viyc=/0x0/filters:format(png)/pic6137510.png</t>
  </si>
  <si>
    <t>https://cf.geekdo-images.com/LPa6rsGcv8S0-OeNjCOAEQ__small/img/RKui79VjUbQAzTWaPu44ytupzDs=/fit-in/200x150/filters:strip_icc()/pic1398895.jpg</t>
  </si>
  <si>
    <t>https://cf.geekdo-images.com/LPa6rsGcv8S0-OeNjCOAEQ__original/img/AF8HHaIad1re-eg3kd9mlm2j_ss=/0x0/filters:format(jpeg)/pic1398895.jpg</t>
  </si>
  <si>
    <t>https://cf.geekdo-images.com/H-AU-nhjCbaxWlWj_O-eFw__small/img/K_cH8KNrKA2FdgvqtUMubNvoRQU=/fit-in/200x150/filters:strip_icc()/pic4873141.jpg</t>
  </si>
  <si>
    <t>https://cf.geekdo-images.com/H-AU-nhjCbaxWlWj_O-eFw__original/img/lA3TNJgLhVo-hB9rPKxr66js5j0=/0x0/filters:format(jpeg)/pic4873141.jpg</t>
  </si>
  <si>
    <t>https://cf.geekdo-images.com/5ClVKrQcLkzRdBGiEfjevQ__small/img/FJa46kpICy-6AF4n7W-v9ICP_yo=/fit-in/200x150/filters:strip_icc()/pic7073068.jpg</t>
  </si>
  <si>
    <t>https://cf.geekdo-images.com/5ClVKrQcLkzRdBGiEfjevQ__original/img/NDGN_eKZmO7uJD0l5JIKJkAX24o=/0x0/filters:format(jpeg)/pic7073068.jpg</t>
  </si>
  <si>
    <t>https://cf.geekdo-images.com/XVqx-bp37COAHcyYUB7KNQ__small/img/8i8qQZPAwkAm7yyaLbdn8I6mjmM=/fit-in/200x150/filters:strip_icc()/pic3690447.jpg</t>
  </si>
  <si>
    <t>https://cf.geekdo-images.com/XVqx-bp37COAHcyYUB7KNQ__original/img/dbdo3WivCtIItVGNj8FvJv3LnkQ=/0x0/filters:format(jpeg)/pic3690447.jpg</t>
  </si>
  <si>
    <t>https://cf.geekdo-images.com/w_gAKA_mxSZZxDlP7-6mOw__small/img/q-gHjNRjzQacDQu3CH-2Cs2syQc=/fit-in/200x150/filters:strip_icc()/pic9051228.jpg</t>
  </si>
  <si>
    <t>https://cf.geekdo-images.com/w_gAKA_mxSZZxDlP7-6mOw__original/img/1fLwrLzHDqy5K_BsISFJ02wzWuM=/0x0/filters:format(jpeg)/pic9051228.jpg</t>
  </si>
  <si>
    <t>https://cf.geekdo-images.com/fsUCwhRp_5knh6eY8EduTw__small/img/_mkrhR0iN7QX5e1LhsPtDbhXhMo=/fit-in/200x150/filters:strip_icc()/pic2046290.png</t>
  </si>
  <si>
    <t>https://cf.geekdo-images.com/fsUCwhRp_5knh6eY8EduTw__original/img/FgUk3tNrF0_ryLIT3S0nnZUY8iE=/0x0/filters:format(png)/pic2046290.png</t>
  </si>
  <si>
    <t>https://cf.geekdo-images.com/aU1dLvPuTgGY0NsFajD9HQ__small/img/LKC4wxSMYreK8hbG82sNjUFdDiY=/fit-in/200x150/filters:strip_icc()/pic4327157.jpg</t>
  </si>
  <si>
    <t>https://cf.geekdo-images.com/aU1dLvPuTgGY0NsFajD9HQ__original/img/Ca6SXTVgQ7PFf0mHrorNI8iZOxc=/0x0/filters:format(jpeg)/pic4327157.jpg</t>
  </si>
  <si>
    <t>https://cf.geekdo-images.com/r1GDaTzdNoSz2gcZELRFng__small/img/EHxVkr3rv0ag28bTD4nAzDgKklI=/fit-in/200x150/filters:strip_icc()/pic4835109.png</t>
  </si>
  <si>
    <t>https://cf.geekdo-images.com/r1GDaTzdNoSz2gcZELRFng__original/img/hC1dBcEFFyDhxSqC45XjBV2nmHM=/0x0/filters:format(png)/pic4835109.png</t>
  </si>
  <si>
    <t>https://cf.geekdo-images.com/c1QnLyOiQ6IcnXJuJacTqw__small/img/myb97bBQtrzgnKkBdKR-FCt401I=/fit-in/200x150/filters:strip_icc()/pic7243922.jpg</t>
  </si>
  <si>
    <t>https://cf.geekdo-images.com/c1QnLyOiQ6IcnXJuJacTqw__original/img/68S-1F7zl_seozsuDZzOHVSRXV4=/0x0/filters:format(jpeg)/pic7243922.jpg</t>
  </si>
  <si>
    <t>https://cf.geekdo-images.com/_89TPntfbaK-kgKqP-gV_A__small/img/BvoMwTrrPRq8uN3ytKUA74oxv_U=/fit-in/200x150/filters:strip_icc()/pic2602679.jpg</t>
  </si>
  <si>
    <t>https://cf.geekdo-images.com/_89TPntfbaK-kgKqP-gV_A__original/img/46nEAEFgWIEEMneQUvArH60hU7M=/0x0/filters:format(jpeg)/pic2602679.jpg</t>
  </si>
  <si>
    <t>https://cf.geekdo-images.com/iCd6hMGDzsQ_UXh00iKsJA__small/img/QbOlBm7DZGP2ZBnGZ-YaD-py-UQ=/fit-in/200x150/filters:strip_icc()/pic4602347.jpg</t>
  </si>
  <si>
    <t>https://cf.geekdo-images.com/iCd6hMGDzsQ_UXh00iKsJA__original/img/QhbQ2AMud-_H0fliiSIvc0dowOU=/0x0/filters:format(jpeg)/pic4602347.jpg</t>
  </si>
  <si>
    <t>https://cf.geekdo-images.com/iTBogxNFa3Ymh-6ST3srsw__small/img/5vZps-04NqSAuUC4e6-E9M96VxE=/fit-in/200x150/filters:strip_icc()/pic4768766.jpg</t>
  </si>
  <si>
    <t>https://cf.geekdo-images.com/iTBogxNFa3Ymh-6ST3srsw__original/img/ECgm53fEsB3eDVjZjgeejiZ__Qk=/0x0/filters:format(jpeg)/pic4768766.jpg</t>
  </si>
  <si>
    <t>https://cf.geekdo-images.com/g4XmxyKhNVdhC3QPd1purQ__small/img/e3bCyIvM1IOGFYnKGj2jIn5mbKY=/fit-in/200x150/filters:strip_icc()/pic3761012.jpg</t>
  </si>
  <si>
    <t>https://cf.geekdo-images.com/g4XmxyKhNVdhC3QPd1purQ__original/img/pb6XFQZFUNOr6OPysOHB3usVDFk=/0x0/filters:format(jpeg)/pic3761012.jpg</t>
  </si>
  <si>
    <t>https://cf.geekdo-images.com/TxojLHTFHfBOBAk9MQSyLg__small/img/J-7XIZYzAorUyzewzFgRqFK7vhk=/fit-in/200x150/filters:strip_icc()/pic2558555.jpg</t>
  </si>
  <si>
    <t>https://cf.geekdo-images.com/TxojLHTFHfBOBAk9MQSyLg__original/img/DcG4rhSBw8oT9drbvbuxybUOkik=/0x0/filters:format(jpeg)/pic2558555.jpg</t>
  </si>
  <si>
    <t>https://cf.geekdo-images.com/8L0pOe9aMT6Mi4FeieCA0A__small/img/PWD8e79h8wQ2X6MEBLQDpXsEP34=/fit-in/200x150/filters:strip_icc()/pic1285411.jpg</t>
  </si>
  <si>
    <t>https://cf.geekdo-images.com/8L0pOe9aMT6Mi4FeieCA0A__original/img/RKx-oEQ9bSMymahtEls8qH9hNb4=/0x0/filters:format(jpeg)/pic1285411.jpg</t>
  </si>
  <si>
    <t>https://cf.geekdo-images.com/mPuVAXdzMGtrAG1JcWGolg__small/img/4juZTp5ZF-WbsZaFRIo05H1RKiM=/fit-in/200x150/filters:strip_icc()/pic3332427.jpg</t>
  </si>
  <si>
    <t>https://cf.geekdo-images.com/mPuVAXdzMGtrAG1JcWGolg__original/img/AXQRRt81DvdCnuGbR0czTaxgU_4=/0x0/filters:format(jpeg)/pic3332427.jpg</t>
  </si>
  <si>
    <t>https://cf.geekdo-images.com/iHERVAfyVClk_eNT6noIlg__small/img/Za-pR3Js9cMJ_CoAdy6ET1F__-0=/fit-in/200x150/filters:strip_icc()/pic2721792.png</t>
  </si>
  <si>
    <t>https://cf.geekdo-images.com/iHERVAfyVClk_eNT6noIlg__original/img/_kR0iKFzRApg-2TyikSMMu_qJAQ=/0x0/filters:format(png)/pic2721792.png</t>
  </si>
  <si>
    <t>Column1</t>
  </si>
  <si>
    <t>Fort</t>
  </si>
  <si>
    <t>Smash Up: Titans Event Kit – Winner's Prizes</t>
  </si>
  <si>
    <t>https://cf.geekdo-images.com/z7FVlaeOPtsAOlfbwFY0Aw__small/img/9yTsIJViy_Kfr00wIdPzdVXp7dE=/fit-in/200x150/filters:strip_icc()/pic5195832.jpg</t>
  </si>
  <si>
    <t>https://cf.geekdo-images.com/z7FVlaeOPtsAOlfbwFY0Aw__original/img/vMk5JotHqBVJM4uVNyPn_b1MWdQ=/0x0/filters:format(jpeg)/pic5195832.jpg</t>
  </si>
  <si>
    <t>Boardgameaccessory</t>
  </si>
  <si>
    <t>https://cf.geekdo-images.com/hAsqLdANmtExR5Zi41v94Q__small/img/YqmIsRVLpQqM-r5i1rsN91Q6fzg=/fit-in/200x150/filters:strip_icc()/pic5241325.png</t>
  </si>
  <si>
    <t>https://cf.geekdo-images.com/hAsqLdANmtExR5Zi41v94Q__original/img/YSzUnMqcnTg-mSk8VEnBQaRRmJU=/0x0/filters:format(png)/pic5241325.png</t>
  </si>
  <si>
    <t>778</t>
  </si>
  <si>
    <t>https://www.amazon.com.au/Anomia-Party-Edition-Card-Game/dp/B00B1UM8HQ</t>
  </si>
  <si>
    <t>https://letsplaygames.co.nz/dungeon-fighter-230801</t>
  </si>
  <si>
    <t>https://www.amazon.com.au/Horrible-Guild-DUF01-Fighter-Multicolor/dp/B09NCK1SNB</t>
  </si>
  <si>
    <t>https://www.amazon.com.au/Funemployed-FCM11-Card-Game/dp/B01JF1VQY8</t>
  </si>
  <si>
    <t>https://nzgameshop.com/products/kites-board-game?srsltid=AfmBOorBjvIegaQT03jEUJvMwg0NUF_P1UZ52jWQfZsUfiqdZ1zEBbxK</t>
  </si>
  <si>
    <t>https://www.mightyape.co.nz/mn/buy/mighty-ape-kites-time-to-fly-board-game-36044021/</t>
  </si>
  <si>
    <t>https://letsplaygames.co.nz/kites-time-to-fly-222770</t>
  </si>
  <si>
    <t>https://www.amazon.com.au/Floodgate-Games-Kites-Time-Fly/dp/B0B5VXSQ1J</t>
  </si>
  <si>
    <t>https://www.mightyape.co.nz/mn/buy/mighty-ape-the-legacy-of-yu-board-game-37956306/?gad_source=1&amp;gad_campaignid=22149322680&amp;gbraid=0AAAAADqxfilYYzcmnoOuYtRN2ka2iSaQR&amp;gclid=Cj0KCQjww4TGBhCKARIsAFLXndSdjzCq5jT9kAEl53qyA_8mu7WaaBE-ppp4hsLAHAfXE05xQsVdvOoaAn5nEALw_wcB</t>
  </si>
  <si>
    <t>https://www.gameology.com.au/products/legacy-of-yu?currency=AUD&amp;variant=41370945552499&amp;utm_source=google&amp;utm_medium=cpc&amp;utm_campaign=Google%20Shopping&amp;stkn=d56ba9476c12&amp;gad_source=1&amp;gad_campaignid=17336351730&amp;gbraid=0AAAAADLTJYyipiHoCmjHy5pGOWRyKoucB&amp;gclid=Cj0KCQjww4TGBhCKARIsAFLXndQF459cZOxct3b2DuusjHZmWW2oSfvcDFcRxBWottklFc97MV_q8aUaAr3IEALw_wcB</t>
  </si>
  <si>
    <t>https://www.whitcoulls.co.nz/legacy-of-yu-6967592?gad_source=1&amp;gad_campaignid=17177656761&amp;gbraid=0AAAAADtuKOtIM1-FNCDh8VJPwDLPvQDgL&amp;gclid=Cj0KCQjww4TGBhCKARIsAFLXndSbJzNWRMJ7ZZN35xQR1rxAIkoMEwz-tpm9uOPQA0CDhS3t-InwVxYaAra-EALw_wcB</t>
  </si>
  <si>
    <t>https://www.amazon.com.au/Renegade-Game-Studios-RGS02510-Legacy/dp/B0C18WXRR4</t>
  </si>
  <si>
    <t>https://www.amazon.com.au/dp/B07VKHK46W?ref_=mr_referred_us_au_nz</t>
  </si>
  <si>
    <t>https://www.amazon.com.au/Reef-2nd-Next-Move-Games/dp/B08GYLG55Y</t>
  </si>
  <si>
    <t>https://www.amazon.com.au/Alderac-Entertainment-Group-Villains-Board/dp/B00L2DKVV2</t>
  </si>
  <si>
    <t>https://www.amazon.com.au/Big-G-WW1003-Shifty-Spies/dp/B076FCXN3P</t>
  </si>
  <si>
    <t>https://www.amazon.com.au/Pandasaurus-Games-201910PAN-Silver-Gold/dp/B07XV5L65J</t>
  </si>
  <si>
    <t>https://www.kogan.com/nz/buy/mighty-ape-the-crew-the-quest-for-planet-nine-32747068/</t>
  </si>
  <si>
    <t>https://www.mightyape.co.nz/mn/buy/mighty-ape-the-crew-the-quest-for-planet-nine-32747068/</t>
  </si>
  <si>
    <t>https://www.gameology.com.au/products/the-crew-the-quest-for-planet-nine?srsltid=AfmBOoqYVNQ7_xF0togNiHZLTwCtohQ0uFoUJ3z49Lg8vLHdAL27CSkD</t>
  </si>
  <si>
    <t>https://www.amazon.com.au/Capstone-Games-SC1002CTG-The-Estates/dp/B07CYJ2Q26</t>
  </si>
  <si>
    <t>https://popstop.co.nz/product/pan202110/?srsltid=AfmBOopnIYzP3egPM32L75-GQ7eflOfgpMsr6rVYAJrmY0y9ITeFO2YW</t>
  </si>
  <si>
    <t>https://www.amazon.com.au/Pandasaurus-Games-PAN202110-The-Loop/dp/B097W57TJF</t>
  </si>
  <si>
    <t>https://www.amazon.com.au/R-Games-970-Times-Up/dp/B001ECH1AU/ref=sr_1_1?crid=2GX2AGBIPQJCG&amp;dib=eyJ2IjoiMSJ9.MDl3rKEQuuViLKlsUFNr4BQkc9q68bzzS_vdLTn8LhY.LgrdOXRIvQ7AxiE4JSI5ewfmlH_wH7hRv_2Dsu8MHhI&amp;dib_tag=se&amp;keywords=Time%27s%2BUp!%2BTitle%2BRecall!&amp;qid=1757539724&amp;s=toys&amp;sprefix=time%27s%2Bup%2Btitle%2Brecall%2B%2Ctoys%2C226&amp;sr=1-1&amp;th=1</t>
  </si>
  <si>
    <t>https://popstop.co.nz/product/rnr970/?srsltid=AfmBOorYn8udbaBSEmPU4kxRHuwnGgZ9pXY2yT5cI8HRmBBVzj_W2wMk</t>
  </si>
  <si>
    <t>https://www.amazon.com.au/Itten-ASMITTH01EN-Tokyo-Highway/dp/B07GHSV64X</t>
  </si>
  <si>
    <t>https://www.gameology.com.au/products/tokyo-highway?srsltid=AfmBOopSxBxPXnbTs3gNXNmKIZDlKjgV9Ky7hCMgAQfzUWCay_wXJEWT</t>
  </si>
  <si>
    <t>https://www.amazon.com.au/Wizkids-Tragedy-Looper-Tragedies-Board/dp/B0BLY5LYPP</t>
  </si>
  <si>
    <t>https://letsplaygames.co.nz/tragedy-looper-new-tragedies-225570</t>
  </si>
  <si>
    <t>https://www.amazon.com.au/Tumult-Royale-Thames-Kosmos/dp/B015OKL5XQ</t>
  </si>
  <si>
    <t>https://www.nobleknight.com/P/2147666561/Word-Slam?UTM_Campaign=BGG_Shop_Now&amp;awid=1292</t>
  </si>
  <si>
    <t>Tragedy Looper: New Tragedies</t>
  </si>
  <si>
    <t>https://cf.geekdo-images.com/c3ZegSY4OGVLNWQXCa94og__small/img/I0V_Y47wp8ysLVGqM1PZ36sraCc=/fit-in/200x150/filters:strip_icc()/pic7163230.png</t>
  </si>
  <si>
    <t>https://cf.geekdo-images.com/c3ZegSY4OGVLNWQXCa94og__original/img/BPk-KTyp08jmCjSQa6TKNmICOYg=/0x0/filters:format(png)/pic7163230.png</t>
  </si>
  <si>
    <t>3.4</t>
  </si>
  <si>
    <t>Living Forest</t>
  </si>
  <si>
    <t>https://cf.geekdo-images.com/fPhdfZX9UTLr4-SVgK0zoQ__small/img/v8irnVxaCdK29XPtqEbtlKkLY4c=/fit-in/200x150/filters:strip_icc()/pic5899025.jpg</t>
  </si>
  <si>
    <t>https://cf.geekdo-images.com/fPhdfZX9UTLr4-SVgK0zoQ__original/img/ZPdxDPt1jSRQMNnVgn-qIPhNv0E=/0x0/filters:format(jpeg)/pic5899025.jpg</t>
  </si>
  <si>
    <t>742</t>
  </si>
  <si>
    <t>Betrayal at House on the Hill</t>
  </si>
  <si>
    <t>https://cf.geekdo-images.com/lqmt2Oti_qJS65XqHcB8AA__small/img/EDOmDbRhLy4za2PHkJ5IbhNxZmk=/fit-in/200x150/filters:strip_icc()/pic5146864.png</t>
  </si>
  <si>
    <t>https://cf.geekdo-images.com/lqmt2Oti_qJS65XqHcB8AA__original/img/7R6yYk8A2eUMmSDaxGjae5SceGI=/0x0/filters:format(png)/pic5146864.png</t>
  </si>
  <si>
    <t>Button Tales</t>
  </si>
  <si>
    <t>Videogame</t>
  </si>
  <si>
    <t>Hostage Negotiator: Drawstring Bag</t>
  </si>
  <si>
    <t>Sushi Go!</t>
  </si>
  <si>
    <t>https://cf.geekdo-images.com/Fn3PSPZVxa3YurlorITQ1Q__small/img/6XF493O0tSyLyZP5ArlcZrOTMXQ=/fit-in/200x150/filters:strip_icc()/pic1900075.jpg</t>
  </si>
  <si>
    <t>https://cf.geekdo-images.com/Fn3PSPZVxa3YurlorITQ1Q__original/img/5vRsn2TT9eJmq27i9HtLWKpB_xs=/0x0/filters:format(jpeg)/pic1900075.jpg</t>
  </si>
  <si>
    <t>Hanabi</t>
  </si>
  <si>
    <t>https://cf.geekdo-images.com/JDVksMwfcqoem1k_xtZrOA__small/img/amCeCcEKhYGbVtDvpvIMnu3qTg0=/fit-in/200x150/filters:strip_icc()/pic2007286.jpg</t>
  </si>
  <si>
    <t>https://cf.geekdo-images.com/JDVksMwfcqoem1k_xtZrOA__original/img/5vNHZiTEhK4aRDuGXv5KImp9cmQ=/0x0/filters:format(jpeg)/pic2007286.jpg</t>
  </si>
  <si>
    <t>577</t>
  </si>
  <si>
    <t>Small World</t>
  </si>
  <si>
    <t>https://cf.geekdo-images.com/aoPM07XzoceB-RydLh08zA__small/img/o3Bw9heVDJRgPYlI_PksCvLAgnM=/fit-in/200x150/filters:strip_icc()/pic428828.jpg</t>
  </si>
  <si>
    <t>https://cf.geekdo-images.com/aoPM07XzoceB-RydLh08zA__original/img/bYLzrwZO9u-3h2wyU-PHc8aTOY4=/0x0/filters:format(jpeg)/pic428828.jpg</t>
  </si>
  <si>
    <t>Sherlock Holmes Consulting Detective: The Thames Murders &amp; Other Cases</t>
  </si>
  <si>
    <t>1981</t>
  </si>
  <si>
    <t>https://cf.geekdo-images.com/ptDZ2tJ6dSNiONAx3HH8Tw__small/img/TKoDj4fKzLa_m45TCQeDGcBf63o=/fit-in/200x150/filters:strip_icc()/pic3514298.jpg</t>
  </si>
  <si>
    <t>https://cf.geekdo-images.com/ptDZ2tJ6dSNiONAx3HH8Tw__original/img/iu21NR45DwHyFY-UPW0m7hwY_vw=/0x0/filters:format(jpeg)/pic3514298.jpg</t>
  </si>
  <si>
    <t>2.6623</t>
  </si>
  <si>
    <t>188</t>
  </si>
  <si>
    <t>Gloomhaven: Jaws of the Lion</t>
  </si>
  <si>
    <t>https://cf.geekdo-images.com/_HhIdavYW-hid20Iq3hhmg__small/img/OMkN_E5eyWrkID_cHCnQEbIixGM=/fit-in/200x150/filters:strip_icc()/pic5055631.jpg</t>
  </si>
  <si>
    <t>https://cf.geekdo-images.com/_HhIdavYW-hid20Iq3hhmg__original/img/PBzsLRqNKQKJxGnzpb7o3qLWPQM=/0x0/filters:format(jpeg)/pic5055631.jpg</t>
  </si>
  <si>
    <t>Termik</t>
  </si>
  <si>
    <t>Goblin Vaults: Playmat</t>
  </si>
  <si>
    <t>https://cf.geekdo-images.com/ZEkldBqO-CfqqdslczCchg__small/img/VSa5vyJMVX9RdkRrIIDoXg4o-3M=/fit-in/200x150/filters:strip_icc()/pic8115716.jpg</t>
  </si>
  <si>
    <t>https://cf.geekdo-images.com/ZEkldBqO-CfqqdslczCchg__original/img/0S9k-UfetgeoERvy7zmZVPotrvs=/0x0/filters:format(jpeg)/pic8115716.jpg</t>
  </si>
  <si>
    <t>The Ridgeline Express</t>
  </si>
  <si>
    <t>https://cf.geekdo-images.com/i39FXGeZTj6JI8V3n-B9Bg__small/img/pCYWyPdujoh9PmzKj_vQrcTc_ls=/fit-in/200x150/filters:strip_icc()/pic6166093.jpg</t>
  </si>
  <si>
    <t>https://cf.geekdo-images.com/i39FXGeZTj6JI8V3n-B9Bg__original/img/zfHEdDjMFU4aafWGEOoh1iPjkNI=/0x0/filters:format(jpeg)/pic6166093.jpg</t>
  </si>
  <si>
    <t>Rpgitem</t>
  </si>
  <si>
    <t>A Rogue Heart</t>
  </si>
  <si>
    <t>https://cf.geekdo-images.com/IRgbFPCr3DnnO73lDtU72w__small/img/jHIoQZYmxEideSYNsCUU86l7smE=/fit-in/200x150/filters:strip_icc()/pic7277525.png</t>
  </si>
  <si>
    <t>https://cf.geekdo-images.com/IRgbFPCr3DnnO73lDtU72w__original/img/gjyQ4m71wv_F3KlMq5PbyqMGADg=/0x0/filters:format(png)/pic7277525.png</t>
  </si>
  <si>
    <t>A /tg/ Anon's Academic View on Harems</t>
  </si>
  <si>
    <t>https://cf.geekdo-images.com/AKisaTpPwwSgSEfSaCX65A__small/img/mjoaP4IkatRVZeZJIxdWoAaBpk8=/fit-in/200x150/filters:strip_icc()/pic6369592.jpg</t>
  </si>
  <si>
    <t>https://cf.geekdo-images.com/AKisaTpPwwSgSEfSaCX65A__original/img/sE7ufXyJ_Epb8BRWyZOVbFjbOeY=/0x0/filters:format(jpeg)/pic6369592.jpg</t>
  </si>
  <si>
    <t>Adventurers League Player's Guide (Plague of Ancients)</t>
  </si>
  <si>
    <t>https://cf.geekdo-images.com/6MBqfDT8V1byS5d53km5NQ__small/img/A-pLruH1c_5nOPI2WT2hfohGyxM=/fit-in/200x150/filters:strip_icc()/pic5822626.jpg</t>
  </si>
  <si>
    <t>https://cf.geekdo-images.com/6MBqfDT8V1byS5d53km5NQ__original/img/j5BQQafQm60QHWzUvJGwPKeysTo=/0x0/filters:format(jpeg)/pic5822626.jpg</t>
  </si>
  <si>
    <t>Black Orchestra</t>
  </si>
  <si>
    <t>https://cf.geekdo-images.com/mvE22ut60-N5qzhE9guINw__small/img/Z2A_CL-vc5wS4_hUN2RhtGzMiC4=/fit-in/200x150/filters:strip_icc()/pic6973676.png</t>
  </si>
  <si>
    <t>https://cf.geekdo-images.com/mvE22ut60-N5qzhE9guINw__original/img/1GrE_UvDfOYRPMSqcv9DaKrJ-98=/0x0/filters:format(png)/pic6973676.png</t>
  </si>
  <si>
    <t>2.4183</t>
  </si>
  <si>
    <t>516</t>
  </si>
  <si>
    <t>Sinners of Chult</t>
  </si>
  <si>
    <t>https://cf.geekdo-images.com/dxJblQmRmJPuoAfYXnh1-g__small/img/BAjRvNRvu_0shyRJmdqyIWVbMoI=/fit-in/200x150/filters:strip_icc()/pic7627473.jpg</t>
  </si>
  <si>
    <t>https://cf.geekdo-images.com/dxJblQmRmJPuoAfYXnh1-g__original/img/GMY8P0CQnvOu2Ry1JhjyUHlGF30=/0x0/filters:format(jpeg)/pic7627473.jpg</t>
  </si>
  <si>
    <t>Teotihuacan: City of Gods</t>
  </si>
  <si>
    <t>https://cf.geekdo-images.com/wW5xjgBJcFyLaEWZwrYuKA__small/img/MppmP7GtDAfKiB5LiAl-ZtPxOPE=/fit-in/200x150/filters:strip_icc()/pic4583626.jpg</t>
  </si>
  <si>
    <t>https://cf.geekdo-images.com/wW5xjgBJcFyLaEWZwrYuKA__original/img/72kzn6t41ZxLEr3GFd8ir6hDdH4=/0x0/filters:format(jpeg)/pic4583626.jpg</t>
  </si>
  <si>
    <t>102</t>
  </si>
  <si>
    <t>OTLO Stones</t>
  </si>
  <si>
    <t>https://cf.geekdo-images.com/x3QPcSTeoM5VIFZW5PV72A__small/img/WyAGF1QL1KD3Xn-rK07B3r7T3L8=/fit-in/200x150/filters:strip_icc()/pic7589307.jpg</t>
  </si>
  <si>
    <t>https://cf.geekdo-images.com/x3QPcSTeoM5VIFZW5PV72A__original/img/FAudMrfmSEn-yBf071ta3LQ2Bc0=/0x0/filters:format(jpeg)/pic7589307.jpg</t>
  </si>
  <si>
    <t>1.3333</t>
  </si>
  <si>
    <t>Bitwa o Włocławek 1920</t>
  </si>
  <si>
    <t>https://cf.geekdo-images.com/mmoqRpESBDoDJjvZgi0qbQ__small/img/KHkjDfDr1DhilNhcPS7lgaPzZ4s=/fit-in/200x150/filters:strip_icc()/pic5999291.jpg</t>
  </si>
  <si>
    <t>https://cf.geekdo-images.com/mmoqRpESBDoDJjvZgi0qbQ__original/img/EFI6f6NzjeVlRRpOTQfn2OZ0In8=/0x0/filters:format(jpeg)/pic5999291.jpg</t>
  </si>
  <si>
    <t>Order of the Chromatic Temple</t>
  </si>
  <si>
    <t>https://cf.geekdo-images.com/jkJSqCCOrg58xDe98K7xmA__small/img/mrwl-Ph_wMf9dUXVCe660lB2hEI=/fit-in/200x150/filters:strip_icc()/pic7393226.png</t>
  </si>
  <si>
    <t>https://cf.geekdo-images.com/jkJSqCCOrg58xDe98K7xmA__original/img/hYPqghsLmXYKM1hOHCVJNBnypmw=/0x0/filters:format(png)/pic7393226.png</t>
  </si>
  <si>
    <t>One Night Ultimate Werewolf</t>
  </si>
  <si>
    <t>https://cf.geekdo-images.com/rqLju4uaZq-G9z4g91aPPQ__small/img/viW0s_SZmeEo53dKbM84WbVjIaY=/fit-in/200x150/filters:strip_icc()/pic8783294.png</t>
  </si>
  <si>
    <t>https://cf.geekdo-images.com/rqLju4uaZq-G9z4g91aPPQ__original/img/eOxUlbCuix0lOjuyBYpjtIXVihc=/0x0/filters:format(png)/pic8783294.png</t>
  </si>
  <si>
    <t>1.3775</t>
  </si>
  <si>
    <t>655</t>
  </si>
  <si>
    <t>Next Station: London</t>
  </si>
  <si>
    <t>https://cf.geekdo-images.com/T-eq9Ux4gkmqfEXry8HC1w__small/img/6OG1_bmI_3NkAeD-IT9dJnFHmmc=/fit-in/200x150/filters:strip_icc()/pic9018430.jpg</t>
  </si>
  <si>
    <t>https://cf.geekdo-images.com/T-eq9Ux4gkmqfEXry8HC1w__original/img/FgPzhjwC0X0-6ZNLhowN8iccREA=/0x0/filters:format(jpeg)/pic9018430.jpg</t>
  </si>
  <si>
    <t>589</t>
  </si>
  <si>
    <t>Mercenaries Saga 2: Order of the Silver Eagle</t>
  </si>
  <si>
    <t>https://cf.geekdo-images.com/PvOsO1RQCbMCL5Lrat5eMg__small/img/-wd-M3dgn1ck_l4ocSpsKMzBA4A=/fit-in/200x150/filters:strip_icc()/pic8564458.png</t>
  </si>
  <si>
    <t>https://cf.geekdo-images.com/PvOsO1RQCbMCL5Lrat5eMg__original/img/h_sboiqC4FVTaN5DwpraLFtO1L4=/0x0/filters:format(png)/pic8564458.png</t>
  </si>
  <si>
    <t>Building A Tavern: Food and Drinks</t>
  </si>
  <si>
    <t>https://cf.geekdo-images.com/uWSJagsxlW40nPdMfodf2g__small/img/0JbxIZJbWXHDOgJ5n3zmGmvQJYQ=/fit-in/200x150/filters:strip_icc()/pic7442869.png</t>
  </si>
  <si>
    <t>https://cf.geekdo-images.com/uWSJagsxlW40nPdMfodf2g__original/img/Jzsv8ggCEQLulaGNhjlj5AtPmVE=/0x0/filters:format(png)/pic7442869.png</t>
  </si>
  <si>
    <t>The Goblings</t>
  </si>
  <si>
    <t>https://cf.geekdo-images.com/S-mwu6nmYX4swI9x3fuccQ__small/img/hyKadMJjfLblhxTBYnTJiCMW48c=/fit-in/200x150/filters:strip_icc()/pic7617726.jpg</t>
  </si>
  <si>
    <t>https://cf.geekdo-images.com/S-mwu6nmYX4swI9x3fuccQ__original/img/NPr-25WhSQGPH0J0G15xGEVxwWs=/0x0/filters:format(jpeg)/pic7617726.jpg</t>
  </si>
  <si>
    <t>Cabin in the Woods</t>
  </si>
  <si>
    <t>https://cf.geekdo-images.com/lIS89I0XBG53tF3Nz84E8A__small/img/F21SoTNWnFhWHHiPZddUiPPZqPo=/fit-in/200x150/filters:strip_icc()/pic6354803.jpg</t>
  </si>
  <si>
    <t>https://cf.geekdo-images.com/lIS89I0XBG53tF3Nz84E8A__original/img/Xuo9SVwpie2rnyrdcoIiSQuMO_w=/0x0/filters:format(jpeg)/pic6354803.jpg</t>
  </si>
  <si>
    <t>The Utility Room</t>
  </si>
  <si>
    <t>Useful Tiles and Textures / Ships of Riverlands Reach</t>
  </si>
  <si>
    <t>https://cf.geekdo-images.com/bOK_lzxs3nCwuFmWI5Td2g__small/img/YC1EgxNoVrj5AT5HQMr9QHc2wyc=/fit-in/200x150/filters:strip_icc()/pic7458369.jpg</t>
  </si>
  <si>
    <t>https://cf.geekdo-images.com/bOK_lzxs3nCwuFmWI5Td2g__original/img/aGKfdkZAVQVo8zQhwk-AlW_UE-I=/0x0/filters:format(jpeg)/pic7458369.jpg</t>
  </si>
  <si>
    <t>Tekhenu: Obelisk of the Sun</t>
  </si>
  <si>
    <t>https://cf.geekdo-images.com/CBLtzgG8zsqDkUZ_hN5-ew__small/img/QaUXxrgmXFrlNADgPeGhY5F538g=/fit-in/200x150/filters:strip_icc()/pic5313583.jpg</t>
  </si>
  <si>
    <t>https://cf.geekdo-images.com/CBLtzgG8zsqDkUZ_hN5-ew__original/img/jEL4WHl98vZHaZFcw9hDXxsxjSo=/0x0/filters:format(jpeg)/pic5313583.jpg</t>
  </si>
  <si>
    <t>Das Stille Dorf</t>
  </si>
  <si>
    <t>Nucleum</t>
  </si>
  <si>
    <t>https://cf.geekdo-images.com/fIVUaMvbfy6GCOgfxt7xaw__small/img/jKsO4nKmtNjX5bfH7aCPeK7hsqU=/fit-in/200x150/filters:strip_icc()/pic7647168.jpg</t>
  </si>
  <si>
    <t>https://cf.geekdo-images.com/fIVUaMvbfy6GCOgfxt7xaw__original/img/dBMnuz3SrgxsDLHT6pwbQFPQBIw=/0x0/filters:format(jpeg)/pic7647168.jpg</t>
  </si>
  <si>
    <t>Ghosts and Spectres</t>
  </si>
  <si>
    <t>https://cf.geekdo-images.com/6Pz1XanpAjHQSGQU-LkLYQ__small/img/QulrEKxfvqc-rhn0pkx3LjAbv6Q=/fit-in/200x150/filters:strip_icc()/pic7617185.jpg</t>
  </si>
  <si>
    <t>https://cf.geekdo-images.com/6Pz1XanpAjHQSGQU-LkLYQ__original/img/eQL31BTTKOZh6wSm_fBD2LoeodA=/0x0/filters:format(jpeg)/pic7617185.jpg</t>
  </si>
  <si>
    <t>Castle of Memories</t>
  </si>
  <si>
    <t>https://cf.geekdo-images.com/lKrIW2_TjKMJ_cEy9-hn1A__small/img/yhd0uGQ28oong0usuiGaFpn4mpo=/fit-in/200x150/filters:strip_icc()/pic7610374.jpg</t>
  </si>
  <si>
    <t>https://cf.geekdo-images.com/lKrIW2_TjKMJ_cEy9-hn1A__original/img/3QrpfH6snxicUdDHB7qEiDGRRho=/0x0/filters:format(jpeg)/pic7610374.jpg</t>
  </si>
  <si>
    <t>The Lady Afterwards Digital Edition</t>
  </si>
  <si>
    <t>https://cf.geekdo-images.com/_QR7dFcA9MYq_yXvkPaT9w__small/img/2wzVm2pA5-a1BR3CdfNt4US4w-A=/fit-in/200x150/filters:strip_icc()/pic7310004.jpg</t>
  </si>
  <si>
    <t>https://cf.geekdo-images.com/_QR7dFcA9MYq_yXvkPaT9w__original/img/01rcIxoGY3glh0njTwdErXdu4Eg=/0x0/filters:format(jpeg)/pic7310004.jpg</t>
  </si>
  <si>
    <t>Everdell: Tantrum House Promo Card</t>
  </si>
  <si>
    <t>https://cf.geekdo-images.com/5cn34jQu9KQYl5hZjn1B9Q__small/img/e6NX2GqLGAj6sFajQRe3pS-x78U=/fit-in/200x150/filters:strip_icc()/pic7378738.jpg</t>
  </si>
  <si>
    <t>https://cf.geekdo-images.com/5cn34jQu9KQYl5hZjn1B9Q__original/img/aJHfRBd7PU1FOaptFxuZJV_IBCo=/0x0/filters:format(jpeg)/pic7378738.jpg</t>
  </si>
  <si>
    <t>The Eleusinian Mysteries</t>
  </si>
  <si>
    <t>https://cf.geekdo-images.com/ga9nytqY7f4JuukOBwPvAg__small/img/TX-ZpSBywZHJRdZPhPA88kh86S0=/fit-in/200x150/filters:strip_icc()/pic7744966.jpg</t>
  </si>
  <si>
    <t>https://cf.geekdo-images.com/ga9nytqY7f4JuukOBwPvAg__original/img/HyIvP3FovMpXL54n_9-1dVLKXro=/0x0/filters:format(jpeg)/pic7744966.jpg</t>
  </si>
  <si>
    <t>Powerline: Sunny Island Promo</t>
  </si>
  <si>
    <t>https://cf.geekdo-images.com/-G2udgPPHHfECwfkgs93zw__small/img/msrdoR7hgHLDD2uPmqCuFqCewmA=/fit-in/200x150/filters:strip_icc()/pic7503612.jpg</t>
  </si>
  <si>
    <t>https://cf.geekdo-images.com/-G2udgPPHHfECwfkgs93zw__original/img/BxJAq68MCYc6cd-cmffBaGZOvI0=/0x0/filters:format(jpeg)/pic7503612.jpg</t>
  </si>
  <si>
    <t>5.5</t>
  </si>
  <si>
    <t>Cthulhu Hack (Second Edition)</t>
  </si>
  <si>
    <t>https://cf.geekdo-images.com/tuLARGWWMzGsRl2uL4O1Kw__small/img/duX_zOGJhWKir-hqZHqQ-aXDDTk=/fit-in/200x150/filters:strip_icc()/pic7567446.jpg</t>
  </si>
  <si>
    <t>https://cf.geekdo-images.com/tuLARGWWMzGsRl2uL4O1Kw__original/img/L3CmUMwzW-39wA0_snP8AkvS3r4=/0x0/filters:format(jpeg)/pic7567446.jpg</t>
  </si>
  <si>
    <t>https://cf.geekdo-images.com/cyMEpAB7HJlDzeJ1wcBEVA__small/img/-u9xg7crkPlB1QCGQ4MLXOcugxE=/fit-in/200x150/filters:strip_icc()/pic7609860.png</t>
  </si>
  <si>
    <t>https://cf.geekdo-images.com/cyMEpAB7HJlDzeJ1wcBEVA__original/img/KBckYFGtlyis4tevGPZi0haVozw=/0x0/filters:format(png)/pic7609860.png</t>
  </si>
  <si>
    <t>Stuffo the Puzzle Bot</t>
  </si>
  <si>
    <t>https://cf.geekdo-images.com/2baPmncKgjMCrdd45aLT6A__small/img/ejnrjsf8SE4ur4JcdE-GBDJtNwA=/fit-in/200x150/filters:strip_icc()/pic7616758.png</t>
  </si>
  <si>
    <t>https://cf.geekdo-images.com/2baPmncKgjMCrdd45aLT6A__original/img/9UuB2A5JO3TCFNyx-rzGEzGn3z0=/0x0/filters:format(png)/pic7616758.png</t>
  </si>
  <si>
    <t>Achievus</t>
  </si>
  <si>
    <t>https://cf.geekdo-images.com/UjseCv7YZKtTSLcIYHkIjQ__small/img/DFltMcSM9LXS43MEi0RXFvPWzCI=/fit-in/200x150/filters:strip_icc()/pic3363860.jpg</t>
  </si>
  <si>
    <t>https://cf.geekdo-images.com/UjseCv7YZKtTSLcIYHkIjQ__original/img/uUYwTc1Wo71DtlERgKWug9PryhI=/0x0/filters:format(jpeg)/pic3363860.jpg</t>
  </si>
  <si>
    <t>Gathering Magic: Mystical Archives</t>
  </si>
  <si>
    <t>https://cf.geekdo-images.com/7mDv6LOIMyToSLTShQ8MZg__small/img/sREXCvTT-QaOT0oaM0siVxv4bXw=/fit-in/200x150/filters:strip_icc()/pic7557879.jpg</t>
  </si>
  <si>
    <t>https://cf.geekdo-images.com/7mDv6LOIMyToSLTShQ8MZg__original/img/_SB5Bo3DAgdvMEqTmQVGiPsKEoU=/0x0/filters:format(jpeg)/pic7557879.jpg</t>
  </si>
  <si>
    <t>Chest of Krinnim</t>
  </si>
  <si>
    <t>https://cf.geekdo-images.com/-NsFjNE65Pmlj5_S_LBV5A__small/img/paVUmFJuBmr4l-vT0CWNXrXyclw=/fit-in/200x150/filters:strip_icc()/pic7448056.jpg</t>
  </si>
  <si>
    <t>https://cf.geekdo-images.com/-NsFjNE65Pmlj5_S_LBV5A__original/img/WxWL2zYBCXiisRsAUBcmWkVKmIs=/0x0/filters:format(jpeg)/pic7448056.jpg</t>
  </si>
  <si>
    <t>Vampire: The Masquerade – Rivals: Royalty Pack 1</t>
  </si>
  <si>
    <t>https://cf.geekdo-images.com/X2Vp4_2PxrhzIaWNUYq9UQ__small/img/kUswgFU9774DduSgdzpM4fVN3zE=/fit-in/200x150/filters:strip_icc()/pic7605730.jpg</t>
  </si>
  <si>
    <t>https://cf.geekdo-images.com/X2Vp4_2PxrhzIaWNUYq9UQ__original/img/ax6_3m1XVoYS1Toj9MXQJhsEiT4=/0x0/filters:format(jpeg)/pic7605730.jpg</t>
  </si>
  <si>
    <t>8.625</t>
  </si>
  <si>
    <t>Red Rising</t>
  </si>
  <si>
    <t>https://cf.geekdo-images.com/V6QEXXgRgz3urOrRVZ_1zA__small/img/8zjF-E9xPNYLSsI6xQjRsZiI-XE=/fit-in/200x150/filters:strip_icc()/pic5960554.jpg</t>
  </si>
  <si>
    <t>https://cf.geekdo-images.com/V6QEXXgRgz3urOrRVZ_1zA__original/img/Gp9hIVv-zRxlkrO5Pmg3aXb4P1M=/0x0/filters:format(jpeg)/pic5960554.jpg</t>
  </si>
  <si>
    <t>Centaur</t>
  </si>
  <si>
    <t>https://cf.geekdo-images.com/bvkW_PO_8jlcSun-f8AL5A__small/img/1iJGodQOK3jCNvI1NCoMhSQ5L60=/fit-in/200x150/filters:strip_icc()/pic7558506.png</t>
  </si>
  <si>
    <t>https://cf.geekdo-images.com/bvkW_PO_8jlcSun-f8AL5A__original/img/sA4i-xF4hpe7Owjh5qVKdbrHKnA=/0x0/filters:format(png)/pic7558506.png</t>
  </si>
  <si>
    <t>Last Christmas</t>
  </si>
  <si>
    <t>https://cf.geekdo-images.com/idard-QoY_iH9n19HrnFVQ__small/img/kPPcHWvDjjp_cbf-qM2YuLhYRms=/fit-in/200x150/filters:strip_icc()/pic7534268.jpg</t>
  </si>
  <si>
    <t>https://cf.geekdo-images.com/idard-QoY_iH9n19HrnFVQ__original/img/z8dzyIiErTuEMzSUuLC3vHLKUR0=/0x0/filters:format(jpeg)/pic7534268.jpg</t>
  </si>
  <si>
    <t>D12 Skeletal Encounters</t>
  </si>
  <si>
    <t>https://cf.geekdo-images.com/4mmPH-Ns78nWXW2oQY1xbg__small/img/Vwo_QAW3kI22hMyKlf6RVb7LcjA=/fit-in/200x150/filters:strip_icc()/pic7489034.jpg</t>
  </si>
  <si>
    <t>https://cf.geekdo-images.com/4mmPH-Ns78nWXW2oQY1xbg__original/img/DYOiwby4s2w0JFS22nqMSdC6Szc=/0x0/filters:format(jpeg)/pic7489034.jpg</t>
  </si>
  <si>
    <t>Classic Napoleonics: Wargame Rules in the Age of Scruby</t>
  </si>
  <si>
    <t>https://cf.geekdo-images.com/NhKwW7MNMOqHQwVjo4jeGQ__small/img/8AfldvA8A4LsFlelv_XLopnANy8=/fit-in/200x150/filters:strip_icc()/pic7617467.jpg</t>
  </si>
  <si>
    <t>https://cf.geekdo-images.com/NhKwW7MNMOqHQwVjo4jeGQ__original/img/SIUOd1mlHJHjLOSPfWtKtOYhPSM=/0x0/filters:format(jpeg)/pic7617467.jpg</t>
  </si>
  <si>
    <t>Guns or Treasure: Parrots and Monkeys</t>
  </si>
  <si>
    <t>https://cf.geekdo-images.com/9AfodDubP5djfvdAZKsjgg__small/img/Tx4fS285TLsZa5YZZwESwKM2xwM=/fit-in/200x150/filters:strip_icc()/pic7460798.png</t>
  </si>
  <si>
    <t>https://cf.geekdo-images.com/9AfodDubP5djfvdAZKsjgg__original/img/VMQLCF18wVBYeD9YVLtV1BWx8IE=/0x0/filters:format(png)/pic7460798.png</t>
  </si>
  <si>
    <t>Bear Beware</t>
  </si>
  <si>
    <t>https://cf.geekdo-images.com/TegPgZznBiHzDN1nbgHitA__small/img/9xH5XuRaZNEHqYIw9BW9t7LTfuc=/fit-in/200x150/filters:strip_icc()/pic5002267.jpg</t>
  </si>
  <si>
    <t>https://cf.geekdo-images.com/TegPgZznBiHzDN1nbgHitA__original/img/TD0gzCOeqHrTa9FoV36W4FQXrZ0=/0x0/filters:format(jpeg)/pic5002267.jpg</t>
  </si>
  <si>
    <t>Legends of Andor</t>
  </si>
  <si>
    <t>https://cf.geekdo-images.com/IO8_BYKeofnWy8DIjo2RRg__small/img/pMbV-KGyO3D9U6hnBzNRfylZvto=/fit-in/200x150/filters:strip_icc()/pic2606106.jpg</t>
  </si>
  <si>
    <t>https://cf.geekdo-images.com/IO8_BYKeofnWy8DIjo2RRg__original/img/GEmDZyN1Q9Jlv88QvOF58N7yBIo=/0x0/filters:format(jpeg)/pic2606106.jpg</t>
  </si>
  <si>
    <t>650</t>
  </si>
  <si>
    <t>Articulate!</t>
  </si>
  <si>
    <t>https://cf.geekdo-images.com/BOvTyp_E-3UXcWpD9bVYog__small/img/CqwJb6xbDjdfVlIrNK3PjRXEn3A=/fit-in/200x150/filters:strip_icc()/pic5885634.jpg</t>
  </si>
  <si>
    <t>https://cf.geekdo-images.com/BOvTyp_E-3UXcWpD9bVYog__original/img/I_mk0NKusQAIPnkUTOQEpjjuOrA=/0x0/filters:format(jpeg)/pic5885634.jpg</t>
  </si>
  <si>
    <t>1.2424</t>
  </si>
  <si>
    <t>3944</t>
  </si>
  <si>
    <t>The Gongfarmer's Almanac (2019 Volume 13)</t>
  </si>
  <si>
    <t>https://cf.geekdo-images.com/yxtu6EMY4VOEyGowqJ76SA__small/img/fFXo3wkWx1RlUzxtz4UXSwh68tM=/fit-in/200x150/filters:strip_icc()/pic4923574.gif</t>
  </si>
  <si>
    <t>https://cf.geekdo-images.com/yxtu6EMY4VOEyGowqJ76SA__original/img/-gw9sfZdehGUQ118SqhxguLbNzs=/0x0/filters:format(gif)/pic4923574.gif</t>
  </si>
  <si>
    <t>Rpgissue</t>
  </si>
  <si>
    <t>Rajas of the Ganges: Blessings of Kedarnath</t>
  </si>
  <si>
    <t>https://cf.geekdo-images.com/S41ZJPUOZw062bhdKk5I_Q__small/img/rcrgZ1B2Rl2NzIFGs1C81NNnWaY=/fit-in/200x150/filters:strip_icc()/pic4709114.jpg</t>
  </si>
  <si>
    <t>https://cf.geekdo-images.com/S41ZJPUOZw062bhdKk5I_Q__original/img/JEXWzaSt9-0AExHzNdBGMl4jDdc=/0x0/filters:format(jpeg)/pic4709114.jpg</t>
  </si>
  <si>
    <t>7.64082</t>
  </si>
  <si>
    <t>Economic</t>
  </si>
  <si>
    <t>LARP Frescos Volume II: Affreschi Moderni</t>
  </si>
  <si>
    <t>https://cf.geekdo-images.com/xqhbZkFKAI2ky8MLprE9NQ__small/img/S7JdT2VOEy9qcAXpMuUkRcW4nb4=/fit-in/200x150/filters:strip_icc()/pic5931847.jpg</t>
  </si>
  <si>
    <t>https://cf.geekdo-images.com/xqhbZkFKAI2ky8MLprE9NQ__original/img/o3b6xfxVewFyNBW8eUTcTNemWeA=/0x0/filters:format(jpeg)/pic5931847.jpg</t>
  </si>
  <si>
    <t>The WitchBorn: Daughters of Twilight</t>
  </si>
  <si>
    <t>https://cf.geekdo-images.com/T5JiWnoOENaK_hIvJlXqlw__small/img/cWx3jCLGIL5QTT8b14Jy9cxgsNY=/fit-in/200x150/filters:strip_icc()/pic5630280.jpg</t>
  </si>
  <si>
    <t>https://cf.geekdo-images.com/T5JiWnoOENaK_hIvJlXqlw__original/img/Vq96_yzxc_yJllCr5CXelkbTAfk=/0x0/filters:format(jpeg)/pic5630280.jpg</t>
  </si>
  <si>
    <t>Fire Spider Egg Hunt: An Encounter in Tletepec</t>
  </si>
  <si>
    <t>https://cf.geekdo-images.com/RWAmel0-2_PwQAmqL-c8Hw__small/img/WSu1wvTSKR-BWkDp7a80aqb-bZ0=/fit-in/200x150/filters:strip_icc()/pic7617676.jpg</t>
  </si>
  <si>
    <t>https://cf.geekdo-images.com/RWAmel0-2_PwQAmqL-c8Hw__original/img/judhAozEmUnemHBGf2egKmkx8qE=/0x0/filters:format(jpeg)/pic7617676.jpg</t>
  </si>
  <si>
    <t>The Castles of Burgundy</t>
  </si>
  <si>
    <t>https://cf.geekdo-images.com/sH2YTQ10dHj1ibfS-KKtGA__small/img/f5zFXdTcH9RNY0iMNBppd8D-_r0=/fit-in/200x150/filters:strip_icc()/pic8745814.jpg</t>
  </si>
  <si>
    <t>https://cf.geekdo-images.com/sH2YTQ10dHj1ibfS-KKtGA__original/img/L_gsMsuhbAe0kyq1QLAmyeKOeSs=/0x0/filters:format(jpeg)/pic8745814.jpg</t>
  </si>
  <si>
    <t>The City of Dreams</t>
  </si>
  <si>
    <t>https://cf.geekdo-images.com/EgWjUvhep-F4JMmHrVMtkQ__small/img/Z_AYOo_okO_9yWy8sut-Q3jbhAo=/fit-in/200x150/filters:strip_icc()/pic6629961.png</t>
  </si>
  <si>
    <t>https://cf.geekdo-images.com/EgWjUvhep-F4JMmHrVMtkQ__original/img/dzxZAMUo_FasssR7Xm_xsrACnjg=/0x0/filters:format(png)/pic6629961.png</t>
  </si>
  <si>
    <t>Rising Sun</t>
  </si>
  <si>
    <t>https://cf.geekdo-images.com/iwevA6XmiNLHn1QnGUucqw__small/img/UNKv6MWzJUAwhhP7-ng6HoinRa8=/fit-in/200x150/filters:strip_icc()/pic3880340.jpg</t>
  </si>
  <si>
    <t>https://cf.geekdo-images.com/iwevA6XmiNLHn1QnGUucqw__original/img/pKJ1XyLN4hvHim5eRj2VJHijv1E=/0x0/filters:format(jpeg)/pic3880340.jpg</t>
  </si>
  <si>
    <t>Between Two Cities: Seating Randomizer card 16</t>
  </si>
  <si>
    <t>https://cf.geekdo-images.com/atsHZSjLl-xgtdo_1uYJ-Q__small/img/elAw_Zdbw_EjepCeoWZVk5dqvH4=/fit-in/200x150/filters:strip_icc()/pic7303093.png</t>
  </si>
  <si>
    <t>https://cf.geekdo-images.com/atsHZSjLl-xgtdo_1uYJ-Q__original/img/js2PWhYoHNfEjQ-uUJoa3X-Kkjk=/0x0/filters:format(png)/pic7303093.png</t>
  </si>
  <si>
    <t>Imperium Battle</t>
  </si>
  <si>
    <t>https://cf.geekdo-images.com/u_WHCwYlgsqXNjM5AoVa2g__small/img/SuwIEf5TC8hKSlJPKvNDr3_YLww=/fit-in/200x150/filters:strip_icc()/pic7172871.jpg</t>
  </si>
  <si>
    <t>https://cf.geekdo-images.com/u_WHCwYlgsqXNjM5AoVa2g__original/img/TXEc-jvUsZf7WBIaglsRWB5kcg8=/0x0/filters:format(jpeg)/pic7172871.jpg</t>
  </si>
  <si>
    <t>War Game • Card Game</t>
  </si>
  <si>
    <t>7 Wonders: Leaders</t>
  </si>
  <si>
    <t>https://cf.geekdo-images.com/S8YmOOnFFI58OZ3bBM2A7w__small/img/CYxYfPhv5keaEOP1Q7JC3R3WxYk=/fit-in/200x150/filters:strip_icc()/pic1046319.jpg</t>
  </si>
  <si>
    <t>https://cf.geekdo-images.com/S8YmOOnFFI58OZ3bBM2A7w__original/img/t7h4GAsqZsTFnwJp7NgXR54iyUM=/0x0/filters:format(jpeg)/pic1046319.jpg</t>
  </si>
  <si>
    <t>2.2751</t>
  </si>
  <si>
    <t>Strategy • Expansion for Base-game</t>
  </si>
  <si>
    <t>Ticket to Ride: Nordic Countries</t>
  </si>
  <si>
    <t>https://cf.geekdo-images.com/bCdjNIu-O_SzVCfMLZY_KQ__small/img/YYhnkc5JxY3qmg-_2w_Tb2rMeXE=/fit-in/200x150/filters:strip_icc()/pic7634498.png</t>
  </si>
  <si>
    <t>https://cf.geekdo-images.com/bCdjNIu-O_SzVCfMLZY_KQ__original/img/GhYRV-yJmYEiTaZsZcnEA04YucA=/0x0/filters:format(png)/pic7634498.png</t>
  </si>
  <si>
    <t>Pandemic Legacy: Season 1</t>
  </si>
  <si>
    <t>https://cf.geekdo-images.com/-Qer2BBPG7qGGDu6KcVDIw__small/img/NQQcjS31TO0DE246N9rpt0hd9eo=/fit-in/200x150/filters:strip_icc()/pic2452831.png</t>
  </si>
  <si>
    <t>https://cf.geekdo-images.com/-Qer2BBPG7qGGDu6KcVDIw__original/img/PlzAH7swN1nsFxOXbfUvE3TkE5w=/0x0/filters:format(png)/pic2452831.png</t>
  </si>
  <si>
    <t>Cartagena</t>
  </si>
  <si>
    <t>https://cf.geekdo-images.com/e4QUk0ycODuPA7sLoKv4sQ__small/img/zk6iF4GIIObaxfv7-TuEpS9W59Y=/fit-in/200x150/filters:strip_icc()/pic1889500.jpg</t>
  </si>
  <si>
    <t>https://cf.geekdo-images.com/e4QUk0ycODuPA7sLoKv4sQ__original/img/Y7CQ0qekCkOjg3fsQ_9xMkHcGyY=/0x0/filters:format(jpeg)/pic1889500.jpg</t>
  </si>
  <si>
    <t>1.5992</t>
  </si>
  <si>
    <t>The King's Dilemma</t>
  </si>
  <si>
    <t>https://cf.geekdo-images.com/FJlTdSMkK5hMNtCympJFmg__small/img/WqPUfQOfiIe5FnBXz-EAavw5jCs=/fit-in/200x150/filters:strip_icc()/pic5429837.jpg</t>
  </si>
  <si>
    <t>https://cf.geekdo-images.com/FJlTdSMkK5hMNtCympJFmg__original/img/pr_jKPa74JjBBm30Mo9Uj9Jq1-w=/0x0/filters:format(jpeg)/pic5429837.jpg</t>
  </si>
  <si>
    <t>2.2471</t>
  </si>
  <si>
    <t>Eldritch Horror: Folded Space Insert</t>
  </si>
  <si>
    <t>https://cf.geekdo-images.com/iME17X_ACayj8TOb7ao9Lg__small/img/tujQH_BR40rvvb0HXcMAutdgVvU=/fit-in/200x150/filters:strip_icc()/pic4472880.jpg</t>
  </si>
  <si>
    <t>https://cf.geekdo-images.com/iME17X_ACayj8TOb7ao9Lg__original/img/0IbJZLqB2VQmnF6hqFfq9JkpafM=/0x0/filters:format(jpeg)/pic4472880.jpg</t>
  </si>
  <si>
    <t>8.2</t>
  </si>
  <si>
    <t>Världsregeringen: Valfläsk</t>
  </si>
  <si>
    <t>Scythe: Invaders from Afar</t>
  </si>
  <si>
    <t>https://cf.geekdo-images.com/gfT_6H4P9wdNQQ2KMU9rHg__small/img/qIGTlYnsBqH70p8E_l9nZ837TPM=/fit-in/200x150/filters:strip_icc()/pic3037396.jpg</t>
  </si>
  <si>
    <t>https://cf.geekdo-images.com/gfT_6H4P9wdNQQ2KMU9rHg__original/img/Ar4fApbUiiDOjzQgpnQw6QOgvyw=/0x0/filters:format(jpeg)/pic3037396.jpg</t>
  </si>
  <si>
    <t>140</t>
  </si>
  <si>
    <t>Strategy • Economic</t>
  </si>
  <si>
    <t>Root: The Riverfolk Expansion</t>
  </si>
  <si>
    <t>https://cf.geekdo-images.com/durhzLYyIypxg7CuVYe82Q__small/img/VianPUKU3XkBGeiqRm6x2IyeMGA=/fit-in/200x150/filters:strip_icc()/pic4252654.jpg</t>
  </si>
  <si>
    <t>https://cf.geekdo-images.com/durhzLYyIypxg7CuVYe82Q__original/img/xrLTlVUWtteTsoXmYLM2KM190DE=/0x0/filters:format(jpeg)/pic4252654.jpg</t>
  </si>
  <si>
    <t>War Game • Animals</t>
  </si>
  <si>
    <t>Betrayal Legacy</t>
  </si>
  <si>
    <t>https://cf.geekdo-images.com/F4-UGFUM3FfVLWsgBgpFLQ__small/img/qaqVSOIHvE3mPWEgX_lP7e-6yM0=/fit-in/200x150/filters:strip_icc()/pic4314964.jpg</t>
  </si>
  <si>
    <t>https://cf.geekdo-images.com/F4-UGFUM3FfVLWsgBgpFLQ__original/img/Deoe1xN_faxfkaGFNaG-7l4WPvI=/0x0/filters:format(jpeg)/pic4314964.jpg</t>
  </si>
  <si>
    <t>2.8977</t>
  </si>
  <si>
    <t>https://cf.geekdo-images.com/42iW4E-vOumFXRQAiSf-GA__small/img/lxwVwqIO1RkDyyykSDFnpmwbgyI=/fit-in/200x150/filters:strip_icc()/pic3239104.jpg</t>
  </si>
  <si>
    <t>https://cf.geekdo-images.com/42iW4E-vOumFXRQAiSf-GA__original/img/ochY5pK4sq4vtzkka0OPRwsGLOE=/0x0/filters:format(jpeg)/pic3239104.jpg</t>
  </si>
  <si>
    <t>566</t>
  </si>
  <si>
    <t>Dominion: Seaside</t>
  </si>
  <si>
    <t>https://cf.geekdo-images.com/n1_bOankhLYghTFscRAG8A__small/img/0MteLi-LAm8AwqbIzj_GD7gmRS4=/fit-in/200x150/filters:strip_icc()/pic543471.jpg</t>
  </si>
  <si>
    <t>https://cf.geekdo-images.com/n1_bOankhLYghTFscRAG8A__original/img/Ubjei_-JstZdPfaj542hkxeoHDk=/0x0/filters:format(jpeg)/pic543471.jpg</t>
  </si>
  <si>
    <t>Strategy • Card Game</t>
  </si>
  <si>
    <t>Race for the Galaxy: The Gathering Storm</t>
  </si>
  <si>
    <t>https://cf.geekdo-images.com/UHK2ry5-IhSr2cv4DP3JkQ__small/img/x5hUrvtJ0ttO3JtHHZoXs8ucMj0=/fit-in/200x150/filters:strip_icc()/pic376993.jpg</t>
  </si>
  <si>
    <t>https://cf.geekdo-images.com/UHK2ry5-IhSr2cv4DP3JkQ__original/img/93zCo6TI4WrXkj3qB2kQLFOlfDA=/0x0/filters:format(jpeg)/pic376993.jpg</t>
  </si>
  <si>
    <t>Viscounts of the West Kingdom</t>
  </si>
  <si>
    <t>https://cf.geekdo-images.com/kMgSC_kRlJWt3KLj5y0BxQ__small/img/2uNYQn2vHuNGrx5-dxc1h7Mh7Do=/fit-in/200x150/filters:strip_icc()/pic5230695.png</t>
  </si>
  <si>
    <t>https://cf.geekdo-images.com/kMgSC_kRlJWt3KLj5y0BxQ__original/img/t9ccf6x3PQiL5Cqn4-mePKUNC-E=/0x0/filters:format(png)/pic5230695.png</t>
  </si>
  <si>
    <t>Winter Kingdom</t>
  </si>
  <si>
    <t>https://cf.geekdo-images.com/TSuYOT_8INwrGIUe7gymVw__small/img/LM3bJ6dbyCknWWn3SCQx4OkJhaU=/fit-in/200x150/filters:strip_icc()/pic5309968.jpg</t>
  </si>
  <si>
    <t>https://cf.geekdo-images.com/TSuYOT_8INwrGIUe7gymVw__original/img/f17bXdt55ORk0mJX_2EMrUW7-Po=/0x0/filters:format(jpeg)/pic5309968.jpg</t>
  </si>
  <si>
    <t>Ticket to Ride</t>
  </si>
  <si>
    <t>https://cf.geekdo-images.com/kdWYkW-7AqG63HhqPL6ekA__small/img/5G46jv8MFh_BfX67iMSouTMhKxc=/fit-in/200x150/filters:strip_icc()/pic8937637.jpg</t>
  </si>
  <si>
    <t>https://cf.geekdo-images.com/kdWYkW-7AqG63HhqPL6ekA__original/img/rWF8r4JXXCQQ7QhiWHhmT-rQ3Pc=/0x0/filters:format(jpeg)/pic8937637.jpg</t>
  </si>
  <si>
    <t>https://cf.geekdo-images.com/VrNrk7XVU1hN0j1ZFhjcjw__small/img/6XPO0XNGGw3V77NjWR0K7Y33fqc=/fit-in/200x150/filters:strip_icc()/pic4934938.jpg</t>
  </si>
  <si>
    <t>https://cf.geekdo-images.com/VrNrk7XVU1hN0j1ZFhjcjw__original/img/IYxnn0KV56lDy18_0e23DSLcMso=/0x0/filters:format(jpeg)/pic4934938.jpg</t>
  </si>
  <si>
    <t>Strategy • Dice</t>
  </si>
  <si>
    <t>Puerto Rico</t>
  </si>
  <si>
    <t>https://cf.geekdo-images.com/OA0K6zAeAHGjx8s8-H5P0A__small/img/AdExcsAZuRn4V9ozAhS_waprgNU=/fit-in/200x150/filters:strip_icc()/pic5657345.jpg</t>
  </si>
  <si>
    <t>https://cf.geekdo-images.com/OA0K6zAeAHGjx8s8-H5P0A__original/img/NA8MZeacPkv1dm9dAwlbspjOb4w=/0x0/filters:format(jpeg)/pic5657345.jpg</t>
  </si>
  <si>
    <t>3.0227</t>
  </si>
  <si>
    <t>Strategy • City Building</t>
  </si>
  <si>
    <t>War of the Ring: Second Edition</t>
  </si>
  <si>
    <t>https://cf.geekdo-images.com/ImPgGag98W6gpV1KV812aA__small/img/X-lBBdG4uO6LT0y1vXxCN4jdR4M=/fit-in/200x150/filters:strip_icc()/pic1215633.jpg</t>
  </si>
  <si>
    <t>https://cf.geekdo-images.com/ImPgGag98W6gpV1KV812aA__original/img/38jB7fN07DwlrGKYAf-J0vsNdgs=/0x0/filters:format(jpeg)/pic1215633.jpg</t>
  </si>
  <si>
    <t>War Game • Thematic</t>
  </si>
  <si>
    <t>Star Wars: Rebellion</t>
  </si>
  <si>
    <t>https://cf.geekdo-images.com/7SrPNGBKg9IIsP4UQpOi8g__small/img/gAxzddRVQiRdjZHYFUZ2xc5Jlbw=/fit-in/200x150/filters:strip_icc()/pic4325841.jpg</t>
  </si>
  <si>
    <t>https://cf.geekdo-images.com/7SrPNGBKg9IIsP4UQpOi8g__original/img/GKueTbkCk2Ramf6ai8mDj-BP6cI=/0x0/filters:format(jpeg)/pic4325841.jpg</t>
  </si>
  <si>
    <t>Gaia Project</t>
  </si>
  <si>
    <t>https://cf.geekdo-images.com/hGWFm3hbMlCDsfCsauOQ4g__small/img/NNG7Ijyx4evp5gcVReis9i0koas=/fit-in/200x150/filters:strip_icc()/pic5375625.png</t>
  </si>
  <si>
    <t>https://cf.geekdo-images.com/hGWFm3hbMlCDsfCsauOQ4g__original/img/tjlflQtUPFiTpLpwk1NCVCS29Ic=/0x0/filters:format(png)/pic5375625.png</t>
  </si>
  <si>
    <t>Dominion</t>
  </si>
  <si>
    <t>https://cf.geekdo-images.com/j6iQpZ4XkemZP07HNCODBA__small/img/B2u2ghwlmI_qsUtCwuvcbnBcIqU=/fit-in/200x150/filters:strip_icc()/pic394356.jpg</t>
  </si>
  <si>
    <t>https://cf.geekdo-images.com/j6iQpZ4XkemZP07HNCODBA__original/img/96COuakNiLRrjDLc1sM4Zxsw4WE=/0x0/filters:format(jpeg)/pic394356.jpg</t>
  </si>
  <si>
    <t>141</t>
  </si>
  <si>
    <t>Blood Rage</t>
  </si>
  <si>
    <t>https://cf.geekdo-images.com/HkZSJfQnZ3EpS214xtuplg__small/img/NLhVdU8xazrgS5dA6nVCYmN2DNI=/fit-in/200x150/filters:strip_icc()/pic2439223.jpg</t>
  </si>
  <si>
    <t>https://cf.geekdo-images.com/HkZSJfQnZ3EpS214xtuplg__original/img/Myy6IPDJDzLoPdXrPXVZcddBQoQ=/0x0/filters:format(jpeg)/pic2439223.jpg</t>
  </si>
  <si>
    <t>Concordia</t>
  </si>
  <si>
    <t>https://cf.geekdo-images.com/CzwSm8i7tkLz6cBnrILZBg__small/img/ESPSltYYSFK-aJw6jOTdQrJGpOc=/fit-in/200x150/filters:strip_icc()/pic3453267.jpg</t>
  </si>
  <si>
    <t>https://cf.geekdo-images.com/CzwSm8i7tkLz6cBnrILZBg__original/img/BhJ3sB3uk-eSdR1iW4EP3cu0Wi0=/0x0/filters:format(jpeg)/pic3453267.jpg</t>
  </si>
  <si>
    <t>26</t>
  </si>
  <si>
    <t>Agricola (Revised Edition)</t>
  </si>
  <si>
    <t>https://cf.geekdo-images.com/YCGWJMFwOI5efji2RJ2mSw__small/img/h_Rp2XYqaNElM2hrYxUSzMxRRgM=/fit-in/200x150/filters:strip_icc()/pic8093340.jpg</t>
  </si>
  <si>
    <t>https://cf.geekdo-images.com/YCGWJMFwOI5efji2RJ2mSw__original/img/jC_He46LcIcKWU-kSwkYdr9Z45E=/0x0/filters:format(jpeg)/pic8093340.jpg</t>
  </si>
  <si>
    <t>83</t>
  </si>
  <si>
    <t>Cosmic Encounter</t>
  </si>
  <si>
    <t>https://cf.geekdo-images.com/S8cE-Ld7XP5sVz-upKJ-Bg__small/img/gE--xqnuor4bft2J361zxJJGCjM=/fit-in/200x150/filters:strip_icc()/pic1521633.jpg</t>
  </si>
  <si>
    <t>https://cf.geekdo-images.com/S8cE-Ld7XP5sVz-upKJ-Bg__original/img/c4ZrfOtpp6tDHLyMsKecc2ne370=/0x0/filters:format(jpeg)/pic1521633.jpg</t>
  </si>
  <si>
    <t>2.5824</t>
  </si>
  <si>
    <t>217</t>
  </si>
  <si>
    <t>On Mars</t>
  </si>
  <si>
    <t>https://cf.geekdo-images.com/Nm0Iw8NoiM9V8IsifimGBw__small/img/4GFbhkEWyIublXmikE2Tep6wSIQ=/fit-in/200x150/filters:strip_icc()/pic4357658.jpg</t>
  </si>
  <si>
    <t>https://cf.geekdo-images.com/Nm0Iw8NoiM9V8IsifimGBw__original/img/GNjjsgxq7wYO9pSIteDJe6Sxt00=/0x0/filters:format(jpeg)/pic4357658.jpg</t>
  </si>
  <si>
    <t>55</t>
  </si>
  <si>
    <t>Pax Pamir: Second Edition</t>
  </si>
  <si>
    <t>https://cf.geekdo-images.com/oSM_AuKYfGIwOtKbVEsoVg__small/img/NyoufH5YBFCh1rKy4uy76bR4ITk=/fit-in/200x150/filters:strip_icc()/pic4503733.png</t>
  </si>
  <si>
    <t>https://cf.geekdo-images.com/oSM_AuKYfGIwOtKbVEsoVg__original/img/7DlaMCmuoJzm9AzelmStYIDgutI=/0x0/filters:format(png)/pic4503733.png</t>
  </si>
  <si>
    <t>51</t>
  </si>
  <si>
    <t>Battlestar Galactica: The Board Game</t>
  </si>
  <si>
    <t>https://cf.geekdo-images.com/5Q2w2rFJiFI_uV89KP6ECg__small/img/s1BljxEdoxQ1zGYiw05Qa9rg9hI=/fit-in/200x150/filters:strip_icc()/pic354500.jpg</t>
  </si>
  <si>
    <t>https://cf.geekdo-images.com/5Q2w2rFJiFI_uV89KP6ECg__original/img/MYuRAKLRAGlIQTph2XKWjzqT7sQ=/0x0/filters:format(jpeg)/pic354500.jpg</t>
  </si>
  <si>
    <t>3.2507</t>
  </si>
  <si>
    <t>118</t>
  </si>
  <si>
    <t>Eclipse: Second Dawn for the Galaxy</t>
  </si>
  <si>
    <t>https://cf.geekdo-images.com/Oh3kHw6lweg6ru71Q16h2Q__small/img/e9XZdQe1ZcPpaq4Gy31OoWBB_V0=/fit-in/200x150/filters:strip_icc()/pic5235277.jpg</t>
  </si>
  <si>
    <t>https://cf.geekdo-images.com/Oh3kHw6lweg6ru71Q16h2Q__original/img/yW7d4RNfU1ndISCaPlfGYUyxnRU=/0x0/filters:format(jpeg)/pic5235277.jpg</t>
  </si>
  <si>
    <t>Orléans</t>
  </si>
  <si>
    <t>https://cf.geekdo-images.com/nagl1li6kYt9elV9jbfVQw__small/img/ykeqdM_Naz4IiqOgyB1arzteOiU=/fit-in/200x150/filters:strip_icc()/pic6228507.jpg</t>
  </si>
  <si>
    <t>https://cf.geekdo-images.com/nagl1li6kYt9elV9jbfVQw__original/img/Qn6vlBaTUaHNFsqohIUjd0EA4z0=/0x0/filters:format(jpeg)/pic6228507.jpg</t>
  </si>
  <si>
    <t>3.0137</t>
  </si>
  <si>
    <t>38</t>
  </si>
  <si>
    <t>Istanbul</t>
  </si>
  <si>
    <t>https://cf.geekdo-images.com/PHH9Mreen2sBcxV6ZsE3ew__small/img/Vzpg3sdeAbCy0IxSAoh1aH9nvDE=/fit-in/200x150/filters:strip_icc()/pic1885326.jpg</t>
  </si>
  <si>
    <t>https://cf.geekdo-images.com/PHH9Mreen2sBcxV6ZsE3ew__original/img/pHIJibqf-DmlOQD3CfT_rAjGmc0=/0x0/filters:format(jpeg)/pic1885326.jpg</t>
  </si>
  <si>
    <t>7.53821</t>
  </si>
  <si>
    <t>187</t>
  </si>
  <si>
    <t>Tigris &amp; Euphrates</t>
  </si>
  <si>
    <t>https://cf.geekdo-images.com/soAzNVWglCdVBacNjoCTJw__small/img/0UPEyOaSFyqEH1ikrSig_218RQ0=/fit-in/200x150/filters:strip_icc()/pic2338267.jpg</t>
  </si>
  <si>
    <t>https://cf.geekdo-images.com/soAzNVWglCdVBacNjoCTJw__original/img/HClVZy9phFP-NPte4UBQpclsaHU=/0x0/filters:format(jpeg)/pic2338267.jpg</t>
  </si>
  <si>
    <t>127</t>
  </si>
  <si>
    <t>Telestrations: 12 Player Party Pack</t>
  </si>
  <si>
    <t>https://cf.geekdo-images.com/nIbj81W8PSOr4Ei4XgubRg__small/img/Sd6GtpueVjrhJehHkwBuZW65LxY=/fit-in/200x150/filters:strip_icc()/pic4740642.jpg</t>
  </si>
  <si>
    <t>https://cf.geekdo-images.com/nIbj81W8PSOr4Ei4XgubRg__original/img/V1GXT-bEO1maRFu9IsBveYr5M_0=/0x0/filters:format(jpeg)/pic4740642.jpg</t>
  </si>
  <si>
    <t>1.0588</t>
  </si>
  <si>
    <t>730</t>
  </si>
  <si>
    <t>Ca$h 'n Gun$</t>
  </si>
  <si>
    <t>https://cf.geekdo-images.com/_UpTZr1itCcHdnnbuTUnQQ__small/img/2gdcEzRm31_zsb2WqS65lHjsGas=/fit-in/200x150/filters:strip_icc()/pic87523.jpg</t>
  </si>
  <si>
    <t>https://cf.geekdo-images.com/_UpTZr1itCcHdnnbuTUnQQ__original/img/M1LCTvcRyUZPGk3tJge3MzKo9Hw=/0x0/filters:format(jpeg)/pic87523.jpg</t>
  </si>
  <si>
    <t>Galaxy Trucker (Second Edition)</t>
  </si>
  <si>
    <t>https://cf.geekdo-images.com/1gQABuftAVgk1qshkMyDEw__small/img/Ovni6sWuvyfj9LWn-hnHzpCELF8=/fit-in/200x150/filters:strip_icc()/pic6125184.jpg</t>
  </si>
  <si>
    <t>https://cf.geekdo-images.com/1gQABuftAVgk1qshkMyDEw__original/img/7GY1ZXeZkWkWki5QLAbfdX-EGp0=/0x0/filters:format(jpeg)/pic6125184.jpg</t>
  </si>
  <si>
    <t>2.2783</t>
  </si>
  <si>
    <t>638</t>
  </si>
  <si>
    <t>Betrayal at House on the Hill: 3rd Edition</t>
  </si>
  <si>
    <t>https://cf.geekdo-images.com/nLDGtbwdSC0eYKffjYzrnQ__small/img/8F46R57i735WAI6ZjCppWb73bT0=/fit-in/200x150/filters:strip_icc()/pic6917219.jpg</t>
  </si>
  <si>
    <t>https://cf.geekdo-images.com/nLDGtbwdSC0eYKffjYzrnQ__original/img/KlTmf1wl3PsFlPtQek6BfjUOC4A=/0x0/filters:format(jpeg)/pic6917219.jpg</t>
  </si>
  <si>
    <t>1347</t>
  </si>
  <si>
    <t>Unmatched: Battle of Legends, Volume One</t>
  </si>
  <si>
    <t>https://cf.geekdo-images.com/4AlLbprNustr9G7pbkGRuw__small/img/nVkIL7RgCkFpBuxbJ3BfOxIJscU=/fit-in/200x150/filters:strip_icc()/pic4621579.jpg</t>
  </si>
  <si>
    <t>https://cf.geekdo-images.com/4AlLbprNustr9G7pbkGRuw__original/img/d7Z89SEv9T_HqPaYEomeKcFmgeA=/0x0/filters:format(jpeg)/pic4621579.jpg</t>
  </si>
  <si>
    <t>Underwater Cities</t>
  </si>
  <si>
    <t>https://cf.geekdo-images.com/PwOwTVHovJAUQgghnGqCOg__small/img/1gGYiRBx7W4wyLy826EHGTdjsKA=/fit-in/200x150/filters:strip_icc()/pic4837710.png</t>
  </si>
  <si>
    <t>https://cf.geekdo-images.com/PwOwTVHovJAUQgghnGqCOg__original/img/1WL5-4DZi0hX76HEgsLIYRRaIh4=/0x0/filters:format(png)/pic4837710.png</t>
  </si>
  <si>
    <t>Keyflower</t>
  </si>
  <si>
    <t>https://cf.geekdo-images.com/HbfgxDJZQnNEZQKvpmJxQg__small/img/5t1MtJEDdhSgtyJlmu3Hu1qR_ZQ=/fit-in/200x150/filters:strip_icc()/pic2278942.jpg</t>
  </si>
  <si>
    <t>https://cf.geekdo-images.com/HbfgxDJZQnNEZQKvpmJxQg__original/img/HsrtfanhKfXX07zNEm-xZpSbxyY=/0x0/filters:format(jpeg)/pic2278942.jpg</t>
  </si>
  <si>
    <t>Colt Express</t>
  </si>
  <si>
    <t>https://cf.geekdo-images.com/2HKX0QANk_DY7CIVK5O5fQ__small/img/zcjkqn_HYDIIyVAZaAxJIkurQRg=/fit-in/200x150/filters:strip_icc()/pic2869710.jpg</t>
  </si>
  <si>
    <t>https://cf.geekdo-images.com/2HKX0QANk_DY7CIVK5O5fQ__original/img/okv8rhQupsrXsEJsovQ_BJV5hKA=/0x0/filters:format(jpeg)/pic2869710.jpg</t>
  </si>
  <si>
    <t>543</t>
  </si>
  <si>
    <t>Pictures</t>
  </si>
  <si>
    <t>https://cf.geekdo-images.com/pR7dcr6bs5TIOHOhKIoe_A__small/img/YYa8rvA3RgJS6aT-HT2NRegGmuA=/fit-in/200x150/filters:strip_icc()/pic4946885.jpg</t>
  </si>
  <si>
    <t>https://cf.geekdo-images.com/pR7dcr6bs5TIOHOhKIoe_A__original/img/YGaDDOA-Jtr9eS60TNUx51J36Ds=/0x0/filters:format(jpeg)/pic4946885.jpg</t>
  </si>
  <si>
    <t>1.037</t>
  </si>
  <si>
    <t>That's Not a Hat</t>
  </si>
  <si>
    <t>https://cf.geekdo-images.com/y_8E6IhpFg5z-_9KHdQYYQ__small/img/8FaQmPggNpG2i2zIXe5-X8bGt30=/fit-in/200x150/filters:strip_icc()/pic7386321.jpg</t>
  </si>
  <si>
    <t>https://cf.geekdo-images.com/y_8E6IhpFg5z-_9KHdQYYQ__original/img/nDlt2BB6wA2avRDDO8MKgP0bjW4=/0x0/filters:format(jpeg)/pic7386321.jpg</t>
  </si>
  <si>
    <t>Ticket to Ride: USA 1910</t>
  </si>
  <si>
    <t>https://cf.geekdo-images.com/JMC_eP625nO1t_uI9HoQ7g__small/img/3_K2lD007FGiRNsD7qvhOXO1roM=/fit-in/200x150/filters:strip_icc()/pic144599.jpg</t>
  </si>
  <si>
    <t>https://cf.geekdo-images.com/JMC_eP625nO1t_uI9HoQ7g__original/img/j7HTQ3Ijy8mr9kYsY9nZ5WLt26I=/0x0/filters:format(jpeg)/pic144599.jpg</t>
  </si>
  <si>
    <t>1.8901</t>
  </si>
  <si>
    <t>King of Tokyo: Monster Box</t>
  </si>
  <si>
    <t>https://cf.geekdo-images.com/wXdDbKqKdDpB4pBCWLToQw__small/img/dHHqIM1HMBtDPpcPEYOdgpOijzw=/fit-in/200x150/filters:strip_icc()/pic6125357.jpg</t>
  </si>
  <si>
    <t>https://cf.geekdo-images.com/wXdDbKqKdDpB4pBCWLToQw__original/img/j4AluVIz03ad7ggpRlBtfrK-NfE=/0x0/filters:format(jpeg)/pic6125357.jpg</t>
  </si>
  <si>
    <t>Forbidden Desert</t>
  </si>
  <si>
    <t>https://cf.geekdo-images.com/OU26qQZoHJodxSFKiR5IzA__small/img/eDUA8LpBqRjlzJWJYIsIenpF_rA=/fit-in/200x150/filters:strip_icc()/pic1528722.jpg</t>
  </si>
  <si>
    <t>https://cf.geekdo-images.com/OU26qQZoHJodxSFKiR5IzA__original/img/8smpJMuHROyrbu8FP-EOLXjEi0w=/0x0/filters:format(jpeg)/pic1528722.jpg</t>
  </si>
  <si>
    <t>2.0409</t>
  </si>
  <si>
    <t>Iberia</t>
  </si>
  <si>
    <t>https://cf.geekdo-images.com/yAhmRtAw66-IOg4C22m9bA__small/img/OQJdm7fuUH8qipCt2xiXXTmihoo=/fit-in/200x150/filters:strip_icc()/pic6834208.jpg</t>
  </si>
  <si>
    <t>https://cf.geekdo-images.com/yAhmRtAw66-IOg4C22m9bA__original/img/5-_AFNTEq5mcUgw5iddXTyIz4Ho=/0x0/filters:format(jpeg)/pic6834208.jpg</t>
  </si>
  <si>
    <t>2.5955</t>
  </si>
  <si>
    <t>156</t>
  </si>
  <si>
    <t>The Quacks of Quedlinburg: The Alchemists</t>
  </si>
  <si>
    <t>https://cf.geekdo-images.com/Tm5V-TBrl6Clb__VHGNkyA__small/img/sWSh6nPkDHPY8eUXvVHu35TQTL0=/fit-in/200x150/filters:strip_icc()/pic6137107.png</t>
  </si>
  <si>
    <t>https://cf.geekdo-images.com/Tm5V-TBrl6Clb__VHGNkyA__original/img/jAYNY3CLQ4Y9Hkrfb8hpWsQpbX4=/0x0/filters:format(png)/pic6137107.png</t>
  </si>
  <si>
    <t>2.2973</t>
  </si>
  <si>
    <t>Trails</t>
  </si>
  <si>
    <t>https://cf.geekdo-images.com/alEgV88cpqFtaHAklI6lbw__small/img/Zjwu-ZXktck4EIrVDhMqjLsZmsQ=/fit-in/200x150/filters:strip_icc()/pic6214088.jpg</t>
  </si>
  <si>
    <t>https://cf.geekdo-images.com/alEgV88cpqFtaHAklI6lbw__original/img/5jdMrbjMlK3698GCyKWzWNxQsOo=/0x0/filters:format(jpeg)/pic6214088.jpg</t>
  </si>
  <si>
    <t>Trails of Tucana</t>
  </si>
  <si>
    <t>https://cf.geekdo-images.com/y8ifesXfHobUtIgnSuC0DA__small/img/y5rGQUFTGETcIg9HSfuGnHkD234=/fit-in/200x150/filters:strip_icc()/pic4860701.jpg</t>
  </si>
  <si>
    <t>https://cf.geekdo-images.com/y8ifesXfHobUtIgnSuC0DA__original/img/8fe6EzD9co2hkaqFDsxHeoMY5SA=/0x0/filters:format(jpeg)/pic4860701.jpg</t>
  </si>
  <si>
    <t>Kingdomino Origins</t>
  </si>
  <si>
    <t>https://cf.geekdo-images.com/MUM0pZVIb6ImCmuoE7g1tQ__small/img/MJ4SJNXXDXDzwqEriS59Uq8rc6E=/fit-in/200x150/filters:strip_icc()/pic6249158.jpg</t>
  </si>
  <si>
    <t>https://cf.geekdo-images.com/MUM0pZVIb6ImCmuoE7g1tQ__original/img/ccWNQSEMtjdW1_khIJaGzOHHSc0=/0x0/filters:format(jpeg)/pic6249158.jpg</t>
  </si>
  <si>
    <t>1.9118</t>
  </si>
  <si>
    <t>Turing Machine</t>
  </si>
  <si>
    <t>https://cf.geekdo-images.com/un5yundwtC6q1U9gWTY8Yw__small/img/I4QR01ZS6TTIHgW3UpdOYvePRxQ=/fit-in/200x150/filters:strip_icc()/pic6883492.png</t>
  </si>
  <si>
    <t>https://cf.geekdo-images.com/un5yundwtC6q1U9gWTY8Yw__original/img/wFqPVYmL1i9rc426afzYana7ZnE=/0x0/filters:format(png)/pic6883492.png</t>
  </si>
  <si>
    <t>316</t>
  </si>
  <si>
    <t>MicroMacro: Crime City – Full House</t>
  </si>
  <si>
    <t>https://cf.geekdo-images.com/bNuZIssobDbFYaLbgMofgw__small/img/VEB-DHKUWobYsUOFwuywHnsbF2k=/fit-in/200x150/filters:strip_icc()/pic6242068.jpg</t>
  </si>
  <si>
    <t>https://cf.geekdo-images.com/bNuZIssobDbFYaLbgMofgw__original/img/_UyVrUsVU_AZNO93QmcosKGs0TA=/0x0/filters:format(jpeg)/pic6242068.jpg</t>
  </si>
  <si>
    <t>MicroMacro: Crime City – All In</t>
  </si>
  <si>
    <t>Horrified: American Monsters</t>
  </si>
  <si>
    <t>https://cf.geekdo-images.com/ZEnq2aZr_CQDovhCV2wGuQ__small/img/lNt2WebfakzIqxVqNByylA1z2R0=/fit-in/200x150/filters:strip_icc()/pic6306248.jpg</t>
  </si>
  <si>
    <t>https://cf.geekdo-images.com/ZEnq2aZr_CQDovhCV2wGuQ__original/img/5iNjtlVcElNir9Rm82yXPSEoXhM=/0x0/filters:format(jpeg)/pic6306248.jpg</t>
  </si>
  <si>
    <t>The King Is Dead: Second Edition</t>
  </si>
  <si>
    <t>https://cf.geekdo-images.com/p8ATnANurMdieJUELqN3IA__small/img/Cf-tr8Vc6XGuB-sN_rZq65OSVDw=/fit-in/200x150/filters:strip_icc()/pic5680120.jpg</t>
  </si>
  <si>
    <t>https://cf.geekdo-images.com/p8ATnANurMdieJUELqN3IA__original/img/bnDn1undC8Pf6iAICKSv-4RaJXs=/0x0/filters:format(jpeg)/pic5680120.jpg</t>
  </si>
  <si>
    <t>https://www.boardgameoracle.com/en-NZ/boardgame/price/_UKhZ2la6d/ticket-to-ride</t>
  </si>
  <si>
    <t>https://www.boardgameoracle.com/en-NZ/boardgame/price/jeKZ9lqTMw/the-castles-of-burgundy</t>
  </si>
  <si>
    <t>https://www.boardgameoracle.com/en-NZ/boardgame/price/gxefZxSs9W/puerto-rico-1897</t>
  </si>
  <si>
    <t>https://www.boardgameoracle.com/en-NZ/boardgame/price/misY-ldXes/war-of-the-ring-second-edition</t>
  </si>
  <si>
    <t>https://www.boardgameoracle.com/en-NZ/boardgame/price/1ZNrBrjfLr/star-wars-rebellion</t>
  </si>
  <si>
    <t>https://www.boardgameoracle.com/en-NZ/boardgame/price/RAWR9o2JFh/gaia-project</t>
  </si>
  <si>
    <t>https://www.boardgameoracle.com/en-NZ/boardgame/price/-cTOHSJ_5M/dominion-second-edition</t>
  </si>
  <si>
    <t>https://www.boardgameoracle.com/en-NZ/boardgame/price/x5mxZxBV6L/blood-rage</t>
  </si>
  <si>
    <t>https://www.boardgameoracle.com/en-NZ/boardgame/price/lWFkM-ljpv/concordia</t>
  </si>
  <si>
    <t>https://www.boardgameoracle.com/en-NZ/boardgame/price/5TW4F3wR48/agricola-revised-edition</t>
  </si>
  <si>
    <t>https://www.boardgameoracle.com/en-NZ/boardgame/price/7lfjuWxWFm/cosmic-encounter</t>
  </si>
  <si>
    <t>https://www.boardgameoracle.com/en-NZ/boardgame/price/TooyG41PWz/one-night-ultimate-werewolf</t>
  </si>
  <si>
    <t>https://www.boardgameoracle.com/en-NZ/boardgame/price/vxakhYJ57p/on-mars</t>
  </si>
  <si>
    <t>https://www.boardgameoracle.com/en-NZ/boardgame/price/1CTW7LHTL6/pax-pamir-second-edition</t>
  </si>
  <si>
    <t>https://www.boardgameoracle.com/en-NZ/boardgame/price/WhfZXpvAqI/battlestar-galactica-the-board-game</t>
  </si>
  <si>
    <t>https://www.boardgameoracle.com/en-NZ/boardgame/price/gUuKCMgSeG/eclipse-second-dawn-for-the-galaxy</t>
  </si>
  <si>
    <t>https://www.boardgameoracle.com/en-NZ/boardgame/price/8M6UtDT0AK/sherlock-holmes-consulting-detective-the-thames-murders-and-other-cases</t>
  </si>
  <si>
    <t>https://www.boardgameoracle.com/en-NZ/boardgame/price/01S6no2BbD/orleans</t>
  </si>
  <si>
    <t>https://www.boardgameoracle.com/en-NZ/boardgame/price/DMDhmm1Mi0/istanbul-big-box</t>
  </si>
  <si>
    <t>https://www.boardgameoracle.com/en-NZ/boardgame/price/S1_aLFGmpD/tigris-and-euphrates</t>
  </si>
  <si>
    <t>https://www.boardgameoracle.com/en-NZ/boardgame/price/RBomFflAfO/hanabi</t>
  </si>
  <si>
    <t>https://www.boardgameoracle.com/en-NZ/boardgame/price/t0pfS4UdTX/telestrations-12-player-party-pack</t>
  </si>
  <si>
    <t>https://www.boardgameoracle.com/en-NZ/boardgame/price/scPQBy7__9/cadollarh-n-gundollar</t>
  </si>
  <si>
    <t>https://www.boardgameoracle.com/en-NZ/boardgame/price/xpbQrCbx0n/betrayal-at-house-on-the-hill-3rd-edition</t>
  </si>
  <si>
    <t>https://www.boardgameoracle.com/en-NZ/boardgame/price/JJw3RARt9a/unmatched-battle-of-legends-volume-one</t>
  </si>
  <si>
    <t>https://www.boardgameoracle.com/en-NZ/boardgame/price/OWShg7nOJv/underwater-cities</t>
  </si>
  <si>
    <t>https://www.boardgameoracle.com/en-NZ/boardgame/price/uc0NslVV_E/keyflower</t>
  </si>
  <si>
    <t>https://www.boardgameoracle.com/en-NZ/boardgame/price/NGSNbTBgZt/colt-express</t>
  </si>
  <si>
    <t>https://www.boardgameoracle.com/en-NZ/boardgame/price/vepmotxY2C/pictures</t>
  </si>
  <si>
    <t>https://www.boardgameoracle.com/en-NZ/boardgame/price/PxZUWaz1OR/thats-not-a-hat</t>
  </si>
  <si>
    <t>https://www.boardgameoracle.com/en-NZ/boardgame/price/Cw2yaxdWFM/ticket-to-ride-usa-1910</t>
  </si>
  <si>
    <t>https://www.boardgameoracle.com/en-NZ/boardgame/price/ranHtKnkO4/ticket-to-ride-nordic-countries</t>
  </si>
  <si>
    <t>https://www.boardgameoracle.com/en-NZ/boardgame/price/E5RrKP9shT/king-of-tokyo-monster-box</t>
  </si>
  <si>
    <t>https://www.boardgameoracle.com/en-NZ/boardgame/price/4uCJWXXEqg/forbidden-desert</t>
  </si>
  <si>
    <t>https://www.boardgameoracle.com/en-NZ/boardgame/price/zF8YUmX2XY/pandemic-iberia</t>
  </si>
  <si>
    <t>https://www.boardgameoracle.com/en-NZ/boardgame/price/ULt5jjJjHa/the-quacks-of-quedlinburg-the-alchemists</t>
  </si>
  <si>
    <t>https://www.boardgameoracle.com/en-NZ/boardgame/price/ymB8oJ6uyX/trails</t>
  </si>
  <si>
    <t>https://www.boardgameoracle.com/en-NZ/boardgame/price/PD3GmiWxgu/trails-of-tucana</t>
  </si>
  <si>
    <t>https://www.boardgameoracle.com/en-NZ/boardgame/price/wYtDbPBzMy/kingdomino-origins</t>
  </si>
  <si>
    <t>https://www.boardgameoracle.com/en-NZ/boardgame/price/Vpk2LfmVxG/turing-machine</t>
  </si>
  <si>
    <t>https://www.boardgameoracle.com/en-NZ/boardgame/price/xoC2flPYiv/micromacro-crime-city---full-house</t>
  </si>
  <si>
    <t>https://www.boardgameoracle.com/en-NZ/boardgame/price/7ozXTDruBu/micromacro-crime-city-all-in</t>
  </si>
  <si>
    <t>https://www.boardgameoracle.com/en-NZ/boardgame/price/C0TPscR9YS/horrified-american-monsters</t>
  </si>
  <si>
    <t>https://www.boardgameoracle.com/en-NZ/boardgame/price/kQFK-8kpZ_/the-king-is-dead-second-edition</t>
  </si>
  <si>
    <t>Arcs</t>
  </si>
  <si>
    <t>https://cf.geekdo-images.com/XWImAu_3RK61wbzcKboVdA__small/img/Ry-6KHwNgERWadyxs1X1_P3dMvY=/fit-in/200x150/filters:strip_icc()/pic8145530.png</t>
  </si>
  <si>
    <t>https://cf.geekdo-images.com/XWImAu_3RK61wbzcKboVdA__original/img/43ianMZOks7UHlZILx0VBRntOmM=/0x0/filters:format(png)/pic8145530.png</t>
  </si>
  <si>
    <t>Harmonies</t>
  </si>
  <si>
    <t>https://cf.geekdo-images.com/A_XP2_VN3ugyqPhezowB_w__small/img/ln5eKAzhse2PIHvWn7bu-jiW_uk=/fit-in/200x150/filters:strip_icc()/pic8026369.png</t>
  </si>
  <si>
    <t>https://cf.geekdo-images.com/A_XP2_VN3ugyqPhezowB_w__original/img/_Rv8lSr3fC1oDRkrQleQW2H2yCs=/0x0/filters:format(png)/pic8026369.png</t>
  </si>
  <si>
    <t>Daybreak</t>
  </si>
  <si>
    <t>https://cf.geekdo-images.com/YU8rm_FMnKHS2GPDFvLb6g__small/img/7Y2W9IVJ3_YmOQfaoZz8XVPoUM0=/fit-in/200x150/filters:strip_icc()/pic7068528.png</t>
  </si>
  <si>
    <t>https://cf.geekdo-images.com/YU8rm_FMnKHS2GPDFvLb6g__original/img/6umYavtw4Iw41gTtBZhNS7LrKIA=/0x0/filters:format(png)/pic7068528.png</t>
  </si>
  <si>
    <t>Finspan</t>
  </si>
  <si>
    <t>https://cf.geekdo-images.com/BBefMnVYBDS3EbJ9fPaC8A__small/img/Wo2snzBQJMaVXkFdYl-zXL8PrbA=/fit-in/200x150/filters:strip_icc()/pic8634453.jpg</t>
  </si>
  <si>
    <t>https://cf.geekdo-images.com/BBefMnVYBDS3EbJ9fPaC8A__original/img/E2VsUBa6HUU0QKlp4eQOsbP1wUo=/0x0/filters:format(jpeg)/pic8634453.jpg</t>
  </si>
  <si>
    <t>Agent Avenue</t>
  </si>
  <si>
    <t>https://cf.geekdo-images.com/qC5YwZANir1Cmg6d-1UUpQ__small/img/QFSJbQfLQNrItkY_bQEzn71qYZ4=/fit-in/200x150/filters:strip_icc()/pic8427963.png</t>
  </si>
  <si>
    <t>https://cf.geekdo-images.com/qC5YwZANir1Cmg6d-1UUpQ__original/img/26YgtJFY_7vKONVD87cHDb1pWRs=/0x0/filters:format(png)/pic8427963.png</t>
  </si>
  <si>
    <t>Castle Combo</t>
  </si>
  <si>
    <t>https://cf.geekdo-images.com/rGomBfj0FGrZM-w3h5HFWQ__small/img/DnptKBxT6l_W2B3jGXdnEDEkDM0=/fit-in/200x150/filters:strip_icc()/pic8250341.png</t>
  </si>
  <si>
    <t>https://cf.geekdo-images.com/rGomBfj0FGrZM-w3h5HFWQ__original/img/XtVFdYXLAxdGOjQOGCkrms-hLUU=/0x0/filters:format(png)/pic8250341.png</t>
  </si>
  <si>
    <t>1.7373</t>
  </si>
  <si>
    <t>Diamant</t>
  </si>
  <si>
    <t>https://cf.geekdo-images.com/G7gR2mJRPosZmGahXFKFXA__small/img/4qe4Eo9pvyKtw4W0E-iv7TV6aa8=/fit-in/200x150/filters:strip_icc()/pic7924444.jpg</t>
  </si>
  <si>
    <t>https://cf.geekdo-images.com/G7gR2mJRPosZmGahXFKFXA__original/img/mwD68OdF-9k-Jkd9dRY87Nt__qo=/0x0/filters:format(jpeg)/pic7924444.jpg</t>
  </si>
  <si>
    <t>883</t>
  </si>
  <si>
    <t>Barcelona</t>
  </si>
  <si>
    <t>https://cf.geekdo-images.com/clBx1kfB-8OpO86B2-vsgg__small/img/8w625ctGlolYNodQdbXJtyOC3wg=/fit-in/200x150/filters:strip_icc()/pic7442376.jpg</t>
  </si>
  <si>
    <t>https://cf.geekdo-images.com/clBx1kfB-8OpO86B2-vsgg__original/img/4Wmp2fgPbYKAfL4UC3QXSv9YATM=/0x0/filters:format(jpeg)/pic7442376.jpg</t>
  </si>
  <si>
    <t>Leviathan Wilds</t>
  </si>
  <si>
    <t>https://cf.geekdo-images.com/k_iHhr7ltGhj46u4oQ4YAQ__small/img/-YtdhfpOEJNDPIbJovPSjDMXgec=/fit-in/200x150/filters:strip_icc()/pic7976770.jpg</t>
  </si>
  <si>
    <t>https://cf.geekdo-images.com/k_iHhr7ltGhj46u4oQ4YAQ__original/img/qSlgK-1y9-AgtOAA86R9gt9XNaI=/0x0/filters:format(jpeg)/pic7976770.jpg</t>
  </si>
  <si>
    <t>Crossbows &amp; Catapults: Fortress War</t>
  </si>
  <si>
    <t>https://cf.geekdo-images.com/2xOF_W2d41poQaXbEMmudQ__small/img/sZhmLbaaMvhQt_aVmvMp9xnamZY=/fit-in/200x150/filters:strip_icc()/pic7547489.png</t>
  </si>
  <si>
    <t>https://cf.geekdo-images.com/2xOF_W2d41poQaXbEMmudQ__original/img/SSlYlFyAjpe_T8n4JC5G5F0xdQ0=/0x0/filters:format(png)/pic7547489.png</t>
  </si>
  <si>
    <t>The Architects of Amytis</t>
  </si>
  <si>
    <t>https://cf.geekdo-images.com/ct6lNMKPTwtW2jJvTGY4Vg__small/img/49reZoEnp4ieQWfVGxddHsdg9q0=/fit-in/200x150/filters:strip_icc()/pic8080491.png</t>
  </si>
  <si>
    <t>https://cf.geekdo-images.com/ct6lNMKPTwtW2jJvTGY4Vg__original/img/_N8pbMKaVDiVJ9n7dhebqmNvpbk=/0x0/filters:format(png)/pic8080491.png</t>
  </si>
  <si>
    <t>Life in Reterra</t>
  </si>
  <si>
    <t>https://cf.geekdo-images.com/PqNZhhwOlNmCZjWcYfDkCQ__small/img/YC22WTXsaxBFyjH13z4dwU3Gg50=/fit-in/200x150/filters:strip_icc()/pic8101744.jpg</t>
  </si>
  <si>
    <t>https://cf.geekdo-images.com/PqNZhhwOlNmCZjWcYfDkCQ__original/img/K0BXsIC3onylnu8cIr14dLS6Ma8=/0x0/filters:format(jpeg)/pic8101744.jpg</t>
  </si>
  <si>
    <t>Tile Laying</t>
  </si>
  <si>
    <t>Dungeons, Dice &amp; Danger</t>
  </si>
  <si>
    <t>https://cf.geekdo-images.com/vv4ZUP_R3RYNjrqa4yPUdA__small/img/QCH8KqAmY8p5emEfdaF9fyXv9Pk=/fit-in/200x150/filters:strip_icc()/pic6616164.jpg</t>
  </si>
  <si>
    <t>https://cf.geekdo-images.com/vv4ZUP_R3RYNjrqa4yPUdA__original/img/Rb0zyry1aNrPXCrAYFQG6qanTa4=/0x0/filters:format(jpeg)/pic6616164.jpg</t>
  </si>
  <si>
    <t>Captain Flip</t>
  </si>
  <si>
    <t>https://cf.geekdo-images.com/7vSkMR7exNsU7ZfRgJKodQ__small/img/SzzzJKDO1wvj9YWfCg-mOnjC_lQ=/fit-in/200x150/filters:strip_icc()/pic7784394.png</t>
  </si>
  <si>
    <t>https://cf.geekdo-images.com/7vSkMR7exNsU7ZfRgJKodQ__original/img/CEF2zr_yUhqZrc0NP6NnBoXGGPc=/0x0/filters:format(png)/pic7784394.png</t>
  </si>
  <si>
    <t>Kabuto Sumo</t>
  </si>
  <si>
    <t>https://cf.geekdo-images.com/fG4GxTHRYGasb0WYE-udJQ__small/img/VxiuAUI5idseMgx-yLPKgnsnlsY=/fit-in/200x150/filters:strip_icc()/pic6256515.jpg</t>
  </si>
  <si>
    <t>https://cf.geekdo-images.com/fG4GxTHRYGasb0WYE-udJQ__original/img/uenvywev5fgsuZZqCmMTDAY-MLQ=/0x0/filters:format(jpeg)/pic6256515.jpg</t>
  </si>
  <si>
    <t>Ancient Knowledge</t>
  </si>
  <si>
    <t>https://cf.geekdo-images.com/EDJ1Xynm6XjAKeG-q2B85A__small/img/kgmY0jqbsq14Glt--pyJ8shSZuY=/fit-in/200x150/filters:strip_icc()/pic7600216.jpg</t>
  </si>
  <si>
    <t>https://cf.geekdo-images.com/EDJ1Xynm6XjAKeG-q2B85A__original/img/fjmKvrqL1EfIvWltRy1vw49Jf58=/0x0/filters:format(jpeg)/pic7600216.jpg</t>
  </si>
  <si>
    <t>Festival</t>
  </si>
  <si>
    <t>https://cf.geekdo-images.com/zo7-bj1wFhNUm-tskoKGSw__small/img/iG6RcReTHyBT4Qpc9ktHbDfrD2s=/fit-in/200x150/filters:strip_icc()/pic8235599.jpg</t>
  </si>
  <si>
    <t>https://cf.geekdo-images.com/zo7-bj1wFhNUm-tskoKGSw__original/img/zmVllscV10ttdbWUBN1Sp2dVt-o=/0x0/filters:format(jpeg)/pic8235599.jpg</t>
  </si>
  <si>
    <t>Pergola</t>
  </si>
  <si>
    <t>https://cf.geekdo-images.com/uZk1zNLrFWOtYzmgUSZBog__small/img/VKW4A90go5zZ_aU6cIuRIICSpbU=/fit-in/200x150/filters:strip_icc()/pic8515455.png</t>
  </si>
  <si>
    <t>https://cf.geekdo-images.com/uZk1zNLrFWOtYzmgUSZBog__original/img/Nn_WIdQFmDDFOGbBwy-3vDERQWM=/0x0/filters:format(png)/pic8515455.png</t>
  </si>
  <si>
    <t>Moving Wild</t>
  </si>
  <si>
    <t>https://cf.geekdo-images.com/Y4XMZWJyiUneAA2wT_bkLg__small/img/oAGAgIDtYJDTVgljYNmY-iTAujg=/fit-in/200x150/filters:strip_icc()/pic8591006.png</t>
  </si>
  <si>
    <t>https://cf.geekdo-images.com/Y4XMZWJyiUneAA2wT_bkLg__original/img/Ba2ayPiXKenJo0AUf55qS2BxxLA=/0x0/filters:format(png)/pic8591006.png</t>
  </si>
  <si>
    <t>1.9375</t>
  </si>
  <si>
    <t>Saga of the Goblin Horde</t>
  </si>
  <si>
    <t>https://cf.geekdo-images.com/v4C0YAzRU4FIGOVskPDArA__small/img/o2777iPzG-UwF3wuPLbg5L_JNy0=/fit-in/200x150/filters:strip_icc()/pic3827044.jpg</t>
  </si>
  <si>
    <t>https://cf.geekdo-images.com/v4C0YAzRU4FIGOVskPDArA__original/img/wj1ezGiR1dMxpiK_lScIVf0R0u4=/0x0/filters:format(jpeg)/pic3827044.jpg</t>
  </si>
  <si>
    <t>Star Wars: Battle of Hoth</t>
  </si>
  <si>
    <t>https://cf.geekdo-images.com/C-nkGn4bUYSSJjf0J9uqyg__small/img/uWjHdIzNfPBv89XZ9MdORne5_Lk=/fit-in/200x150/filters:strip_icc()/pic8833062.png</t>
  </si>
  <si>
    <t>https://cf.geekdo-images.com/C-nkGn4bUYSSJjf0J9uqyg__original/img/B3lhxKVRanaQq8heM93VTWuC-tQ=/0x0/filters:format(png)/pic8833062.png</t>
  </si>
  <si>
    <t>Space Alert</t>
  </si>
  <si>
    <t>https://cf.geekdo-images.com/tinE1f2lauIsEL4aC9aU-w__small/img/9tewdwxUKcqikj0QlVSUmwRPK68=/fit-in/200x150/filters:strip_icc()/pic384313.jpg</t>
  </si>
  <si>
    <t>https://cf.geekdo-images.com/tinE1f2lauIsEL4aC9aU-w__original/img/ccy5tGJK7WF9B6ykayJEm5cReTM=/0x0/filters:format(jpeg)/pic384313.jpg</t>
  </si>
  <si>
    <t>2.971</t>
  </si>
  <si>
    <t>Create a 100-game buy list ranked by priority based on my current uploaded collection. Use the GAP-FILL method to identify critical missing categories, mechanics, and player counts. Rank games according to the standard methodology (gap-filling value, cross-context utility, accessibility, unique value, and practical considerations). Provide results in the Quick List Format, including BGG IDs and priority tier labels.</t>
  </si>
  <si>
    <t>Planet Unknown</t>
  </si>
  <si>
    <t>https://cf.geekdo-images.com/3HkjDovk8Yr2wMumcSUGog__small/img/4pF1oDpvn1VR3rbvW88xLK86xmA=/fit-in/200x150/filters:strip_icc()/pic4843622.jpg</t>
  </si>
  <si>
    <t>https://cf.geekdo-images.com/3HkjDovk8Yr2wMumcSUGog__original/img/hl_WEzG4mKaEW_7qrZf-sPxXMpI=/0x0/filters:format(jpeg)/pic4843622.jpg</t>
  </si>
  <si>
    <t>175</t>
  </si>
  <si>
    <t>Inis</t>
  </si>
  <si>
    <t>https://cf.geekdo-images.com/6QE8mnPFmauoj2THsyUYPA__small/img/m63hnvHi6jqlva52FGaWbEqzjys=/fit-in/200x150/filters:strip_icc()/pic4739757.jpg</t>
  </si>
  <si>
    <t>https://cf.geekdo-images.com/6QE8mnPFmauoj2THsyUYPA__original/img/6bZdn1SNbpIqU7n5pwtncvdNE_U=/0x0/filters:format(jpeg)/pic4739757.jpg</t>
  </si>
  <si>
    <t>117</t>
  </si>
  <si>
    <t>Tzolk'in: The Mayan Calendar</t>
  </si>
  <si>
    <t>https://cf.geekdo-images.com/kXf7mDyDYuHg6oe8yTUIEA__small/img/or9mAn4ClljY_wO_zvsLJDqs9tU=/fit-in/200x150/filters:strip_icc()/pic4604439.jpg</t>
  </si>
  <si>
    <t>https://cf.geekdo-images.com/kXf7mDyDYuHg6oe8yTUIEA__original/img/f6-Au0KTnNR4nugSu2U-wPNbZCU=/0x0/filters:format(jpeg)/pic4604439.jpg</t>
  </si>
  <si>
    <t>71</t>
  </si>
  <si>
    <t>Cyclades</t>
  </si>
  <si>
    <t>https://cf.geekdo-images.com/6QbaJOS8acWkJ6gSYI0KaQ__small/img/YSxmsx_zxqdVoqNVGsNnAqyH1lc=/fit-in/200x150/filters:strip_icc()/pic584779.jpg</t>
  </si>
  <si>
    <t>https://cf.geekdo-images.com/6QbaJOS8acWkJ6gSYI0KaQ__original/img/KOGjizqhVHXlKWxXkuyxkHRCNnA=/0x0/filters:format(jpeg)/pic584779.jpg</t>
  </si>
  <si>
    <t>2.8172</t>
  </si>
  <si>
    <t>260</t>
  </si>
  <si>
    <t>The Guild of Merchant Explorers</t>
  </si>
  <si>
    <t>https://cf.geekdo-images.com/HZQAedsq10yAgotyNth4og__small/img/56IVwtzXk9WZz750cekqFYWw16g=/fit-in/200x150/filters:strip_icc()/pic6670587.jpg</t>
  </si>
  <si>
    <t>https://cf.geekdo-images.com/HZQAedsq10yAgotyNth4og__original/img/jTvjgU0WrhyTKWf0bDyMrhPqsdM=/0x0/filters:format(jpeg)/pic6670587.jpg</t>
  </si>
  <si>
    <t>Destination: Tartarus</t>
  </si>
  <si>
    <t>https://cf.geekdo-images.com/Y--WbnQZXSiR2UIZpslPuA__small/img/MeAr-VbrzcUprJolLlkaGWzeLCg=/fit-in/200x150/filters:strip_icc()/pic7017122.png</t>
  </si>
  <si>
    <t>https://cf.geekdo-images.com/Y--WbnQZXSiR2UIZpslPuA__original/img/geyDgzqHPXUQVLanlvwrkez7o_c=/0x0/filters:format(png)/pic7017122.png</t>
  </si>
  <si>
    <t>Splendor Duel</t>
  </si>
  <si>
    <t>https://cf.geekdo-images.com/V1PyFDPNFY4bJFgreLPxmQ__small/img/E0OuG2X4HsbOdCh1uLyZZcMiapQ=/fit-in/200x150/filters:strip_icc()/pic6929347.jpg</t>
  </si>
  <si>
    <t>https://cf.geekdo-images.com/V1PyFDPNFY4bJFgreLPxmQ__original/img/NelFMJToi6WYyDQheBZiwCP7-qE=/0x0/filters:format(jpeg)/pic6929347.jpg</t>
  </si>
  <si>
    <t>114</t>
  </si>
  <si>
    <t>Tiny Towns</t>
  </si>
  <si>
    <t>https://cf.geekdo-images.com/aE1EoOzr530gQin8bj8QDA__small/img/AI-Ro3wLJtpyZLmCMNywOlpz0S8=/fit-in/200x150/filters:strip_icc()/pic4460401.jpg</t>
  </si>
  <si>
    <t>https://cf.geekdo-images.com/aE1EoOzr530gQin8bj8QDA__original/img/-GDAsvmQ3wkuHaZ8h9G5Gk_nvVA=/0x0/filters:format(jpeg)/pic4460401.jpg</t>
  </si>
  <si>
    <t>Next Station: Tokyo</t>
  </si>
  <si>
    <t>https://cf.geekdo-images.com/2lXilYYoalwAaU-DiVN8CQ__small/img/EB4T2fjCN4W0bhirADaO8xDWfQI=/fit-in/200x150/filters:strip_icc()/pic7531551.jpg</t>
  </si>
  <si>
    <t>https://cf.geekdo-images.com/2lXilYYoalwAaU-DiVN8CQ__original/img/R0cYczenMFvCVjOLuOUpgMyH7cc=/0x0/filters:format(jpeg)/pic7531551.jpg</t>
  </si>
  <si>
    <t>1777</t>
  </si>
  <si>
    <t>Canvas</t>
  </si>
  <si>
    <t>https://cf.geekdo-images.com/kXJLvPqcDF7Id5KRejhnuQ__small/img/5kQGDC3kYmvil7dU8uT-o0sZiEo=/fit-in/200x150/filters:strip_icc()/pic7125372.jpg</t>
  </si>
  <si>
    <t>https://cf.geekdo-images.com/kXJLvPqcDF7Id5KRejhnuQ__original/img/jiORb05QSdRMi-eo1Vi_3wjUSWU=/0x0/filters:format(jpeg)/pic7125372.jpg</t>
  </si>
  <si>
    <t>573</t>
  </si>
  <si>
    <t>Canvas: Reflections</t>
  </si>
  <si>
    <t>https://cf.geekdo-images.com/5AnrD2v2DD_U7A9Rlwzt3g__small/img/tLpUfTmzByqm0i9nJVPcXDGOxHU=/fit-in/200x150/filters:strip_icc()/pic6090493.jpg</t>
  </si>
  <si>
    <t>https://cf.geekdo-images.com/5AnrD2v2DD_U7A9Rlwzt3g__original/img/hE0a0yKdi-eomn_DIkm5e37undo=/0x0/filters:format(jpeg)/pic6090493.jpg</t>
  </si>
  <si>
    <t>War of the Ring: The Card Game</t>
  </si>
  <si>
    <t>https://cf.geekdo-images.com/ScrF673pQhrx27WoVdG81g__small/img/mmBKUwRhbgVV4CJOFdWSaJiYcTY=/fit-in/200x150/filters:strip_icc()/pic6982333.png</t>
  </si>
  <si>
    <t>https://cf.geekdo-images.com/ScrF673pQhrx27WoVdG81g__original/img/z_hysF8luYEnwfloVsSlUK5r0V4=/0x0/filters:format(png)/pic6982333.png</t>
  </si>
  <si>
    <t>684</t>
  </si>
  <si>
    <t>The Isle of Cats</t>
  </si>
  <si>
    <t>https://cf.geekdo-images.com/AuAheDzhkLufiZFE9JaRNA__small/img/gENtMHYJDff6XaGGOYw9oSZShCs=/fit-in/200x150/filters:strip_icc()/pic4781085.jpg</t>
  </si>
  <si>
    <t>https://cf.geekdo-images.com/AuAheDzhkLufiZFE9JaRNA__original/img/pKq-l1Ms78olHwMbZYMa_x6m-fM=/0x0/filters:format(jpeg)/pic4781085.jpg</t>
  </si>
  <si>
    <t>Queendomino</t>
  </si>
  <si>
    <t>https://cf.geekdo-images.com/_6VtTmeI4e7cORxFWRC7Og__small/img/uzS2wD_CvrjO8KQsNZDoT0RBvmY=/fit-in/200x150/filters:strip_icc()/pic3672901.png</t>
  </si>
  <si>
    <t>https://cf.geekdo-images.com/_6VtTmeI4e7cORxFWRC7Og__original/img/Uem_ewrSp4uzwG19S2CSnHwrmEU=/0x0/filters:format(png)/pic3672901.png</t>
  </si>
  <si>
    <t>Coimbra</t>
  </si>
  <si>
    <t>https://cf.geekdo-images.com/JJFHx0RiUBYdy9bHAgVSuA__small/img/-eaAIbixYxRRVj0tDTS1oP_9Njk=/fit-in/200x150/filters:strip_icc()/pic3956079.jpg</t>
  </si>
  <si>
    <t>https://cf.geekdo-images.com/JJFHx0RiUBYdy9bHAgVSuA__original/img/zwcZQov_aUfBN0z9J9PzsJqomeI=/0x0/filters:format(jpeg)/pic3956079.jpg</t>
  </si>
  <si>
    <t>3.2464</t>
  </si>
  <si>
    <t>Karuba</t>
  </si>
  <si>
    <t>https://cf.geekdo-images.com/hhV3JiYZUHEi_glLhC0v8w__small/img/_XHxgYraTvLmBnHpY8snFa2ma9o=/fit-in/200x150/filters:strip_icc()/pic2727088.jpg</t>
  </si>
  <si>
    <t>https://cf.geekdo-images.com/hhV3JiYZUHEi_glLhC0v8w__original/img/CJ-VpizVCicjpKS6Gs5hy9E74LQ=/0x0/filters:format(jpeg)/pic2727088.jpg</t>
  </si>
  <si>
    <t>Dice Forge</t>
  </si>
  <si>
    <t>https://cf.geekdo-images.com/4BTVGQWO0M9ayxyku3FW6Q__small/img/BWNtptZ90Cutx39I3Celuvirt78=/fit-in/200x150/filters:strip_icc()/pic3477004.jpg</t>
  </si>
  <si>
    <t>https://cf.geekdo-images.com/4BTVGQWO0M9ayxyku3FW6Q__original/img/8G3m0Cc_y3Qa0jcFn4ynWTwOV3A=/0x0/filters:format(jpeg)/pic3477004.jpg</t>
  </si>
  <si>
    <t>1.9695</t>
  </si>
  <si>
    <t>472</t>
  </si>
  <si>
    <t>Lords of Hellas</t>
  </si>
  <si>
    <t>https://cf.geekdo-images.com/iOqSO4vRZFp4MqEKXDXEIw__small/img/o7KVJlL45wZxunl0wwwJjqTPl3s=/fit-in/200x150/filters:strip_icc()/pic3592207.jpg</t>
  </si>
  <si>
    <t>https://cf.geekdo-images.com/iOqSO4vRZFp4MqEKXDXEIw__original/img/j6ZIl2_7596G_45A5wKAHRWiga4=/0x0/filters:format(jpeg)/pic3592207.jpg</t>
  </si>
  <si>
    <t>3.3333</t>
  </si>
  <si>
    <t>Music Mayhem</t>
  </si>
  <si>
    <t>https://cf.geekdo-images.com/NqhvJnzp343kbWseD-l71A__small/img/jbCK75GJwHQpLUPZIda_dNyRQMk=/fit-in/200x150/filters:strip_icc()/pic445248.jpg</t>
  </si>
  <si>
    <t>https://cf.geekdo-images.com/NqhvJnzp343kbWseD-l71A__original/img/pBUE7asaA7dMmmUJe0mKUJ47D2Y=/0x0/filters:format(jpeg)/pic445248.jpg</t>
  </si>
  <si>
    <t>Trivia</t>
  </si>
  <si>
    <t>Timeline: Science Museum</t>
  </si>
  <si>
    <t>https://cf.geekdo-images.com/-ZFYme6Av0ULHqFIGu4UqQ__small/img/2ChdXlEiGNEIW31jSxuPaijuKfI=/fit-in/200x150/filters:strip_icc()/pic4462214.jpg</t>
  </si>
  <si>
    <t>https://cf.geekdo-images.com/-ZFYme6Av0ULHqFIGu4UqQ__original/img/ehq3EdWF9DhtHQ4DtNPjvdth5nA=/0x0/filters:format(jpeg)/pic4462214.jpg</t>
  </si>
  <si>
    <t>Two Rooms and a Boom</t>
  </si>
  <si>
    <t>https://cf.geekdo-images.com/jmf0M01DsReKLByori6OGg__small/img/L5WTzC1_QyuIddhi248RG5hYVvc=/fit-in/200x150/filters:strip_icc()/pic2335221.png</t>
  </si>
  <si>
    <t>https://cf.geekdo-images.com/jmf0M01DsReKLByori6OGg__original/img/GwiB4vBd89GU_aF57BGP-QBnQQc=/0x0/filters:format(png)/pic2335221.png</t>
  </si>
  <si>
    <t>1.4805</t>
  </si>
  <si>
    <t>Werewords</t>
  </si>
  <si>
    <t>https://cf.geekdo-images.com/4ngyBZXLLKIOdGuUHE7baw__small/img/gSGfC0ZMYbOXukqfdBBuxULmyJU=/fit-in/200x150/filters:strip_icc()/pic4415135.jpg</t>
  </si>
  <si>
    <t>https://cf.geekdo-images.com/4ngyBZXLLKIOdGuUHE7baw__original/img/26CKXFLZQ1sUlUwdu_kJ3E8F4Bs=/0x0/filters:format(jpeg)/pic4415135.jpg</t>
  </si>
  <si>
    <t>1.1573</t>
  </si>
  <si>
    <t>Aeon's End</t>
  </si>
  <si>
    <t>https://cf.geekdo-images.com/d50LceHj6LIafa4S_qIsCg__small/img/KMFA-gXm_LbZpyXSAHbIZm-eAcQ=/fit-in/200x150/filters:strip_icc()/pic3189350.jpg</t>
  </si>
  <si>
    <t>https://cf.geekdo-images.com/d50LceHj6LIafa4S_qIsCg__original/img/4MsKNGm47PU9BGW4i2yamMlRSQ0=/0x0/filters:format(jpeg)/pic3189350.jpg</t>
  </si>
  <si>
    <t>Paleo</t>
  </si>
  <si>
    <t>https://cf.geekdo-images.com/85t1wkwgvh3d2mmjsRcDrw__small/img/K1IMVdd39Or51HpLAfiXz3JNUvI=/fit-in/200x150/filters:strip_icc()/pic6039256.jpg</t>
  </si>
  <si>
    <t>https://cf.geekdo-images.com/85t1wkwgvh3d2mmjsRcDrw__original/img/ejYTb1MVpf9optjLWlwbYua0TMk=/0x0/filters:format(jpeg)/pic6039256.jpg</t>
  </si>
  <si>
    <t>The Search for Planet X</t>
  </si>
  <si>
    <t>https://cf.geekdo-images.com/NItjtztEUAKOpaTWZddu9A__small/img/x8YD4cAVOAbSDsZbmKgU0-WQ9wI=/fit-in/200x150/filters:strip_icc()/pic5744928.jpg</t>
  </si>
  <si>
    <t>https://cf.geekdo-images.com/NItjtztEUAKOpaTWZddu9A__original/img/fr-JmerGdiEj6r9UM7F6laogGF0=/0x0/filters:format(jpeg)/pic5744928.jpg</t>
  </si>
  <si>
    <t>111</t>
  </si>
  <si>
    <t>The Search for Lost Species</t>
  </si>
  <si>
    <t>https://cf.geekdo-images.com/-VyojGLJ9XYN1b-V2ODCHg__small/img/NbCa0ypa0yjqB7uTZKtOgCYcEqI=/fit-in/200x150/filters:strip_icc()/pic6740248.jpg</t>
  </si>
  <si>
    <t>https://cf.geekdo-images.com/-VyojGLJ9XYN1b-V2ODCHg__original/img/Jbcp4I1cz_U8wlWZBrfaF0KTKDY=/0x0/filters:format(jpeg)/pic6740248.jpg</t>
  </si>
  <si>
    <t>The Rot King's Sanctum</t>
  </si>
  <si>
    <t>https://cf.geekdo-images.com/yYuYsZjp6frqj1SB34RvTg__small/img/lHA-4ZaZUy6GdWOm2_tlj-CmuRs=/fit-in/200x150/filters:strip_icc()/pic7131122.png</t>
  </si>
  <si>
    <t>https://cf.geekdo-images.com/yYuYsZjp6frqj1SB34RvTg__original/img/DlPAFUh_G-_3sGp0vXgzSG8aUZg=/0x0/filters:format(png)/pic7131122.png</t>
  </si>
  <si>
    <t>Hanamikoji</t>
  </si>
  <si>
    <t>https://cf.geekdo-images.com/uiVZ7QVfRFQx3EBG8eDU8w__small/img/SUy42NMiK5gx-kLqmV47drIxEU0=/fit-in/200x150/filters:strip_icc()/pic6339446.png</t>
  </si>
  <si>
    <t>https://cf.geekdo-images.com/uiVZ7QVfRFQx3EBG8eDU8w__original/img/tLBrF40IDpARzoiUor4wwUvWXgY=/0x0/filters:format(png)/pic6339446.png</t>
  </si>
  <si>
    <t>Schotten Totten 2</t>
  </si>
  <si>
    <t>https://cf.geekdo-images.com/L4drUzK2LIM0TtBTa69HEQ__small/img/5MFi0Jr7jUBZE5myFBXEPoX3jA8=/fit-in/200x150/filters:strip_icc()/pic5582704.jpg</t>
  </si>
  <si>
    <t>https://cf.geekdo-images.com/L4drUzK2LIM0TtBTa69HEQ__original/img/9KzZRiO8QUjbnUefdc06rr6RDms=/0x0/filters:format(jpeg)/pic5582704.jpg</t>
  </si>
  <si>
    <t>1.9512</t>
  </si>
  <si>
    <t>Air, Land, &amp; Sea</t>
  </si>
  <si>
    <t>https://cf.geekdo-images.com/3wpYeNwO7k_yjpIN7IQwaw__small/img/kfzWQvTxwcVx_ljICqhu5Coq53Q=/fit-in/200x150/filters:strip_icc()/pic4387681.jpg</t>
  </si>
  <si>
    <t>https://cf.geekdo-images.com/3wpYeNwO7k_yjpIN7IQwaw__original/img/_qQC98hufgmPn_fwMrP4I0sYKO8=/0x0/filters:format(jpeg)/pic4387681.jpg</t>
  </si>
  <si>
    <t>Unmatched: Cobble &amp; Fog</t>
  </si>
  <si>
    <t>https://cf.geekdo-images.com/iyIO6udRfIn0xM1rIxyO2g__small/img/oKVEm_nmurLwHbp9QPNNEyJkzeE=/fit-in/200x150/filters:strip_icc()/pic5056685.jpg</t>
  </si>
  <si>
    <t>https://cf.geekdo-images.com/iyIO6udRfIn0xM1rIxyO2g__original/img/PZBFIDjPGZddto7n5F5gP_2slUA=/0x0/filters:format(jpeg)/pic5056685.jpg</t>
  </si>
  <si>
    <t>Unmatched: Little Red Riding Hood vs. Beowulf</t>
  </si>
  <si>
    <t>https://cf.geekdo-images.com/7CFgBadtCNf5Mzi1nsrL2Q__small/img/4lOUXSXSvcnkbztxyVoaVqSCcoY=/fit-in/200x150/filters:strip_icc()/pic5822480.jpg</t>
  </si>
  <si>
    <t>https://cf.geekdo-images.com/7CFgBadtCNf5Mzi1nsrL2Q__original/img/Iv0VzhyEa74-sGfbtt9nwrRKZlw=/0x0/filters:format(jpeg)/pic5822480.jpg</t>
  </si>
  <si>
    <t>War Chest</t>
  </si>
  <si>
    <t>https://cf.geekdo-images.com/BryJNSSDbCohXeaJPx3tpw__small/img/5fmJlAM307xX3zozMnStTuWYphI=/fit-in/200x150/filters:strip_icc()/pic4232048.png</t>
  </si>
  <si>
    <t>https://cf.geekdo-images.com/BryJNSSDbCohXeaJPx3tpw__original/img/pgmg83e1lUqNo7FTLdscWNDwlPE=/0x0/filters:format(png)/pic4232048.png</t>
  </si>
  <si>
    <t>Undaunted: North Africa</t>
  </si>
  <si>
    <t>https://cf.geekdo-images.com/Zp0x_lURkRrHcLyyYv2aSw__small/img/d9luLahO6n0itCfqpjpLexz24OE=/fit-in/200x150/filters:strip_icc()/pic5536142.jpg</t>
  </si>
  <si>
    <t>https://cf.geekdo-images.com/Zp0x_lURkRrHcLyyYv2aSw__original/img/xk-EPbXMZ8ut9LAMobKNsro6cSw=/0x0/filters:format(jpeg)/pic5536142.jpg</t>
  </si>
  <si>
    <t>Summoner Wars (Second Edition)</t>
  </si>
  <si>
    <t>https://cf.geekdo-images.com/HDPEZ_KvztEkzYI8YQDtCg__small/img/RG1MeHbXBXhWnE3wTZ_g7dDu0LQ=/fit-in/200x150/filters:strip_icc()/pic6019321.jpg</t>
  </si>
  <si>
    <t>https://cf.geekdo-images.com/HDPEZ_KvztEkzYI8YQDtCg__original/img/C_LKXVJSKt9SauHPSAAWqWbUJS0=/0x0/filters:format(jpeg)/pic6019321.jpg</t>
  </si>
  <si>
    <t>Card Game • Strategy</t>
  </si>
  <si>
    <t>Mindbug: First Contact</t>
  </si>
  <si>
    <t>https://cf.geekdo-images.com/b8gl6w-BqUVgBURdyFcFZg__small/img/dCGADcFu3CrjHeao9JKibUHYUik=/fit-in/200x150/filters:strip_icc()/pic7646386.png</t>
  </si>
  <si>
    <t>https://cf.geekdo-images.com/b8gl6w-BqUVgBURdyFcFZg__original/img/chGo_gyJr418yMPchcWhLoW5AjQ=/0x0/filters:format(png)/pic7646386.png</t>
  </si>
  <si>
    <t>Qwixx</t>
  </si>
  <si>
    <t>https://cf.geekdo-images.com/aOt-bT9nDzZdWl0dUqLy4w__small/img/VSCBC4785-3S8YMBzu8tafaoa_w=/fit-in/200x150/filters:strip_icc()/pic1950487.jpg</t>
  </si>
  <si>
    <t>https://cf.geekdo-images.com/aOt-bT9nDzZdWl0dUqLy4w__original/img/BBC0kwf7JPYMxYGnsSDRaZ_BRF4=/0x0/filters:format(jpeg)/pic1950487.jpg</t>
  </si>
  <si>
    <t>966</t>
  </si>
  <si>
    <t>Railroad Ink Challenge: Shining Yellow Edition</t>
  </si>
  <si>
    <t>https://cf.geekdo-images.com/yE1xMCPzckKh9V9CStNFEw__small/img/zFQhF83FC3HYETEMz3R8_R0B2mQ=/fit-in/200x150/filters:strip_icc()/pic5350626.jpg</t>
  </si>
  <si>
    <t>https://cf.geekdo-images.com/yE1xMCPzckKh9V9CStNFEw__original/img/cpsGDBjzoKWhE8u5SojuSYafNmg=/0x0/filters:format(jpeg)/pic5350626.jpg</t>
  </si>
  <si>
    <t>Super Mega Lucky Box</t>
  </si>
  <si>
    <t>https://cf.geekdo-images.com/grnvMmEKa_jRg4ZBX5Fadw__small/img/Fs2vCJ0dkPZxMHm4A_vEkl0yiT0=/fit-in/200x150/filters:strip_icc()/pic6254861.png</t>
  </si>
  <si>
    <t>https://cf.geekdo-images.com/grnvMmEKa_jRg4ZBX5Fadw__original/img/2jFwR_GdPUCUv6QjDxsgw3DQCkQ=/0x0/filters:format(png)/pic6254861.png</t>
  </si>
  <si>
    <t>Tranquility</t>
  </si>
  <si>
    <t>https://cf.geekdo-images.com/nQJ9Kr9BP7zdm__rSvrx3w__small/img/8YdbYqiyOw64OzqvXpWGzHb2Xr0=/fit-in/200x150/filters:strip_icc()/pic6152802.png</t>
  </si>
  <si>
    <t>https://cf.geekdo-images.com/nQJ9Kr9BP7zdm__rSvrx3w__original/img/ryAqjh1RzofMQXC77hyqMFVpNV8=/0x0/filters:format(png)/pic6152802.png</t>
  </si>
  <si>
    <t>Skull King</t>
  </si>
  <si>
    <t>https://cf.geekdo-images.com/1qvA21HdRaPYwrn4tGDNaQ__small/img/3tBwuRBxhDuhcTvA1g-IjVuUXqY=/fit-in/200x150/filters:strip_icc()/pic8689185.jpg</t>
  </si>
  <si>
    <t>https://cf.geekdo-images.com/1qvA21HdRaPYwrn4tGDNaQ__original/img/Vn6PK_Ue5TX14oQ5uau4XICHEJU=/0x0/filters:format(jpeg)/pic8689185.jpg</t>
  </si>
  <si>
    <t>301</t>
  </si>
  <si>
    <t>Sea Salt &amp; Paper: Extra Salt</t>
  </si>
  <si>
    <t>https://cf.geekdo-images.com/9jDNDtPC0s-eATSWly8oEg__small/img/qGTssy-U4rf5zTilJPd3nl3c1Nk=/fit-in/200x150/filters:strip_icc()/pic7731597.jpg</t>
  </si>
  <si>
    <t>https://cf.geekdo-images.com/9jDNDtPC0s-eATSWly8oEg__original/img/5PL-OXwTjbWiYiDCPdhJa5j_E8Q=/0x0/filters:format(jpeg)/pic7731597.jpg</t>
  </si>
  <si>
    <t>1.383</t>
  </si>
  <si>
    <t>Scythe: The Wind Gambit – Feldherr Inlay</t>
  </si>
  <si>
    <t>Pick a Pen: Gardens</t>
  </si>
  <si>
    <t>https://cf.geekdo-images.com/Sj1xIBRVu1dGaovTzyMbzw__small/img/NbhiUsN-mya0hQHbWYCLQ_YX5rU=/fit-in/200x150/filters:strip_icc()/pic8159783.jpg</t>
  </si>
  <si>
    <t>https://cf.geekdo-images.com/Sj1xIBRVu1dGaovTzyMbzw__original/img/W7FH8M8F3dehWHZj7UjHdhyOBJQ=/0x0/filters:format(jpeg)/pic8159783.jpg</t>
  </si>
  <si>
    <t>Pick a Pen: Crypts</t>
  </si>
  <si>
    <t>https://cf.geekdo-images.com/BDei3qTACy64gKa35AX2wA__small/img/jlzBEAjhpTsVXVzLdUW52IAn-r8=/fit-in/200x150/filters:strip_icc()/pic8159859.jpg</t>
  </si>
  <si>
    <t>https://cf.geekdo-images.com/BDei3qTACy64gKa35AX2wA__original/img/PQbo6nHaQZzHcbsaj9WokGH2RAY=/0x0/filters:format(jpeg)/pic8159859.jpg</t>
  </si>
  <si>
    <t>ARK Park</t>
  </si>
  <si>
    <t>https://cf.geekdo-images.com/DnSQK8ONLoD0cVqbhhlWWA__small/img/k5FofpWqfkDeriI5i8758AVgEZ8=/fit-in/200x150/filters:strip_icc()/pic6405177.png</t>
  </si>
  <si>
    <t>https://cf.geekdo-images.com/DnSQK8ONLoD0cVqbhhlWWA__original/img/P2vWQ9OlDZ9USrPer0RwCJpw99g=/0x0/filters:format(png)/pic6405177.png</t>
  </si>
  <si>
    <t>Rhino Hero: Super Battle</t>
  </si>
  <si>
    <t>https://cf.geekdo-images.com/VTq3Cdf00f2S4VVLkEgl3g__small/img/tMKmqEWGUe8mwOS8k1aEyrCsbEE=/fit-in/200x150/filters:strip_icc()/pic5726956.jpg</t>
  </si>
  <si>
    <t>https://cf.geekdo-images.com/VTq3Cdf00f2S4VVLkEgl3g__original/img/3dBbH0KoPawwVdPW52LqGZj49L8=/0x0/filters:format(jpeg)/pic5726956.jpg</t>
  </si>
  <si>
    <t>Escape from Ice Age Park</t>
  </si>
  <si>
    <t>https://cf.geekdo-images.com/xtyLfIFcVIqwNKYpGmMeNQ__small/img/G2WGLCoeaQvY3oMFlSvOt4GYSRg=/fit-in/200x150/filters:strip_icc()/pic8103098.jpg</t>
  </si>
  <si>
    <t>https://cf.geekdo-images.com/xtyLfIFcVIqwNKYpGmMeNQ__original/img/HAMH81I1PPi7881RFhSMrGRk0T8=/0x0/filters:format(jpeg)/pic8103098.jpg</t>
  </si>
  <si>
    <t>7.75</t>
  </si>
  <si>
    <t>Ripper Fhatagn</t>
  </si>
  <si>
    <t>Myth: MERCS Recon Kickstarter Rewards</t>
  </si>
  <si>
    <t>https://cf.geekdo-images.com/m0qXZu6wYQxONuLzQeQ9ow__small/img/x7e-lq0k04xCatAM3D6Zh76-ls4=/fit-in/200x150/filters:strip_icc()/pic3732843.jpg</t>
  </si>
  <si>
    <t>https://cf.geekdo-images.com/m0qXZu6wYQxONuLzQeQ9ow__original/img/1Ys7kgtk3VLTzDXVJXFADYUuO6Y=/0x0/filters:format(jpeg)/pic3732843.jpg</t>
  </si>
  <si>
    <t>6.775</t>
  </si>
  <si>
    <t>Flash Point: Fire Rescue</t>
  </si>
  <si>
    <t>https://cf.geekdo-images.com/v6bTbxeprDFj1nN4AenvjA__small/img/7AyBFA8JfZHKxC5ntwOjJTbIgWE=/fit-in/200x150/filters:strip_icc()/pic1129370.jpg</t>
  </si>
  <si>
    <t>https://cf.geekdo-images.com/v6bTbxeprDFj1nN4AenvjA__original/img/ri91i22ujLCZqxXKhFIdVDPGe8Y=/0x0/filters:format(jpeg)/pic1129370.jpg</t>
  </si>
  <si>
    <t>2.1969</t>
  </si>
  <si>
    <t>The Chalice of Blood</t>
  </si>
  <si>
    <t>https://cf.geekdo-images.com/i4uPsnjpamGt8YHR9E53jA__small/img/4cPkBHpnPDopXu5aPtxowLYppm4=/fit-in/200x150/filters:strip_icc()/pic5214517.jpg</t>
  </si>
  <si>
    <t>https://cf.geekdo-images.com/i4uPsnjpamGt8YHR9E53jA__original/img/qpfUtoDpI7YiNg1X65FNT0x--9Y=/0x0/filters:format(jpeg)/pic5214517.jpg</t>
  </si>
  <si>
    <t>Write on Track</t>
  </si>
  <si>
    <t>https://cf.geekdo-images.com/DPaQ0LzfI1niKZTuYISE3w__small/img/AQ4CbrwIZfJqFWAQ-BtQwsgPzaY=/fit-in/200x150/filters:strip_icc()/pic6708099.jpg</t>
  </si>
  <si>
    <t>https://cf.geekdo-images.com/DPaQ0LzfI1niKZTuYISE3w__original/img/H3iVbNp6pzFajlp9tvmWrn4Pk1U=/0x0/filters:format(jpeg)/pic6708099.jpg</t>
  </si>
  <si>
    <t>Exclusion Zone</t>
  </si>
  <si>
    <t>https://cf.geekdo-images.com/G19H9vXAfRnJ15wWZ7K3NQ__small/img/upsUk7qbzkWa34YzGRssncotIhk=/fit-in/200x150/filters:strip_icc()/pic6897854.png</t>
  </si>
  <si>
    <t>https://cf.geekdo-images.com/G19H9vXAfRnJ15wWZ7K3NQ__original/img/2v36cdxbPweMC2LHTBoZrJK2-fg=/0x0/filters:format(png)/pic6897854.png</t>
  </si>
  <si>
    <t>Ethnos</t>
  </si>
  <si>
    <t>https://cf.geekdo-images.com/UIKUXkcnH3Bd4fjcPGINcA__small/img/oNhw2e_wcBc37ItkTRZVio2gMGQ=/fit-in/200x150/filters:strip_icc()/pic3304124.png</t>
  </si>
  <si>
    <t>https://cf.geekdo-images.com/UIKUXkcnH3Bd4fjcPGINcA__original/img/IrqDqjjm1LY66Zkw7l4RwppaBBI=/0x0/filters:format(png)/pic3304124.png</t>
  </si>
  <si>
    <t>324</t>
  </si>
  <si>
    <t>Century: Golem Edition</t>
  </si>
  <si>
    <t>https://cf.geekdo-images.com/1bihoShOuqaCuZJXB3Q2gQ__small/img/dvGQkdnwtcwAmcxHR_7J17OsLjQ=/fit-in/200x150/filters:strip_icc()/pic3936124.jpg</t>
  </si>
  <si>
    <t>https://cf.geekdo-images.com/1bihoShOuqaCuZJXB3Q2gQ__original/img/fvGzpqyud6Oz1BWOe4gItWWb8P0=/0x0/filters:format(jpeg)/pic3936124.jpg</t>
  </si>
  <si>
    <t>1.7097</t>
  </si>
  <si>
    <t>Taco Cat Goat Cheese Pizza</t>
  </si>
  <si>
    <t>https://cf.geekdo-images.com/GHrnr-Khb0LvBU_QkrC_qA__small/img/pFt03CkI8uo3rOi4E7_ZrZfSmIM=/fit-in/200x150/filters:strip_icc()/pic7192024.png</t>
  </si>
  <si>
    <t>https://cf.geekdo-images.com/GHrnr-Khb0LvBU_QkrC_qA__original/img/1BR5aHWIz_v4ki-YB2IiMuS-uIs=/0x0/filters:format(png)/pic7192024.png</t>
  </si>
  <si>
    <t>Century: Eastern Wonders</t>
  </si>
  <si>
    <t>https://cf.geekdo-images.com/l1xKAcYniMJQNq60H5DdEA__small/img/G3If6BTwLAGBZm6u2b-N_YZcZ4k=/fit-in/200x150/filters:strip_icc()/pic3898507.jpg</t>
  </si>
  <si>
    <t>https://cf.geekdo-images.com/l1xKAcYniMJQNq60H5DdEA__original/img/S37tZ3Ph0N2rryfkjcpgmU4qmCY=/0x0/filters:format(jpeg)/pic3898507.jpg</t>
  </si>
  <si>
    <t>2.1042</t>
  </si>
  <si>
    <t>Decrypto: Expansion #01 – Laserdrive</t>
  </si>
  <si>
    <t>https://cf.geekdo-images.com/tEX_U-X8sJ1v6_AIz3xYrw__small/img/glxCbLZDMJ-2VPRPfwYfWKxcQ9E=/fit-in/200x150/filters:strip_icc()/pic4628941.jpg</t>
  </si>
  <si>
    <t>https://cf.geekdo-images.com/tEX_U-X8sJ1v6_AIz3xYrw__original/img/zuWp6ODOnS6AREY7z74R5vWYhm8=/0x0/filters:format(jpeg)/pic4628941.jpg</t>
  </si>
  <si>
    <t>PARKS: Nightfall</t>
  </si>
  <si>
    <t>https://cf.geekdo-images.com/ucDMn6DilNfP6MgrgVJ8ng__small/img/mDOqTDPCmECGyHlJ1n_JR5v0NOA=/fit-in/200x150/filters:strip_icc()/pic5673231.jpg</t>
  </si>
  <si>
    <t>https://cf.geekdo-images.com/ucDMn6DilNfP6MgrgVJ8ng__original/img/WnHj7C3sqUglv9OMjvLdsfaijt4=/0x0/filters:format(jpeg)/pic5673231.jpg</t>
  </si>
  <si>
    <t>Family • Animals</t>
  </si>
  <si>
    <t>Sleeping Queens 2: The Rescue!</t>
  </si>
  <si>
    <t>https://cf.geekdo-images.com/nFvntRuDmcWTxxAgO1vqww__small/img/fz5H-vtJvI8mBqSe79LuOnM6KMM=/fit-in/200x150/filters:strip_icc()/pic6783361.png</t>
  </si>
  <si>
    <t>https://cf.geekdo-images.com/nFvntRuDmcWTxxAgO1vqww__original/img/M2xGdh4DsVpx2qmAg64K9crR33s=/0x0/filters:format(png)/pic6783361.png</t>
  </si>
  <si>
    <t>Star Wars: The Clone Wars</t>
  </si>
  <si>
    <t>https://cf.geekdo-images.com/3d4Yptz2IUC2ZAxtdPidig__small/img/8k4-L_HBKfD7AaNu2OmsrX-vIcs=/fit-in/200x150/filters:strip_icc()/pic8211893.jpg</t>
  </si>
  <si>
    <t>https://cf.geekdo-images.com/3d4Yptz2IUC2ZAxtdPidig__original/img/0q0SHD60yNcZHW3eS9rzwrCXQLU=/0x0/filters:format(jpeg)/pic8211893.jpg</t>
  </si>
  <si>
    <t>Trailblazers</t>
  </si>
  <si>
    <t>https://cf.geekdo-images.com/jjLaKzZiy432J-5uKg_c5w__small/img/jSleThjpY7UYLNKD7AugwGOY_MM=/fit-in/200x150/filters:strip_icc()/pic6772212.jpg</t>
  </si>
  <si>
    <t>https://cf.geekdo-images.com/jjLaKzZiy432J-5uKg_c5w__original/img/SwCZ8m5qMzMm9rN7mxLuIojhbc8=/0x0/filters:format(jpeg)/pic6772212.jpg</t>
  </si>
  <si>
    <t>Cascadia: Landmarks</t>
  </si>
  <si>
    <t>https://cf.geekdo-images.com/sD3EGm2CyvQGrp7FhScs0w__small/img/wPg8YV5oURy3SQ18vYrpBf-R3_s=/fit-in/200x150/filters:strip_icc()/pic7453773.jpg</t>
  </si>
  <si>
    <t>https://cf.geekdo-images.com/sD3EGm2CyvQGrp7FhScs0w__original/img/MS_E_-lJJ8SDopcqra9yq4JopbA=/0x0/filters:format(jpeg)/pic7453773.jpg</t>
  </si>
  <si>
    <t>Fall of Rome</t>
  </si>
  <si>
    <t>https://cf.geekdo-images.com/eGXgHOp40KYVqUGoSJ09bw__small/img/a8c2EEdqjhV4qugPomb62J49ANc=/fit-in/200x150/filters:strip_icc()/pic8031112.jpg</t>
  </si>
  <si>
    <t>https://cf.geekdo-images.com/eGXgHOp40KYVqUGoSJ09bw__original/img/V17DBpCDqoRpLPwa3jZNGNqwvm8=/0x0/filters:format(jpeg)/pic8031112.jpg</t>
  </si>
  <si>
    <t>Don't Mess with Cthulhu</t>
  </si>
  <si>
    <t>https://cf.geekdo-images.com/qqNnUI-J99d5Tn7VCjwZRA__small/img/yx8L4p32u-JqWVUU08LKl1dovgU=/fit-in/200x150/filters:strip_icc()/pic2951242.jpg</t>
  </si>
  <si>
    <t>https://cf.geekdo-images.com/qqNnUI-J99d5Tn7VCjwZRA__original/img/Digqt2ZJ_lS5rg6sZxJOg1GHKZ8=/0x0/filters:format(jpeg)/pic2951242.jpg</t>
  </si>
  <si>
    <t>1.1538</t>
  </si>
  <si>
    <t>Chinatown</t>
  </si>
  <si>
    <t>https://cf.geekdo-images.com/o23NBqu_LBRAtRaVoOBBhQ__small/img/VEXGKhNHkULY2hJ41r4Agob5RvE=/fit-in/200x150/filters:strip_icc()/pic403442.jpg</t>
  </si>
  <si>
    <t>https://cf.geekdo-images.com/o23NBqu_LBRAtRaVoOBBhQ__original/img/csj-VB0pfmq8KNUxwTYdDC2gxB4=/0x0/filters:format(jpeg)/pic403442.jpg</t>
  </si>
  <si>
    <t>Cottage Garden</t>
  </si>
  <si>
    <t>https://cf.geekdo-images.com/7Zk5_GsYycmHYD4RN3kIJQ__small/img/feLpplY6_MLKO4Tzfj5N2bW4a9o=/fit-in/200x150/filters:strip_icc()/pic3499059.jpg</t>
  </si>
  <si>
    <t>https://cf.geekdo-images.com/7Zk5_GsYycmHYD4RN3kIJQ__original/img/LbvQO9zKGNFn9UKo_adUsarRarQ=/0x0/filters:format(jpeg)/pic3499059.jpg</t>
  </si>
  <si>
    <t>Beyond the Sun</t>
  </si>
  <si>
    <t>https://cf.geekdo-images.com/BfEHqHQAvZLbRX7y7e9TWg__small/img/6rZLxebQyTXasbAPddxpdE1LVls=/fit-in/200x150/filters:strip_icc()/pic5617866.jpg</t>
  </si>
  <si>
    <t>https://cf.geekdo-images.com/BfEHqHQAvZLbRX7y7e9TWg__original/img/h2NEwLqn5mNkcEfMdP_8oMWa9KE=/0x0/filters:format(jpeg)/pic5617866.jpg</t>
  </si>
  <si>
    <t>106</t>
  </si>
  <si>
    <t>Abyss</t>
  </si>
  <si>
    <t>https://cf.geekdo-images.com/O9nPs9wrCghDF4izqFtoGQ__small/img/v2bPSjIYCfD7ekFGQswrRLwkonY=/fit-in/200x150/filters:strip_icc()/pic1965255.jpg</t>
  </si>
  <si>
    <t>https://cf.geekdo-images.com/O9nPs9wrCghDF4izqFtoGQ__original/img/rStAIe-Q4IjeOhxlkg1SAinMbcY=/0x0/filters:format(jpeg)/pic1965255.jpg</t>
  </si>
  <si>
    <t>Great Western Trail: Second Edition</t>
  </si>
  <si>
    <t>https://cf.geekdo-images.com/gDn7AhrDlmfCLSz9ZqoNFQ__small/img/0pt6XrFHTXpNetwMo9rdY7PdhfQ=/fit-in/200x150/filters:strip_icc()/pic5988511.jpg</t>
  </si>
  <si>
    <t>https://cf.geekdo-images.com/gDn7AhrDlmfCLSz9ZqoNFQ__original/img/yecB1xO32nnjBAyskVOTq9LBuLo=/0x0/filters:format(jpeg)/pic5988511.jpg</t>
  </si>
  <si>
    <t>Barrage</t>
  </si>
  <si>
    <t>https://cf.geekdo-images.com/jEPmWvvYpqkWrKOzqIHFsg__small/img/kMLIpeqA6UcUvQg2AdMwwQoEIfU=/fit-in/200x150/filters:strip_icc()/pic4336469.png</t>
  </si>
  <si>
    <t>https://cf.geekdo-images.com/jEPmWvvYpqkWrKOzqIHFsg__original/img/rkHKwkUqpQC7PAGG7n2gbrcQiUY=/0x0/filters:format(png)/pic4336469.png</t>
  </si>
  <si>
    <t>Fox Matters</t>
  </si>
  <si>
    <t>https://cf.geekdo-images.com/7QAiyP9U33RG4iO_87aMuA__small/img/pG9JjhnXITTNWTTeC3kVCN9_G-Q=/fit-in/200x150/filters:strip_icc()/pic6179947.png</t>
  </si>
  <si>
    <t>https://cf.geekdo-images.com/7QAiyP9U33RG4iO_87aMuA__original/img/KEtGZnUgvSF4vP5M99YPQ1Sy_UA=/0x0/filters:format(png)/pic6179947.png</t>
  </si>
  <si>
    <t>2.25</t>
  </si>
  <si>
    <t>The Valley of the Thousand Gods</t>
  </si>
  <si>
    <t>https://cf.geekdo-images.com/i5iV6gqVc3_Vhqqb8kf_hg__small/img/K998DZ8bAa9j-t_n9eNWQmgHP8M=/fit-in/200x150/filters:strip_icc()/pic6796078.jpg</t>
  </si>
  <si>
    <t>https://cf.geekdo-images.com/i5iV6gqVc3_Vhqqb8kf_hg__original/img/K1F_IC3IqQJDMEVK3snRuD1qbfk=/0x0/filters:format(jpeg)/pic6796078.jpg</t>
  </si>
  <si>
    <t>Hunter: The Reckoning Dice Set (5th Edition)</t>
  </si>
  <si>
    <t>https://cf.geekdo-images.com/J_fCQ3L9Yw40mmkPI_k04w__small/img/3d5Z1DPbPttQsPtIaiJlY9b3n6k=/fit-in/200x150/filters:strip_icc()/pic6957908.jpg</t>
  </si>
  <si>
    <t>https://cf.geekdo-images.com/J_fCQ3L9Yw40mmkPI_k04w__original/img/rCDyaCcsrmAO6ZA-2tavFZ8Hf-k=/0x0/filters:format(jpeg)/pic6957908.jpg</t>
  </si>
  <si>
    <t>Mysterium</t>
  </si>
  <si>
    <t>https://cf.geekdo-images.com/1nQ3ZKudtDeAP7IiKE-kNg__small/img/sW38512N2r1ZuuPE2TUD2LNfoxM=/fit-in/200x150/filters:strip_icc()/pic8625343.jpg</t>
  </si>
  <si>
    <t>https://cf.geekdo-images.com/1nQ3ZKudtDeAP7IiKE-kNg__original/img/6igmXolQesapNU9yEnexip6m9B8=/0x0/filters:format(jpeg)/pic8625343.jpg</t>
  </si>
  <si>
    <t>429</t>
  </si>
  <si>
    <t>MechForce Quarterly (Volume 5, Issue 1 - 1999)</t>
  </si>
  <si>
    <t>https://cf.geekdo-images.com/3Rzt5P1L-Q-Fd7V59H56Wg__small/img/bcnTIYSJcm-JXdKJSBY1EI4LmZU=/fit-in/200x150/filters:strip_icc()/pic5742415.jpg</t>
  </si>
  <si>
    <t>https://cf.geekdo-images.com/3Rzt5P1L-Q-Fd7V59H56Wg__original/img/Jsvnrl79SHCIqggUOzLXDG_D1iU=/0x0/filters:format(jpeg)/pic5742415.jpg</t>
  </si>
  <si>
    <t>Deep Sea Adventure</t>
  </si>
  <si>
    <t>https://cf.geekdo-images.com/owyKXaa5SPB2HG9F_MueNQ__small/img/poEY0PMTpz4X_SOUaPjs6G7qr7o=/fit-in/200x150/filters:strip_icc()/pic3169827.png</t>
  </si>
  <si>
    <t>https://cf.geekdo-images.com/owyKXaa5SPB2HG9F_MueNQ__original/img/gOmpUB3hM7Ap9o-kDsV8ZVBVYXA=/0x0/filters:format(png)/pic3169827.png</t>
  </si>
  <si>
    <t>Unlock!: Heroic Adventures</t>
  </si>
  <si>
    <t>https://cf.geekdo-images.com/biw1DYvUdQ4-ZgIOtUDqhQ__small/img/Nv2EPGFRbeOzcJ2ErbN6EsET5CU=/fit-in/200x150/filters:strip_icc()/pic4432319.jpg</t>
  </si>
  <si>
    <t>https://cf.geekdo-images.com/biw1DYvUdQ4-ZgIOtUDqhQ__original/img/vV6PSQWPpihv9718RaxFEEcgYgA=/0x0/filters:format(jpeg)/pic4432319.jpg</t>
  </si>
  <si>
    <t>Alhambra: The Card Game</t>
  </si>
  <si>
    <t>https://cf.geekdo-images.com/0sIAdfhWnYkF6SjU6_BPfw__small/img/wm7wr8pyt1q_U0iHhQNfWlYF6M8=/fit-in/200x150/filters:strip_icc()/pic1102461.jpg</t>
  </si>
  <si>
    <t>https://cf.geekdo-images.com/0sIAdfhWnYkF6SjU6_BPfw__original/img/Ln3mILAxCGThvC4MgURvz5sZCjs=/0x0/filters:format(jpeg)/pic1102461.jpg</t>
  </si>
  <si>
    <t>1.72</t>
  </si>
  <si>
    <t>https://cf.geekdo-images.com/T1ltXwapFUtghS9A7_tf4g__small/img/GtNX7gCmGpw39Tr6JApWC3Aga5U=/fit-in/200x150/filters:strip_icc()/pic1401448.jpg</t>
  </si>
  <si>
    <t>https://cf.geekdo-images.com/T1ltXwapFUtghS9A7_tf4g__original/img/xIAzJY7rl-mtPStRZSqnTVsAr8Y=/0x0/filters:format(jpeg)/pic1401448.jpg</t>
  </si>
  <si>
    <t>361</t>
  </si>
  <si>
    <t>Top Ten</t>
  </si>
  <si>
    <t>https://cf.geekdo-images.com/0LVOOyXtNNyFhyj7tFaKCQ__small/img/a-klyIgrojswCIe3KKOmJrCOgOw=/fit-in/200x150/filters:strip_icc()/pic5212719.jpg</t>
  </si>
  <si>
    <t>https://cf.geekdo-images.com/0LVOOyXtNNyFhyj7tFaKCQ__original/img/P8h6npX36CQrxXua-8UWYocpc44=/0x0/filters:format(jpeg)/pic5212719.jpg</t>
  </si>
  <si>
    <t>Marvel United</t>
  </si>
  <si>
    <t>https://cf.geekdo-images.com/-19XPXmTn9QyyvqwpcFkBw__small/img/T3jn8ks3g0zLyISTRQkIr0D1WSE=/fit-in/200x150/filters:strip_icc()/pic5231006.jpg</t>
  </si>
  <si>
    <t>https://cf.geekdo-images.com/-19XPXmTn9QyyvqwpcFkBw__original/img/zgZcNusSm7mFMP3N6MJvJRe_gKY=/0x0/filters:format(jpeg)/pic5231006.jpg</t>
  </si>
  <si>
    <t>317</t>
  </si>
  <si>
    <t>Woodcraft</t>
  </si>
  <si>
    <t>https://cf.geekdo-images.com/S1_USNVBwzwidSpxAoKhuw__small/img/26QtSRyUNOySkhtk6tnkzVqPx5A=/fit-in/200x150/filters:strip_icc()/pic6940296.jpg</t>
  </si>
  <si>
    <t>https://cf.geekdo-images.com/S1_USNVBwzwidSpxAoKhuw__original/img/v6Siq5_xrd8ONpw_jrcWCLPjVSI=/0x0/filters:format(jpeg)/pic6940296.jpg</t>
  </si>
  <si>
    <t>Paris: La Cité de la Lumière</t>
  </si>
  <si>
    <t>https://cf.geekdo-images.com/6mIsd0NbfluAAZxwS-3P8Q__small/img/mHdyyRSxXnnDNcQsG79crnWDnEw=/fit-in/200x150/filters:strip_icc()/pic4664437.jpg</t>
  </si>
  <si>
    <t>https://cf.geekdo-images.com/6mIsd0NbfluAAZxwS-3P8Q__original/img/NB6DNhFOUVEcrF-FcjSBBTLcU6Y=/0x0/filters:format(jpeg)/pic4664437.jpg</t>
  </si>
  <si>
    <t>2.0136</t>
  </si>
  <si>
    <t>881</t>
  </si>
  <si>
    <t>Codex Martialis: Armor &amp; Missiles of the Ancient World</t>
  </si>
  <si>
    <t>https://cf.geekdo-images.com/zYkEsZB2juA0xvGxlbRjfw__small/img/EyeyJ8NG0Oi9tmrEPZ5mzmeknsk=/fit-in/200x150/filters:strip_icc()/pic5941697.jpg</t>
  </si>
  <si>
    <t>https://cf.geekdo-images.com/zYkEsZB2juA0xvGxlbRjfw__original/img/AokbjuG-A7yYOiXiThHQ54ZFyCc=/0x0/filters:format(jpeg)/pic5941697.jpg</t>
  </si>
  <si>
    <t>Heap of Creeps: Clump 02</t>
  </si>
  <si>
    <t>https://cf.geekdo-images.com/gkT5e4-Memg_HcXiGEYTjw__small/img/Hleo3BkBZVjBihbB4rDxOlmQvqc=/fit-in/200x150/filters:strip_icc()/pic4496120.jpg</t>
  </si>
  <si>
    <t>https://cf.geekdo-images.com/gkT5e4-Memg_HcXiGEYTjw__original/img/ogJCnARY_YzH9rp9q701CN3HBns=/0x0/filters:format(jpeg)/pic4496120.jpg</t>
  </si>
  <si>
    <t>Lover's Temple</t>
  </si>
  <si>
    <t>https://cf.geekdo-images.com/eTnxxWlFWoe3tsqFUP0JQA__small/img/eyAky-T-BnfQndj262D5xdx5gwg=/fit-in/200x150/filters:strip_icc()/pic6099259.jpg</t>
  </si>
  <si>
    <t>https://cf.geekdo-images.com/eTnxxWlFWoe3tsqFUP0JQA__original/img/bjdjut3uaSg5twXqGKGJAMviops=/0x0/filters:format(jpeg)/pic6099259.jpg</t>
  </si>
  <si>
    <t>Black Dogs (Issue V - Aug 2018)</t>
  </si>
  <si>
    <t>https://cf.geekdo-images.com/eHkX6KdAFsyHB9wKUvIUIQ__small/img/Cx_Gwk79HyRsqXO82YparNpZ06U=/fit-in/200x150/filters:strip_icc()/pic4245171.jpg</t>
  </si>
  <si>
    <t>https://cf.geekdo-images.com/eHkX6KdAFsyHB9wKUvIUIQ__original/img/DY3dDUH7Hgq940BW-bA33OgP8K4=/0x0/filters:format(jpeg)/pic4245171.jpg</t>
  </si>
  <si>
    <t>Exploding Kittens</t>
  </si>
  <si>
    <t>https://cf.geekdo-images.com/N8bL53-pRU7zaXDTrEaYrw__small/img/3tH4pIc1Udzkd0tXc6MgVQ59BC0=/fit-in/200x150/filters:strip_icc()/pic2691976.png</t>
  </si>
  <si>
    <t>https://cf.geekdo-images.com/N8bL53-pRU7zaXDTrEaYrw__original/img/0ciN1VZYifUd0qIDO0e8cGXmiss=/0x0/filters:format(png)/pic2691976.png</t>
  </si>
  <si>
    <t>Beastfolk Race Variants</t>
  </si>
  <si>
    <t>https://cf.geekdo-images.com/APVhC_Q1gYxuUm4P0RngYw__small/img/aYAZ47WsbihkIR7YEvi8AOQPPCs=/fit-in/200x150/filters:strip_icc()/pic5907998.jpg</t>
  </si>
  <si>
    <t>https://cf.geekdo-images.com/APVhC_Q1gYxuUm4P0RngYw__original/img/1yXpjLru5D8QkQl9VU-784iD6Ng=/0x0/filters:format(jpeg)/pic5907998.jpg</t>
  </si>
  <si>
    <t>Duel of Ages: Prestige Pack</t>
  </si>
  <si>
    <t>https://cf.geekdo-images.com/i631Go6cg9jjuvG1iHzoXg__small/img/yAnSKP79DdKpVsiIzKq5c9eOTI4=/fit-in/200x150/filters:strip_icc()/pic80112.jpg</t>
  </si>
  <si>
    <t>https://cf.geekdo-images.com/i631Go6cg9jjuvG1iHzoXg__original/img/F8GVUjK9Bx_WnV-N0qQrJtdTE20=/0x0/filters:format(jpeg)/pic80112.jpg</t>
  </si>
  <si>
    <t>7.18342</t>
  </si>
  <si>
    <t>War Game • Adventure</t>
  </si>
  <si>
    <t>Shadows over Camelot</t>
  </si>
  <si>
    <t>https://cf.geekdo-images.com/JYqwG_v1B3RhpB7NcmeDOA__small/img/QOG1zO0uvqxGTDF9V_OewVPMvNE=/fit-in/200x150/filters:strip_icc()/pic70547.jpg</t>
  </si>
  <si>
    <t>https://cf.geekdo-images.com/JYqwG_v1B3RhpB7NcmeDOA__original/img/_eAaG7PMaTcj1DpHbmUaOBTisoY=/0x0/filters:format(jpeg)/pic70547.jpg</t>
  </si>
  <si>
    <t>2.5671</t>
  </si>
  <si>
    <t>Atlantis Rising (Second Edition)</t>
  </si>
  <si>
    <t>https://cf.geekdo-images.com/WRHngbJkWiKAJ4U8xSySIQ__small/img/kZ9kSXPe8naMaTtc9IV4SFOBCcw=/fit-in/200x150/filters:strip_icc()/pic4895878.jpg</t>
  </si>
  <si>
    <t>https://cf.geekdo-images.com/WRHngbJkWiKAJ4U8xSySIQ__original/img/TXo07OaiWGK59Zu0IBXbnBpbmag=/0x0/filters:format(jpeg)/pic4895878.jpg</t>
  </si>
  <si>
    <t>Flux</t>
  </si>
  <si>
    <t>https://cf.geekdo-images.com/kTfHyn7RBpN0fY6ouIbluQ__small/img/Il55-8E1xrRQkn8UyO7FKgSe2is=/fit-in/200x150/filters:strip_icc()/pic5480784.jpg</t>
  </si>
  <si>
    <t>https://cf.geekdo-images.com/kTfHyn7RBpN0fY6ouIbluQ__original/img/e34rYmEGQUtSt2XBRJUwxHHOJfc=/0x0/filters:format(jpeg)/pic5480784.jpg</t>
  </si>
  <si>
    <t>Lords of Waterdeep</t>
  </si>
  <si>
    <t>https://cf.geekdo-images.com/-hk8f8iGk_DyWyMrfiPBkg__small/img/dBqYOO8uLXAumxUGuYtuiRGQ1Y8=/fit-in/200x150/filters:strip_icc()/pic1116080.jpg</t>
  </si>
  <si>
    <t>https://cf.geekdo-images.com/-hk8f8iGk_DyWyMrfiPBkg__original/img/GWNOhno3y7g0XE00VacKaRxoczk=/0x0/filters:format(jpeg)/pic1116080.jpg</t>
  </si>
  <si>
    <t>101</t>
  </si>
  <si>
    <t>Ankh: Gods of Egypt</t>
  </si>
  <si>
    <t>https://cf.geekdo-images.com/_al0scMG_pQfGVM31Scf1Q__small/img/OMVAMJX95HNO-vSRdk-kGjAzzBY=/fit-in/200x150/filters:strip_icc()/pic6107853.jpg</t>
  </si>
  <si>
    <t>https://cf.geekdo-images.com/_al0scMG_pQfGVM31Scf1Q__original/img/h4jBTaOjznJgWELa6tTrfPqqSeA=/0x0/filters:format(jpeg)/pic6107853.jpg</t>
  </si>
  <si>
    <t>241</t>
  </si>
  <si>
    <t>The Breath of Life</t>
  </si>
  <si>
    <t>https://cf.geekdo-images.com/D9rdsqmy08O8CLWhr35A0A__small/img/53vKuFRQRWz43lDVot-pe02a6OE=/fit-in/200x150/filters:strip_icc()/pic5304656.jpg</t>
  </si>
  <si>
    <t>https://cf.geekdo-images.com/D9rdsqmy08O8CLWhr35A0A__original/img/AIP4YWPVRnIyCNtyVHSf8QUsieU=/0x0/filters:format(jpeg)/pic5304656.jpg</t>
  </si>
  <si>
    <t>The Evil Bug Machine</t>
  </si>
  <si>
    <t>https://cf.geekdo-images.com/MLDkmNr0FpuDNcQ9tTu61A__small/img/aaL8dJHp2PaAX2-aWx895Rb4FeE=/fit-in/200x150/filters:strip_icc()/pic4708761.jpg</t>
  </si>
  <si>
    <t>https://cf.geekdo-images.com/MLDkmNr0FpuDNcQ9tTu61A__original/img/390wXZ_IIc8p2VzeiyxY9xMqrko=/0x0/filters:format(jpeg)/pic4708761.jpg</t>
  </si>
  <si>
    <t>Anachrony</t>
  </si>
  <si>
    <t>https://cf.geekdo-images.com/31quLNzteInnevVRAABoow__small/img/a0G93aMOKp3_mmnCURYWuZd210U=/fit-in/200x150/filters:strip_icc()/pic3499707.jpg</t>
  </si>
  <si>
    <t>https://cf.geekdo-images.com/31quLNzteInnevVRAABoow__original/img/3KfMPSj7jjhG0g5lQBsO-bn67D0=/0x0/filters:format(jpeg)/pic3499707.jpg</t>
  </si>
  <si>
    <t>59</t>
  </si>
  <si>
    <t>Food Chain Magnate</t>
  </si>
  <si>
    <t>https://cf.geekdo-images.com/Wtxml94LAXsIWQCxGPS63Q__small/img/LKU2KoMev222qUIKyNqaCF_ZLPY=/fit-in/200x150/filters:strip_icc()/pic2649434.png</t>
  </si>
  <si>
    <t>https://cf.geekdo-images.com/Wtxml94LAXsIWQCxGPS63Q__original/img/9c-MJB6x54vN5eB-1hT4XQaHtP8=/0x0/filters:format(png)/pic2649434.png</t>
  </si>
  <si>
    <t>49</t>
  </si>
  <si>
    <t>Eight-Minute Empire: Legends</t>
  </si>
  <si>
    <t>https://cf.geekdo-images.com/4aL5A2NIxKmITsXZboABvw__small/img/41zP3EQvuAQGa64VFBhu72oxCpU=/fit-in/200x150/filters:strip_icc()/pic1708628.jpg</t>
  </si>
  <si>
    <t>https://cf.geekdo-images.com/4aL5A2NIxKmITsXZboABvw__original/img/f1g5F2zkWi63MiVvaO2d3PpuGAA=/0x0/filters:format(jpeg)/pic1708628.jpg</t>
  </si>
  <si>
    <t>1.9614</t>
  </si>
  <si>
    <t>The Devil, John Moulton</t>
  </si>
  <si>
    <t>https://cf.geekdo-images.com/kfJ5xck8Z6q5vKxnO0yfSg__small/img/l4GCPJVZzG4pHlHOdnfQJlOjoHY=/fit-in/200x150/filters:strip_icc()/pic2860730.jpg</t>
  </si>
  <si>
    <t>https://cf.geekdo-images.com/kfJ5xck8Z6q5vKxnO0yfSg__original/img/oDRhvXqXxMEXM4bZDpvw1v6HPC4=/0x0/filters:format(jpeg)/pic2860730.jpg</t>
  </si>
  <si>
    <t>Deimos (Issue 8 - Feb 1986)</t>
  </si>
  <si>
    <t>https://cf.geekdo-images.com/40g2yAXkCixPhQUFD_E0qQ__small/img/O7muxr0v_--PgtmRpS1kTLkInCw=/fit-in/200x150/filters:strip_icc()/pic4088321.jpg</t>
  </si>
  <si>
    <t>https://cf.geekdo-images.com/40g2yAXkCixPhQUFD_E0qQ__original/img/SMx6-qKFDZTmrlS6YXQyZUO8lM8=/0x0/filters:format(jpeg)/pic4088321.jpg</t>
  </si>
  <si>
    <t>An Evening of Murder: Resort to Murder</t>
  </si>
  <si>
    <t>https://cf.geekdo-images.com/tjXJx7l5SdBlGQ89JaH_Bw__small/img/JrPNSpAaCKjX2NPYLCNsO0VLfoo=/fit-in/200x150/filters:strip_icc()/pic683654.jpg</t>
  </si>
  <si>
    <t>https://cf.geekdo-images.com/tjXJx7l5SdBlGQ89JaH_Bw__original/img/Vm8Oib4bzto_Oo4KCq8RJT7b9oo=/0x0/filters:format(jpeg)/pic683654.jpg</t>
  </si>
  <si>
    <t>6.31667</t>
  </si>
  <si>
    <t>High Society</t>
  </si>
  <si>
    <t>https://cf.geekdo-images.com/_3wm5Ikl8NtF6oTQ5KT-1g__small/img/m5NSJT2r-BoSXYt9d1wQGT4dbUA=/fit-in/200x150/filters:strip_icc()/pic3894197.jpg</t>
  </si>
  <si>
    <t>https://cf.geekdo-images.com/_3wm5Ikl8NtF6oTQ5KT-1g__original/img/Dv5M1RcWQ6UEZyd2eAey-OfSsrU=/0x0/filters:format(jpeg)/pic3894197.jpg</t>
  </si>
  <si>
    <t>Smash Up</t>
  </si>
  <si>
    <t>https://cf.geekdo-images.com/c1DOHkXD35OcqfPoxoSXlA__small/img/kdzBzdj4prsoztFNEFZ6eWv1RVI=/fit-in/200x150/filters:strip_icc()/pic1269874.jpg</t>
  </si>
  <si>
    <t>https://cf.geekdo-images.com/c1DOHkXD35OcqfPoxoSXlA__original/img/QhTMABCVrt58dLsps9sAWEu8CpI=/0x0/filters:format(jpeg)/pic1269874.jpg</t>
  </si>
  <si>
    <t>Sidereal Confluence</t>
  </si>
  <si>
    <t>https://cf.geekdo-images.com/3V1Nmee3P4qSpVmWO9uGgw__small/img/ptUAPVk_LoqX7qDUt7ngtDXe-Qw=/fit-in/200x150/filters:strip_icc()/pic4981297.jpg</t>
  </si>
  <si>
    <t>https://cf.geekdo-images.com/3V1Nmee3P4qSpVmWO9uGgw__original/img/1D98HsjtX5IzcwUMvd-67z1xzKo=/0x0/filters:format(jpeg)/pic4981297.jpg</t>
  </si>
  <si>
    <t>IKI</t>
  </si>
  <si>
    <t>https://cf.geekdo-images.com/ypE6HrTY1Xvpt1XCpKlMBw__small/img/25aN_TPIrOU6S7_1V31lVwsr3iA=/fit-in/200x150/filters:strip_icc()/pic5960068.png</t>
  </si>
  <si>
    <t>https://cf.geekdo-images.com/ypE6HrTY1Xvpt1XCpKlMBw__original/img/G4-gFXe9tKgnkgJOFTVO2A-Wbm4=/0x0/filters:format(png)/pic5960068.png</t>
  </si>
  <si>
    <t>Carnegie</t>
  </si>
  <si>
    <t>https://cf.geekdo-images.com/0qxz9DRRhsJrIW1TJ-kz0w__small/img/ma4yc5wbMVrfbg9r21-LxGVwRKw=/fit-in/200x150/filters:strip_icc()/pic5710736.jpg</t>
  </si>
  <si>
    <t>https://cf.geekdo-images.com/0qxz9DRRhsJrIW1TJ-kz0w__original/img/PzsJsCLfGGo4IG3v43VPvH_etPw=/0x0/filters:format(jpeg)/pic5710736.jpg</t>
  </si>
  <si>
    <t>119</t>
  </si>
  <si>
    <t>Revive</t>
  </si>
  <si>
    <t>https://cf.geekdo-images.com/V0OZ9QR0pC9G5t5i9MoZTQ__small/img/NPtXuKlsnfPORSn6kpTcf-ZdEF0=/fit-in/200x150/filters:strip_icc()/pic6950224.jpg</t>
  </si>
  <si>
    <t>https://cf.geekdo-images.com/V0OZ9QR0pC9G5t5i9MoZTQ__original/img/NxxAoxVxMNkDGEkD3aoobPL14dI=/0x0/filters:format(jpeg)/pic6950224.jpg</t>
  </si>
  <si>
    <t>Darwin's Journey</t>
  </si>
  <si>
    <t>https://cf.geekdo-images.com/-A_ABjMw4PdoAZrH-FjiiA__small/img/_rJRtHzqatLg9OQM0x1UaC1cRGY=/fit-in/200x150/filters:strip_icc()/pic5726930.png</t>
  </si>
  <si>
    <t>https://cf.geekdo-images.com/-A_ABjMw4PdoAZrH-FjiiA__original/img/GuDlOog3eTRrkxCUzCEgRc17B-g=/0x0/filters:format(png)/pic5726930.png</t>
  </si>
  <si>
    <t>93</t>
  </si>
  <si>
    <t>Tiletum</t>
  </si>
  <si>
    <t>https://cf.geekdo-images.com/DvvSoTrB3-UMEgz2rBraHg__small/img/TnJONz9KNXPJBQ42sorXuoUTlew=/fit-in/200x150/filters:strip_icc()/pic7533289.jpg</t>
  </si>
  <si>
    <t>https://cf.geekdo-images.com/DvvSoTrB3-UMEgz2rBraHg__original/img/a70U9DGHGxiyo8WWMOb9Zd4hrxc=/0x0/filters:format(jpeg)/pic7533289.jpg</t>
  </si>
  <si>
    <t>297</t>
  </si>
  <si>
    <t>Hegemony: Lead Your Class to Victory</t>
  </si>
  <si>
    <t>https://cf.geekdo-images.com/DCLgJlrvB-EqL6A3WgQLMQ__small/img/9yp6ANJx6cqdQqQ6hkNr3zA88vw=/fit-in/200x150/filters:strip_icc()/pic5715770.jpg</t>
  </si>
  <si>
    <t>https://cf.geekdo-images.com/DCLgJlrvB-EqL6A3WgQLMQ__original/img/vGpYcxjDBCOVcI0BcWOevspTQMQ=/0x0/filters:format(jpeg)/pic5715770.jpg</t>
  </si>
  <si>
    <t>44</t>
  </si>
  <si>
    <t>The Fuzzies</t>
  </si>
  <si>
    <t>https://cf.geekdo-images.com/X1l-aRaElR6j6GKYkCEYlg__small/img/IO3bkjf-9taW2mA3eEmSB1W5wmY=/fit-in/200x150/filters:strip_icc()/pic5649906.png</t>
  </si>
  <si>
    <t>https://cf.geekdo-images.com/X1l-aRaElR6j6GKYkCEYlg__original/img/G7nmq75tHriX-48DsrCxI6m3Fn8=/0x0/filters:format(png)/pic5649906.png</t>
  </si>
  <si>
    <t>Ave Caesar</t>
  </si>
  <si>
    <t>1989</t>
  </si>
  <si>
    <t>https://cf.geekdo-images.com/jfsOYuwuwuTwx-2ggixX0g__small/img/OVHVl9SyNPlQ8iJNMUfgCYVoyVk=/fit-in/200x150/filters:strip_icc()/pic7074363.jpg</t>
  </si>
  <si>
    <t>https://cf.geekdo-images.com/jfsOYuwuwuTwx-2ggixX0g__original/img/IjE1UgwAuH-1W01nbOC6yFWwufQ=/0x0/filters:format(jpeg)/pic7074363.jpg</t>
  </si>
  <si>
    <t>Cross Clues</t>
  </si>
  <si>
    <t>https://cf.geekdo-images.com/ZN2V2U-Ng_nyBgsg9dxWCg__small/img/Nwo-Ur7atIZiV5Y1nL9STHw5sVg=/fit-in/200x150/filters:strip_icc()/pic5532617.jpg</t>
  </si>
  <si>
    <t>https://cf.geekdo-images.com/ZN2V2U-Ng_nyBgsg9dxWCg__original/img/nZVqYbJ4vtNQnm58R20kmKlDlp0=/0x0/filters:format(jpeg)/pic5532617.jpg</t>
  </si>
  <si>
    <t>1.0796</t>
  </si>
  <si>
    <t>Forgotten Waters</t>
  </si>
  <si>
    <t>https://cf.geekdo-images.com/gLnzfyJio2MYbG9J-uQSiQ__small/img/Th5Wf0ynMEA14i06HUSqzz-8g24=/fit-in/200x150/filters:strip_icc()/pic5253984.jpg</t>
  </si>
  <si>
    <t>https://cf.geekdo-images.com/gLnzfyJio2MYbG9J-uQSiQ__original/img/WIqdfw845duHlpr9d5QvzPuHpGI=/0x0/filters:format(jpeg)/pic5253984.jpg</t>
  </si>
  <si>
    <t>2.0992</t>
  </si>
  <si>
    <t>Unfathomable</t>
  </si>
  <si>
    <t>https://cf.geekdo-images.com/_kZDRdv3tONk9vTcA_OwSA__small/img/_8WyQKScotYGRBbKT1ypXnH2YiA=/fit-in/200x150/filters:strip_icc()/pic8317346.png</t>
  </si>
  <si>
    <t>https://cf.geekdo-images.com/_kZDRdv3tONk9vTcA_OwSA__original/img/oEyl7gbuPch1ZM8H8e47XEOb_rs=/0x0/filters:format(png)/pic8317346.png</t>
  </si>
  <si>
    <t>Dungeon Mayhem</t>
  </si>
  <si>
    <t>https://cf.geekdo-images.com/faJfKYz6tG8JvDYqYHBjHg__small/img/JGJi0rrNusi2_aZ3d9SCN9wp4aw=/fit-in/200x150/filters:strip_icc()/pic5322689.jpg</t>
  </si>
  <si>
    <t>https://cf.geekdo-images.com/faJfKYz6tG8JvDYqYHBjHg__original/img/-DwgkWe6yIa2GAaf5VugWHMNrH4=/0x0/filters:format(jpeg)/pic5322689.jpg</t>
  </si>
  <si>
    <t>My Little Scythe</t>
  </si>
  <si>
    <t>https://cf.geekdo-images.com/EhXCpSR6ambdYuKbrej3UQ__small/img/3znFvjc6uN6rossizk5I5eOr4Rk=/fit-in/200x150/filters:strip_icc()/pic4134810.jpg</t>
  </si>
  <si>
    <t>https://cf.geekdo-images.com/EhXCpSR6ambdYuKbrej3UQ__original/img/M1WeUiGRTGOeiB9prqpy07OIKGM=/0x0/filters:format(jpeg)/pic4134810.jpg</t>
  </si>
  <si>
    <t>Rolling Realms</t>
  </si>
  <si>
    <t>https://cf.geekdo-images.com/5TZ5YfDo_r9vNNvWTl_pzw__small/img/oKM1pAH4fCa7LCNluCqr9qNOq4M=/fit-in/200x150/filters:strip_icc()/pic6313647.jpg</t>
  </si>
  <si>
    <t>https://cf.geekdo-images.com/5TZ5YfDo_r9vNNvWTl_pzw__original/img/YxcHzKCiiRq68K7Fd3qsUp-xhaE=/0x0/filters:format(jpeg)/pic6313647.jpg</t>
  </si>
  <si>
    <t>1.9813</t>
  </si>
  <si>
    <t>1092</t>
  </si>
  <si>
    <t>On Tour</t>
  </si>
  <si>
    <t>https://cf.geekdo-images.com/EGpkuw3B0B708kurJe7XRw__small/img/4YtDxVNAdVZ_fS2A4uqwX73J9U4=/fit-in/200x150/filters:strip_icc()/pic6973178.png</t>
  </si>
  <si>
    <t>https://cf.geekdo-images.com/EGpkuw3B0B708kurJe7XRw__original/img/xc5MgtTmc0cOO6oBEn6HrDGeCX8=/0x0/filters:format(png)/pic6973178.png</t>
  </si>
  <si>
    <t>Poetry for Neanderthals</t>
  </si>
  <si>
    <t>https://cf.geekdo-images.com/CDlBjXSPT-3Zyrj8ENBkvQ__small/img/0ON18UcLepuwPLhwkRtRUjhvAZ8=/fit-in/200x150/filters:strip_icc()/pic5702797.jpg</t>
  </si>
  <si>
    <t>https://cf.geekdo-images.com/CDlBjXSPT-3Zyrj8ENBkvQ__original/img/FgAyx5Q1pe7TyHsYskhbab_S_os=/0x0/filters:format(jpeg)/pic5702797.jpg</t>
  </si>
  <si>
    <t>Sub Terra II: Inferno's Edge</t>
  </si>
  <si>
    <t>https://cf.geekdo-images.com/IPMyu6Yj1j-fuQt0hgHINw__small/img/u1T6wKdSvBjUYzgZm9wAL1Zrj5M=/fit-in/200x150/filters:strip_icc()/pic4933104.jpg</t>
  </si>
  <si>
    <t>https://cf.geekdo-images.com/IPMyu6Yj1j-fuQt0hgHINw__original/img/EJf4Ogge9qYHFLGzxcAAYTkGFhU=/0x0/filters:format(jpeg)/pic4933104.jpg</t>
  </si>
  <si>
    <t>Zombie Teenz Evolution</t>
  </si>
  <si>
    <t>https://cf.geekdo-images.com/elS-EEtVF92Vk-YBqnJKeA__small/img/ZWbcOy6SjMcwsmeYe7Y42Nfk174=/fit-in/200x150/filters:strip_icc()/pic5733331.png</t>
  </si>
  <si>
    <t>https://cf.geekdo-images.com/elS-EEtVF92Vk-YBqnJKeA__original/img/Zr5Q4VUehMBvib7M48FyaAa9Gss=/0x0/filters:format(png)/pic5733331.png</t>
  </si>
  <si>
    <t>1.3878</t>
  </si>
  <si>
    <t>Marco Polo II: In the Service of the Khan</t>
  </si>
  <si>
    <t>https://cf.geekdo-images.com/rc7CQ5l95ZFoKq3iBVqjgg__small/img/3W5hTyRw8ABDkasT1mFSAf4f30w=/fit-in/200x150/filters:strip_icc()/pic5543526.jpg</t>
  </si>
  <si>
    <t>https://cf.geekdo-images.com/rc7CQ5l95ZFoKq3iBVqjgg__original/img/3EH__HLlmY7adABsY_HUtAlEMfo=/0x0/filters:format(jpeg)/pic5543526.jpg</t>
  </si>
  <si>
    <t>Praga Caput Regni</t>
  </si>
  <si>
    <t>https://cf.geekdo-images.com/aUPeXVwc40xrgud2XeZwyA__small/img/1TYDRYM7iz0-jLJ-YZj6d5bhweg=/fit-in/200x150/filters:strip_icc()/pic5671087.png</t>
  </si>
  <si>
    <t>https://cf.geekdo-images.com/aUPeXVwc40xrgud2XeZwyA__original/img/WbCD6iqzBhVucS7uRwYvtku5zD0=/0x0/filters:format(png)/pic5671087.png</t>
  </si>
  <si>
    <t>184</t>
  </si>
  <si>
    <t>Clinic: Deluxe Edition</t>
  </si>
  <si>
    <t>https://cf.geekdo-images.com/iSPW4FWKZPiscVBbVgzJ0Q__small/img/NQZu_MeYrdrZFsLASABeWJTKWtI=/fit-in/200x150/filters:strip_icc()/pic6625134.jpg</t>
  </si>
  <si>
    <t>https://cf.geekdo-images.com/iSPW4FWKZPiscVBbVgzJ0Q__original/img/Mlf3zgxNSckq276250BUObext8M=/0x0/filters:format(jpeg)/pic6625134.jpg</t>
  </si>
  <si>
    <t>3.9955</t>
  </si>
  <si>
    <t>Duos</t>
  </si>
  <si>
    <t>https://cf.geekdo-images.com/HJ26sr8wmrz6wcn1BNfBNg__small/img/G7gslMz1Ja8z5BUB58sK_ozROts=/fit-in/200x150/filters:strip_icc()/pic9057137.png</t>
  </si>
  <si>
    <t>https://cf.geekdo-images.com/HJ26sr8wmrz6wcn1BNfBNg__original/img/7HiYiJ1XmMUu0GgX4oZAWosFwoA=/0x0/filters:format(png)/pic9057137.png</t>
  </si>
  <si>
    <t>1.3529</t>
  </si>
  <si>
    <t>Timeline Challenge</t>
  </si>
  <si>
    <t>https://cf.geekdo-images.com/khqcxX_Qwjk876SXNGMNYQ__small/img/mhx5IQC9zpEhlEPZTCyL2bxsyQs=/fit-in/200x150/filters:strip_icc()/pic2815954.jpg</t>
  </si>
  <si>
    <t>https://cf.geekdo-images.com/khqcxX_Qwjk876SXNGMNYQ__original/img/vF3T2f06MJ0WqQUseoMg96wd2Qo=/0x0/filters:format(jpeg)/pic2815954.jpg</t>
  </si>
  <si>
    <t>Similo</t>
  </si>
  <si>
    <t>https://cf.geekdo-images.com/fl0hNCmltu2hpcmXaVnmLg__small/img/Nwxz6SRTlKky0ynhYUEk2ooRZc4=/fit-in/200x150/filters:strip_icc()/pic6417388.png</t>
  </si>
  <si>
    <t>https://cf.geekdo-images.com/fl0hNCmltu2hpcmXaVnmLg__original/img/1kS0DQYV4y8HQdAmSlNhOW01Lhg=/0x0/filters:format(png)/pic6417388.png</t>
  </si>
  <si>
    <t>1329</t>
  </si>
  <si>
    <t>Men at Work</t>
  </si>
  <si>
    <t>https://cf.geekdo-images.com/nVogtdDzfxKdH82J-bh5_w__small/img/-jpWz1aryCNbjKTkg95H8xqMHX0=/fit-in/200x150/filters:strip_icc()/pic4318462.jpg</t>
  </si>
  <si>
    <t>https://cf.geekdo-images.com/nVogtdDzfxKdH82J-bh5_w__original/img/XvNejQdluEbWDie9tiKoNeoK99Y=/0x0/filters:format(jpeg)/pic4318462.jpg</t>
  </si>
  <si>
    <t>1.0781</t>
  </si>
  <si>
    <t>Catch Phrase</t>
  </si>
  <si>
    <t>https://cf.geekdo-images.com/F6bna3RvtN8SHJoJq_K67w__small/img/aO8iusbCGRAoY6xvYk6EVoWYQFc=/fit-in/200x150/filters:strip_icc()/pic2867855.jpg</t>
  </si>
  <si>
    <t>https://cf.geekdo-images.com/F6bna3RvtN8SHJoJq_K67w__original/img/mYVaKeFk6QZHAHqQuJRXlB1tbWU=/0x0/filters:format(jpeg)/pic2867855.jpg</t>
  </si>
  <si>
    <t>5.375</t>
  </si>
  <si>
    <t>Las Vegas Royale</t>
  </si>
  <si>
    <t>https://cf.geekdo-images.com/4BDkj75aMObXau8L08jX5w__small/img/ICsFoIjh4k2TlrByRP_sWL9sDKw=/fit-in/200x150/filters:strip_icc()/pic4673729.jpg</t>
  </si>
  <si>
    <t>https://cf.geekdo-images.com/4BDkj75aMObXau8L08jX5w__original/img/NLdUQTH9CQX5FgaqCcNbmAccQr8=/0x0/filters:format(jpeg)/pic4673729.jpg</t>
  </si>
  <si>
    <t>Letter Tycoon</t>
  </si>
  <si>
    <t>https://cf.geekdo-images.com/QD1h_4akelowNfErzBBeVg__small/img/_vyTYeHR1Pj4uVt0RuiMUZf53zo=/fit-in/200x150/filters:strip_icc()/pic2510971.jpg</t>
  </si>
  <si>
    <t>https://cf.geekdo-images.com/QD1h_4akelowNfErzBBeVg__original/img/k7WqdzDCg2u4eMkv4NLms4sOknc=/0x0/filters:format(jpeg)/pic2510971.jpg</t>
  </si>
  <si>
    <t>https://www.boardgameoracle.com/en-NZ/boardgame/price/1gdMtekwGb/dont-mess-with-cthulhu-deluxe</t>
  </si>
  <si>
    <t>https://www.boardgameoracle.com/en-NZ/boardgame/price/671dyiG6Dw/planet-unknown</t>
  </si>
  <si>
    <t>https://www.boardgameoracle.com/en-NZ/boardgame/price/WDKUzQ3zq2/chinatown</t>
  </si>
  <si>
    <t>https://www.boardgameoracle.com/en-NZ/boardgame/price/45YlyMZ0n9/sidereal-confluence</t>
  </si>
  <si>
    <t>https://www.boardgameoracle.com/en-NZ/boardgame/price/TjkQy67CFh/beyond-the-sun</t>
  </si>
  <si>
    <t>https://www.boardgameoracle.com/en-NZ/boardgame/price/Vf8Z68RAoy/iki</t>
  </si>
  <si>
    <t>https://www.boardgameoracle.com/en-NZ/boardgame/price/4Lb_115a7-/great-western-trail-second-edition</t>
  </si>
  <si>
    <t>https://www.boardgameoracle.com/en-NZ/boardgame/price/h_e-3bcNat/barrage</t>
  </si>
  <si>
    <t>https://www.boardgameoracle.com/en-NZ/boardgame/price/Y9c_xQFjBO/carnegie</t>
  </si>
  <si>
    <t>https://www.boardgameoracle.com/en-NZ/boardgame/price/jT4vsCkNOp/revive</t>
  </si>
  <si>
    <t>https://www.boardgameoracle.com/en-NZ/boardgame/price/-ocLy90nf3/darwins-journey</t>
  </si>
  <si>
    <t>https://www.boardgameoracle.com/en-NZ/boardgame/price/rYDJWJme-b/tiletum</t>
  </si>
  <si>
    <t>https://www.boardgameoracle.com/en-NZ/boardgame/price/QQi8Sx0oj8/hegemony-lead-your-class-to-victory</t>
  </si>
  <si>
    <t>https://www.boardgameoracle.com/en-NZ/boardgame/price/VHUh_GEd1L/mysterium</t>
  </si>
  <si>
    <t>https://www.boardgameoracle.com/en-NZ/boardgame/price/kqMZk0M1Qg/the-search-for-planet-x</t>
  </si>
  <si>
    <t>https://www.boardgameoracle.com/en-NZ/boardgame/price/3Zxa6BMW8u/two-rooms-and-a-boom</t>
  </si>
  <si>
    <t>https://www.boardgameoracle.com/en-NZ/boardgame/price/sFWm3RcsXd/the-fuzzies</t>
  </si>
  <si>
    <t>https://www.boardgameoracle.com/en-NZ/boardgame/price/xEmFNJAqz_/deep-sea-adventure</t>
  </si>
  <si>
    <t>https://www.boardgameoracle.com/en-NZ/boardgame/price/Arh7eCbyeg/next-station-london</t>
  </si>
  <si>
    <t>https://www.boardgameoracle.com/en-NZ/boardgame/price/TEseyeARnS/air-land-and-sea</t>
  </si>
  <si>
    <t>https://www.boardgameoracle.com/en-NZ/boardgame/price/fb-mmxwN98/summoner-wars-second-edition</t>
  </si>
  <si>
    <t>https://www.boardgameoracle.com/en-NZ/boardgame/price/nI-8W-tSeR/ave-caesar</t>
  </si>
  <si>
    <t>https://www.boardgameoracle.com/en-NZ/boardgame/price/sJW23jsksa/cross-clues</t>
  </si>
  <si>
    <t>https://www.boardgameoracle.com/en-NZ/boardgame/price/Jk0J4N_sIW/forgotten-waters</t>
  </si>
  <si>
    <t>https://www.boardgameoracle.com/en-NZ/boardgame/price/scd-kcYPxk/unfathomable</t>
  </si>
  <si>
    <t>https://www.boardgameoracle.com/en-NZ/boardgame/price/5_m-unQhsF/dungeon-mayhem</t>
  </si>
  <si>
    <t>https://www.boardgameoracle.com/en-NZ/boardgame/price/lVKRnKmoEC/my-little-scythe</t>
  </si>
  <si>
    <t>https://www.boardgameoracle.com/en-NZ/boardgame/price/3vhTlV6PWm/rolling-realms-redux</t>
  </si>
  <si>
    <t>https://www.boardgameoracle.com/en-NZ/boardgame/price/X-3hrwtW5e/on-tour-second-edition</t>
  </si>
  <si>
    <t>https://www.boardgameoracle.com/en-NZ/boardgame/price/LskejQAtEb/poetry-for-neanderthals</t>
  </si>
  <si>
    <t>https://www.boardgameoracle.com/en-NZ/boardgame/price/BaW14CMBkP/shadows-over-camelot</t>
  </si>
  <si>
    <t>https://www.boardgameoracle.com/en-NZ/boardgame/price/eAxC29ttl2/atlantis-rising-second-edition</t>
  </si>
  <si>
    <t>https://www.boardgameoracle.com/en-NZ/boardgame/price/Ahv5S4eRgA/sub-terra-ii-infernos-edge</t>
  </si>
  <si>
    <t>https://www.boardgameoracle.com/en-NZ/boardgame/price/ZsaA02urJu/zombie-teenz-evolution</t>
  </si>
  <si>
    <t>https://www.boardgameoracle.com/en-NZ/boardgame/price/_kL40IM0it/queendomino</t>
  </si>
  <si>
    <t>https://www.boardgameoracle.com/en-NZ/boardgame/price/HPN4pqFc3R/rhino-hero-super-battle</t>
  </si>
  <si>
    <t>https://www.boardgameoracle.com/en-NZ/boardgame/price/8B5UtCFD48/lords-of-waterdeep</t>
  </si>
  <si>
    <t>https://www.boardgameoracle.com/en-NZ/boardgame/price/mEvYVhbFa6/teotihuacan-city-of-gods</t>
  </si>
  <si>
    <t>https://www.boardgameoracle.com/en-NZ/boardgame/price/_OiJ6a2KXj/marco-polo-ii-im-auftrag-des-khan</t>
  </si>
  <si>
    <t>https://www.boardgameoracle.com/en-NZ/boardgame/price/Agr8YLhfAS/praga-caput-regni</t>
  </si>
  <si>
    <t>https://www.boardgameoracle.com/en-NZ/boardgame/price/IPb6KycCDR/clinic-deluxe-edition</t>
  </si>
  <si>
    <t>https://www.boardgameoracle.com/en-NZ/boardgame/price/i87oZY7qYe/anachrony</t>
  </si>
  <si>
    <t>https://www.boardgameoracle.com/en-NZ/boardgame/price/HWYNSdiI-C/food-chain-magnate</t>
  </si>
  <si>
    <t>https://www.boardgameoracle.com/en-NZ/boardgame/price/D6pyhdrOeW/duos</t>
  </si>
  <si>
    <t>https://www.boardgameoracle.com/en-NZ/boardgame/price/BsdEmyAePx/timeline-challenge</t>
  </si>
  <si>
    <t>https://www.boardgameoracle.com/en-NZ/boardgame/price/CFfHoVQzHu/similo</t>
  </si>
  <si>
    <t>https://www.boardgameoracle.com/en-NZ/boardgame/price/7edtwj-Iko/men-at-work</t>
  </si>
  <si>
    <t>https://www.boardgameoracle.com/en-NZ/boardgame/price/XFLc5zPbfh/las-vegas-royale</t>
  </si>
  <si>
    <t>https://www.boardgameoracle.com/en-NZ/boardgame/price/q2p8_Jtk8p/high-society</t>
  </si>
  <si>
    <t>https://www.boardgameoracle.com/en-NZ/boardgame/price/UbKiiBzarm/catch-phrase</t>
  </si>
  <si>
    <t>https://www.boardgameoracle.com/en-NZ/boardgame/price/aZzXmJQcdL/letter-tycoon</t>
  </si>
  <si>
    <t>COOP_ADVENTURE</t>
  </si>
  <si>
    <t>GATEWAY_STRATEGY</t>
  </si>
  <si>
    <t>KIDS_FAMILIES</t>
  </si>
  <si>
    <t>PARTY_ICEBREAKERS</t>
  </si>
  <si>
    <t>CORE_STRATEGY</t>
  </si>
  <si>
    <t>bgg_id</t>
  </si>
  <si>
    <t>category</t>
  </si>
  <si>
    <t>bgg_name</t>
  </si>
  <si>
    <t>check_name</t>
  </si>
  <si>
    <t>check_unique</t>
  </si>
  <si>
    <t>categories</t>
  </si>
  <si>
    <t>players_min</t>
  </si>
  <si>
    <t>players_max</t>
  </si>
  <si>
    <t>playtime_min</t>
  </si>
  <si>
    <t>playtime_max</t>
  </si>
  <si>
    <t>image</t>
  </si>
  <si>
    <t>created_at</t>
  </si>
  <si>
    <t>thumbnail_file</t>
  </si>
  <si>
    <t>mana_meeple_category</t>
  </si>
  <si>
    <t>description</t>
  </si>
  <si>
    <t>designers</t>
  </si>
  <si>
    <t>publishers</t>
  </si>
  <si>
    <t>mechanics</t>
  </si>
  <si>
    <t>artists</t>
  </si>
  <si>
    <t>average_rating</t>
  </si>
  <si>
    <t>complexity</t>
  </si>
  <si>
    <t>users_rated</t>
  </si>
  <si>
    <t>is_cooperative</t>
  </si>
  <si>
    <t>Abstract Strategy, Renaissance</t>
  </si>
  <si>
    <t>/thumbs/1-azul.png</t>
  </si>
  <si>
    <t>2025-09-16T00:47:26.336168</t>
  </si>
  <si>
    <t>1-azul.png</t>
  </si>
  <si>
    <t xml:space="preserve">Introduced by the Moors, azulejos (originally white and blue ceramic tiles) were fully embraced by the Portuguese when their king Manuel I, on a visit to the Alhambra palace in Southern Spain, was mesmerized by the stunning beauty of the Moorish decorative tiles. The king, awestruck by the interior beauty of the Alhambra, immediately ordered that his own palace in Portugal be decorated with similar wall tiles. As a tile-laying artist, you have been challenged to embellish the walls of the Royal Palace of Evora.
In the game Azul, players take turns drafting colored tiles from suppliers to their player board. Later in the round, players score points based on how they've placed their tiles to decorate the palace. Extra points are scored for specific patterns and completing sets; wasted supplies harm the player's score. The player with the most points at the end of the game wins.
</t>
  </si>
  <si>
    <t>["Michael Kiesling"]</t>
  </si>
  <si>
    <t>["Next Move Games", "Plan B Games", "asmodee", "Belleville (\u0411\u0435\u043b\u044c\u0432\u0456\u043b\u044c)", "Broadway Toys LTD", "Divercentro", "Gal\u00e1pagos Jogos", "G\u00e9m Klub Kft.", "Ghenos Games", "Green Elephant Games", "Hobby Japan", "KADABRA", "Kaissa Chess &amp; Games", "Korea Boardgames", "Lacerta", "MINDOK", "MIPL", "Orangutan Games", "Pegasus Spiele", "Rebel Sp. z o.o.", "SuperHeated Neurons", "Tower Tactic Games", "TWOPLUS Games", "Zvezda"]</t>
  </si>
  <si>
    <t>["Chaining", "End Game Bonuses", "Grid Coverage", "Open Drafting", "Pattern Building", "Set Collection", "Square Grid", "Tile Placement", "Turn Order: Claim Action"]</t>
  </si>
  <si>
    <t>["Philippe Gu\u00e9rin", "Chris Quilliams"]</t>
  </si>
  <si>
    <t>Animals, Card Game, Educational</t>
  </si>
  <si>
    <t>/thumbs/2-wingspan.jpg</t>
  </si>
  <si>
    <t>2025-09-16T00:59:01.484382</t>
  </si>
  <si>
    <t>2-wingspan.jpg</t>
  </si>
  <si>
    <t xml:space="preserve">Wingspan is a competitive, medium-weight, card-driven, engine-building board game from Stonemaier Games. It's designed by Elizabeth Hargrave and features 180 birds illustrated by Natalia Rojas and Ana Maria Martinez.
You are bird enthusiasts—researchers, bird watchers, ornithologists, and collectors—seeking to discover and attract the best birds to your network of wildlife preserves. Each bird extends a chain of powerful combinations in one of your habitats (actions). These habitats  focus on several key aspects of growth:
     Gain food tokens via custom dice in a birdfeeder dice tower
     Lay eggs using egg miniatures in a variety of colors
     Draw from hundreds of unique bird cards and play them
The winner is the player with the most points after 4 rounds.
—description from the publisher
From the 7th printing on, the base game box includes Wingspan: Swift-Start Promo Pack.
</t>
  </si>
  <si>
    <t>["Elizabeth Hargrave"]</t>
  </si>
  <si>
    <t>["Stonemaier Games", "999 Games", "Angry Lion Games", "Arclight Games", "asmodee", "Automa Factory", "Bluebird Games", "Brain Games", "Delta Vision Publishing", "Divercentro", "Feuerland Spiele", "Ghenos Games", "Green Elephant Games", "Grok Games", "Kaissa Chess &amp; Games", "Korea Boardgames", "Lautapelit.fi", "Lavka Games", "Ludofy Creative", "Maldito Games", "Matagot", "MINDOK", "MIPL", "NeoTroy Games", "Rebel Sp. z o.o.", "Regatul Jocurilor", "Siam Board Games", "Surfin' Meeple China", "\u0406\u0433\u0440\u043e\u043c\u0430\u0433"]</t>
  </si>
  <si>
    <t>["Action Queue", "Dice Rolling", "End Game Bonuses", "Hand Management", "Once-Per-Game Abilities", "Open Drafting", "Set Collection", "Solo / Solitaire Game", "Turn Order: Progressive"]</t>
  </si>
  <si>
    <t>["Ana Maria Martinez Jaramillo", "Natalia Rojas", "Elizabeth Hargrave", "Greg May", "Beth Sobel"]</t>
  </si>
  <si>
    <t>Animals, Environmental</t>
  </si>
  <si>
    <t>/thumbs/3-cascadia.jpg</t>
  </si>
  <si>
    <t>2025-09-16T00:59:18.753257</t>
  </si>
  <si>
    <t>3-cascadia.jpg</t>
  </si>
  <si>
    <t xml:space="preserve">Cascadia is a puzzly tile-laying and token-drafting game featuring the habitats and wildlife of the Pacific Northwest.
In the game, you take turns building out your own terrain area and populating it with wildlife. You start with three hexagonal habitat tiles (with the five types of habitat in the game), and on a turn you choose a new habitat tile that's paired with a wildlife token, then place that tile next to your other ones and place the wildlife token on an appropriate habitat. (Each tile depicts 1-3 types of wildlife from the five types in the game, and you can place at most one tile on a habitat.) Four tiles are on display, with each tile being paired at random with a wildlife token, so you must make the best of what's available — unless you have a nature token to spend so that you can pick your choice of each item.
Ideally you can place habitat tiles to create matching terrain that reduces fragmentation and creates wildlife corridors, mostly because you score for the largest area of each type of habitat at game's end, with a bonus if your group is larger than each other player's. At the same time, you want to place wildlife tokens so that you can maximize the number of points scored by them, with the wildlife goals being determined at random by one of the four scoring cards for each type of wildlife. Maybe hawks want to be separate from other hawks, while foxes want lots of different animals surrounding them and bears want to be in pairs. Can you make it happen?
</t>
  </si>
  <si>
    <t>["Randy Flynn"]</t>
  </si>
  <si>
    <t>["Flatout Games", "Alderac Entertainment Group", "Boardgame Mall", "CMON Global Limited", "CrowD Games", "Delirium Games", "Fantasmagoria", "Gaming Library", "G\u00e9m Klub Kft.", "Grok Games", "Hid Konem (\u0425\u0456\u0434 \u041a\u043e\u043d\u0435\u043c)", "Kaissa Chess &amp; Games", "KOSMOS", "Little Rocket Games", "Lord of Boards", "Lucky Duck Games", "MINDOK", "MIPL", "NeoTroy Games", "Regatul Jocurilor", "Salta da Caixa", "Terra Publica", "Tower Tactic Games", "White Goblin Games", "\u682a\u5f0f\u4f1a\u793e\u30b1\u30f3\u30d3\u30eb (KenBill)"]</t>
  </si>
  <si>
    <t>["End Game Bonuses", "Hexagon Grid", "Open Drafting", "Pattern Building", "Solo / Solitaire Game", "Tile Placement", "Variable Set-up"]</t>
  </si>
  <si>
    <t>["Beth Sobel"]</t>
  </si>
  <si>
    <t>Ancient, Card Game, City Building, Civilization, Economic</t>
  </si>
  <si>
    <t>/thumbs/4-7-wonders.jpg</t>
  </si>
  <si>
    <t>2025-09-16T22:42:10.050302</t>
  </si>
  <si>
    <t>4-7-wonders.jpg</t>
  </si>
  <si>
    <t xml:space="preserve">You are the leader of one of the 7 great cities of the Ancient World. Gather resources, develop commercial routes, and affirm your military supremacy. Build your city and erect an architectural wonder which will transcend future times.
7 Wonders lasts three ages. In each age, players receive seven cards from a particular deck, choose one of those cards, then pass the remainder to an adjacent player. Players reveal their cards simultaneously, paying resources if needed or collecting resources or interacting with other players in various ways. (Players have individual boards with special powers on which to organize their cards, and the boards are double-sided). Each player then chooses another card from the deck they were passed, and the process repeats until players have six cards in play from that age. After three ages, the game ends.
In essence, 7 Wonders is a card development game. Some cards have immediate effects, while others provide bonuses or upgrades later in the game. Some cards provide discounts on future purchases. Some provide military strength to overpower your neighbors and others give nothing but victory points. Each card is played immediately after being drafted, so you'll know which cards your neighbor is receiving and how her choices might affect what you've already built up. Cards are passed left-right-left over the three ages, so you need to keep an eye on the neighbors in both directions.
Though the box of earlier editions is listed as being for 3–7 players, there is an official 2-player variant included in the instructions.
</t>
  </si>
  <si>
    <t>["Antoine Bauza"]</t>
  </si>
  <si>
    <t>["Repos Production", "ADC Blackfire Entertainment", "Asterion Press", "Gal\u00e1pagos Jogos", "G\u00e9m Klub Kft.", "Hobby Japan", "Kaissa Chess &amp; Games", "Korea Boardgames", "Lautapelit.fi", "Lifestyle Boardgames Ltd", "NeoTroy Games", "Rebel Sp. z o.o.", "Siam Board Games"]</t>
  </si>
  <si>
    <t>["Closed Drafting", "End Game Bonuses", "Hand Management", "Melding and Splaying", "Multi-Use Cards", "Neighbor Scope", "Once-Per-Game Abilities", "Score-and-Reset Game", "Set Collection", "Simultaneous Action Selection", "Tags", "Tech Trees / Tech Tracks", "Variable Player Powers", "Variable Set-up"]</t>
  </si>
  <si>
    <t>["Dimitri Chappuis", "Miguel Coimbra", "Etienne Hebinger", "Cyril Nouvel"]</t>
  </si>
  <si>
    <t>/thumbs/5-7-wonders-duel.jpg</t>
  </si>
  <si>
    <t>2025-09-16T22:42:10.660472</t>
  </si>
  <si>
    <t>5-7-wonders-duel.jpg</t>
  </si>
  <si>
    <t xml:space="preserve">In many ways 7 Wonders Duel resembles its parent game 7 Wonders. Over three ages, players acquire cards that provide resources or advance their military or scientific development in order to develop a civilization and complete wonders. What's different about 7 Wonders Duel is that, as the title suggests, the game is solely for two players.
Players do not draft cards simultaneously from decks of cards, but from a display of face-down and face-up cards arranged at the start of a round. A player can take a card only if it's not covered by any others, so timing comes into play, as it can with bonus moves that allow the player to take a second card immediately. As in the original game, each acquired card can be built, discarded for coins, or used to construct a wonder. Each player also starts with four wonder cards, and the construction of a wonder provides its owner with a special ability. Only seven wonders can be built, though, so one player will end up short.
Players can purchase resources at any time from the bank, or they can gain cards during the game that provide them with resources for future building; as they are acquired, the cost for those resources increases for the opponent, representing the owner's dominance in this area.
You can win 7 Wonders Duel in one of three ways: each time you acquire a military card, you advance the military marker toward your opponent's capital (also giving you a bonus at certain positions). If you reach the opponent's capital, you win the game immediately. Or if you acquire six of seven different scientific symbols, you achieve scientific dominance and win immediately. If none of these situations occurs, then the player with the most points at the end of the game wins.
</t>
  </si>
  <si>
    <t>["Antoine Bauza", "Bruno Cathala"]</t>
  </si>
  <si>
    <t>["Repos Production", "ADC Blackfire Entertainment", "asmodee", "Asterion Press", "Boardgame Space", "CoolPlay", "Gal\u00e1pagos Jogos", "G\u00e9m Klub Kft.", "Hobby Japan", "KADABRA", "Kaissa Chess &amp; Games", "Korea Boardgames", "Lautapelit.fi", "Lifestyle Boardgames Ltd", "Ludicus Games", "Ponva d.o.o.", "Pridemage Games", "Rebel Sp. z o.o.", "Siam Board Games", "Sombreros Production", "\u0406\u0433\u0440\u043e\u043c\u0430\u0433"]</t>
  </si>
  <si>
    <t>["End Game Bonuses", "Income", "Melding and Splaying", "Modular Board", "Multi-Use Cards", "Once-Per-Game Abilities", "Open Drafting", "Score-and-Reset Game", "Set Collection", "Sudden Death Ending", "Tags", "Tech Trees / Tech Tracks", "Track Movement", "Tug of War", "Variable Set-up"]</t>
  </si>
  <si>
    <t>["Miguel Coimbra"]</t>
  </si>
  <si>
    <t>Animals, Farming, Industry / Manufacturing, Medieval, Puzzle</t>
  </si>
  <si>
    <t>/thumbs/6-a-feast-for-odin.png</t>
  </si>
  <si>
    <t>2025-09-16T22:42:11.141119</t>
  </si>
  <si>
    <t>6-a-feast-for-odin.png</t>
  </si>
  <si>
    <t>A Feast for Odin is a saga in the form of a board game. You are reliving the cultural achievements, mercantile expeditions, and pillages of those tribes we know as Viking today — a term that was used quite differently towards the end of the first millennium.
When the northerners went out for a raid, they used to say they headed out for a viking. Their Scandinavian ancestors, however, were much more than just pirates. They were explorers and founders of states. Leif Eriksson is said to be the first European in America, long before Columbus.
In what is known today as Normandy, the intruders were not called Vikings but Normans. One of them is the famous William the Conqueror who invaded England in 1066. He managed to do what the king of Norway failed to do only a few years prior: conquer the Throne of England. The reason the people of these times became such strong seafarers was their unfortunate agricultural situation: crop shortfalls caused great distress.
In this game, you will raid and explore new territories. You will also engage in the day-to-day activity of collecting goods with which to achieve a financially secure position in society. In the end, the player whose possessions bear the greatest value will be declared the winner.
--gameplay description from @StoryBoardGamer's review:
A Feast for Odin is a points-driven game, with a plethora of pathways to victory, with a range of risks balanced against rewards. A significant portion of this is your central hall, which has a whopping -86 points of squares and a major part of your game is attempting to cover these up with various tiles. Likewise, long halls and island colonies can also offer large rewards, but they will have penalties of their own.
Each year follows a familiar pattern of preparation, worker placement, and then meeting the requirements of your feast. The main phase of each year is a worker placement affair. You start with a selection of Vikings, and a large action board with a whopping 61 differ</t>
  </si>
  <si>
    <t>["Uwe Rosenberg"]</t>
  </si>
  <si>
    <t>["Feuerland Spiele", "Cranio Creations", "Devir", "Filosofia \u00c9ditions", "Game Harbor", "Hobby World", "Korea Boardgames", "Lacerta", "Maldito Games", "Mandala Jogos", "Rebel Sp. z o.o.", "Super Meeple", "\u30c6\u30f3\u30c7\u30a4\u30ba\u30b2\u30fc\u30e0\u30ba (TendaysGames)", "TLAMA games", "White Goblin Games", "Z-Man Games"]</t>
  </si>
  <si>
    <t>["Action Points", "Automatic Resource Growth", "Dice Rolling", "Enclosure", "Grid Coverage", "Hand Management", "Income", "Layering", "Pattern Recognition", "Push Your Luck", "Solo / Solitaire Game", "Square Grid", "Tile Placement", "Turn Order: Pass Order", "Worker Placement"]</t>
  </si>
  <si>
    <t>["Dennis Lohausen"]</t>
  </si>
  <si>
    <t>Card Game, Farming</t>
  </si>
  <si>
    <t>/thumbs/7-abandon-all-artichokes.png</t>
  </si>
  <si>
    <t>2025-09-16T22:42:11.632866</t>
  </si>
  <si>
    <t>7-abandon-all-artichokes.png</t>
  </si>
  <si>
    <t xml:space="preserve">Abandon All Artichokes isn't your garden-variety card game!
A bumper-crop of prickly produce has overtaken your patch, and there's only one choice: abandon all artichokes!  Prune your deck by harvesting fresh vegetables, each with a special power that lets you swap, discard, or compost cards. You need luck, strategy, and a green thumb to grow a winning hand!
—description from the publisher
</t>
  </si>
  <si>
    <t>["Emma Larkins"]</t>
  </si>
  <si>
    <t>["Gamewright", "AMIGO", "Arclight Games", "Devir", "Gigamic", "Magellan", "Popcorn Games", "Reflexshop", "uplay.it edizioni", "White Goblin Games"]</t>
  </si>
  <si>
    <t>["Deck, Bag, and Pool Building", "Open Drafting", "Race"]</t>
  </si>
  <si>
    <t>["Bonnie Pang"]</t>
  </si>
  <si>
    <t>Abstract Strategy, Ancient, City Building, Territory Building</t>
  </si>
  <si>
    <t>/thumbs/8-akropolis.jpg</t>
  </si>
  <si>
    <t>2025-09-16T22:42:12.162050</t>
  </si>
  <si>
    <t>8-akropolis.jpg</t>
  </si>
  <si>
    <t xml:space="preserve">The most talented architects in ancient Greece stand ready to achieve this goal. Build housing, temples, markets, gardens and barracks, so you can grow your city and ensure it triumphs over the others. Raise its prestige with harmonious planning that conforms to specific rules, and enhance it by building plazas.
Stone is an essential resource, so make sure you do not neglect it. You’ll need enough quarries so you can build higher up, making your city stretch towards the sky.
     Choose a tile from the construction site
     Arrange it in your city to unlock each district's full potential
     Build on higher levels, increase the value of your districts and win the game
—description from the publisher
</t>
  </si>
  <si>
    <t>["Jules Messaud"]</t>
  </si>
  <si>
    <t>["Gigamic", "BGA Plus", "Brain Games", "CMON Global Limited", "Engames", "Fox Mind Israel", "G\u00e9m Klub Kft.", "Geronimo Games", "Ghenos Games", "Hachette Boardgames Benelux", "Hachette Boardgames UK", "Hachette Boardgames USA", "Happy Color", "Kaissa Chess &amp; Games", "Kobold Spieleverlag", "Korea Boardgames", "Lautapelit.fi", "Lifestyle Boardgames Ltd", "Lucky Duck Games", "M&amp;V Games Distribution", "Mald\u00f3n", "MEBO Games", "PaperGames (III)", "TLAMA games", "WoodCat", "YOKA Games"]</t>
  </si>
  <si>
    <t>["Auction: Dutch", "End Game Bonuses", "Layering", "Open Drafting", "Pattern Building", "Solo / Solitaire Game", "Tile Placement", "Turn Order: Progressive"]</t>
  </si>
  <si>
    <t>["Pauline Detraz"]</t>
  </si>
  <si>
    <t>Action / Dexterity, Animals, Children's Game</t>
  </si>
  <si>
    <t>/thumbs/9-animal-upon-animal.jpg</t>
  </si>
  <si>
    <t>2025-09-16T22:42:12.647771</t>
  </si>
  <si>
    <t>9-animal-upon-animal.jpg</t>
  </si>
  <si>
    <t xml:space="preserve">The animals want to show how good they are at making tall pyramids!  They must be skillfully careful: Who will position the penguin on top of the crocodile, the sheep on top of the penguin, the serpent on the sheep?  The hedgehog wants to stand on top of the pyramid but the height is making him dizzy.
Tier auf Tier (a.k.a. Animal Upon Animal, Pyramide d'animaux, and Dier op dier) is a simple stacking game, listed for ages 4-99, with 29 cute wooden animals.
Each turn a player rolls the die and either places one or two animals on to the stack of animals, passes one of his or her animals to another player for them to place, or places an animal on the table, extending the base for other players to build upon. Of course, if any pieces fall off whilst you are building, you get up to two of them back. The first player to have used all of their animals wins.
This game, intended for children, is equally popular with adults.
</t>
  </si>
  <si>
    <t>["Klaus Miltenberger"]</t>
  </si>
  <si>
    <t>["HABA", "Conclave Editora", "Hobby World", "Swan Panasia Co., Ltd."]</t>
  </si>
  <si>
    <t>["Dice Rolling", "Stacking and Balancing", "Take That"]</t>
  </si>
  <si>
    <t>["Michael Bayer", "Daniel D\u00f6bner", "Klaus Miltenberger"]</t>
  </si>
  <si>
    <t>Party Game, Real-time, Trivia, Word Game</t>
  </si>
  <si>
    <t>/thumbs/10-anomia.jpg</t>
  </si>
  <si>
    <t>2025-09-16T22:42:13.152509</t>
  </si>
  <si>
    <t>10-anomia.jpg</t>
  </si>
  <si>
    <t xml:space="preserve">Anomia plays off the fact that our minds are positively brimming with all sorts of random information: things to eat, pop songs, websites, etc... Sure, under normal circumstances, it's easy to give an example of a frozen food or a dog breed, but you'll find that your brain works a little differently under pressure!
To play, draw and reveal a card from the center pile. Does the symbol on your card match one on another player's card? If so, you must quickly face-off with the other player by giving an example of the person, place, or thing on their card before they can do the same for yours. If you blurt out a correct answer first, you win their card and the drawing continues.
Sounds simple, right? Wrong! Wild cards allow non-matching symbols to match, increasing the number of things to which you must pay attention. Cascading face-offs can occur when you hand over a lost card, thereby revealing a new top card on your play pile.
</t>
  </si>
  <si>
    <t>["Andrew Innes"]</t>
  </si>
  <si>
    <t>["Anomia Press", "asmodee", "Broadway Toys LTD", "Cocktail Games", "Coiledspring Games", "Competo / Marektoy", "DV Games", "Happy Baobab", "KOSMOS", "L\u00fadilo", "Magellan", "Nasza Ksi\u0119garnia", "Piatnik"]</t>
  </si>
  <si>
    <t>["Pattern Recognition", "Speed Matching"]</t>
  </si>
  <si>
    <t>["Kinetic", "Paul Laane", "Cezary Szulc", "Peter Wocken"]</t>
  </si>
  <si>
    <t>Card Game, Fantasy</t>
  </si>
  <si>
    <t>/thumbs/11-ascension-deckbuilding-game.jpg</t>
  </si>
  <si>
    <t>2025-09-16T22:42:13.644603</t>
  </si>
  <si>
    <t>11-ascension-deckbuilding-game.jpg</t>
  </si>
  <si>
    <t xml:space="preserve">Ascension: Deckbuilding Game — originally released as Ascension: Chronicle of the Godslayer — is a fast-paced deck-building game designed by Magic: The Gathering Pro Tour champions Justin Gary, Rob Dougherty, and Brian Kibler, with artwork by Eric Sabee.
Ascension is a deck-building game in which players spend Runes to acquire more powerful cards for their deck. It offers a dynamic play experience where players have to react and adjust their strategy accordingly. Each player starts with a small deck of cards, and uses those cards to acquire more and better cards for their deck, with the goal of earning the most Honor Points by gaining cards and defeating monsters.
</t>
  </si>
  <si>
    <t>["John Fiorillo", "Justin Gary", "Brian M. Kibler"]</t>
  </si>
  <si>
    <t>["Stone Blade Entertainment", "Arclight Games", "FunBox Jogos", "Marabunta"]</t>
  </si>
  <si>
    <t>["Deck, Bag, and Pool Building", "Hand Management", "Open Drafting"]</t>
  </si>
  <si>
    <t>["Eric Sabee"]</t>
  </si>
  <si>
    <t>Card Game, Farming, Negotiation</t>
  </si>
  <si>
    <t>/thumbs/12-bohnanza.jpg</t>
  </si>
  <si>
    <t>2025-09-16T22:42:14.139892</t>
  </si>
  <si>
    <t>12-bohnanza.jpg</t>
  </si>
  <si>
    <t>Bohnanza is the first in the Bohnanza family of games and has been published in several different editions, including a 2023 version with flowers.
This entry lists a few different major card sets for Bohnanza: the base game for 3-5 players, the expanded game with the same name for 2-7 players (that is, first expansion included), and Bohnanza Pocket.
In the game, you plant, then harvest bean cards in order to earn coins. Each player starts with a hand of random bean cards, and each card has a number on it corresponding to the number of that type of beans in the deck. Unlike in most other card games, you can't rearrange the order of cards in hand, so you must use them in the order that you've picked them up from the deck — unless you can trade them to other players, which is the heart of the game.
On a turn, you must plant the first one or two cards in your hand into the "fields" in front of you. Each field can hold only one type of bean, so if you must plant a type of bean that's not in one of your fields, then you must harvest a field to make room for the new arrival. This usually isn't good! Next, you reveal two cards from the deck, and you can then trade these cards as well as any card in your hand for cards from other players. You can even make future promises for cards received right now! After all the trading is complete — and all trades on a turn must involve the active player — then you end your turn by drawing cards from the deck and placing them at the back of your hand.
When you harvest beans, you receive coins based on the number of bean cards in that field and the "beanometer" for that particular type of bean. Flip over 1-4 cards from that field to transform them into coins, then place the remainder of the cards in the discard pile. When the deck runs out, shuffle the discards, playing through the deck two more times. At the end of the game, everyone can harvest their fields, then whoever has earned the most coins wins.
The original German edition s</t>
  </si>
  <si>
    <t>["AMIGO", "999 Games", "Brain Games", "Broadway Toys LTD", "Copag Cards (Copag)", "Corfix", "Fractal Juegos", "G3", "Gigamic", "Kaissa Chess &amp; Games", "Kikigagne?", "Korea Boardgames", "Lautapelit.fi", "Lifestyle Boardgames Ltd", "Lookout Games", "Mercurio", "Midgaard Games", "M\u00f6bius Games", "Paper Iyagi", "PaperGames (III)", "Piatnik", "Rebel Sp. z o.o.", "Rio Grande Games", "Spilbr\u00e6t.dk", "Stratelibri", "Swan Panasia Co., Ltd.", "VR Distribution"]</t>
  </si>
  <si>
    <t>["Hand Management", "Multi-Use Cards", "Negotiation", "Set Collection", "Trading"]</t>
  </si>
  <si>
    <t>["Bj\u00f6rn Pertoft", "Klemens Franz", "Mady Nijenhuis", "Beth Sobel"]</t>
  </si>
  <si>
    <t>Action / Dexterity, Children's Game, Real-time</t>
  </si>
  <si>
    <t>/thumbs/13-buildzi.jpg</t>
  </si>
  <si>
    <t>2025-09-16T22:42:14.744598</t>
  </si>
  <si>
    <t>13-buildzi.jpg</t>
  </si>
  <si>
    <t xml:space="preserve">A speed-stacking game with 3D pentominoes (polycubes). Depending on the chosen mode of play, players race to build the structure shown on a single large card or to finish stacking each piece shown on their set of 8 small cards which they flip one-by-one (sets can either have 1 of each shape in the game or all 32 cards can be shuffled and distributed randomly). As with many of the publisher's games, several variant play modes are also included.
—user summary
</t>
  </si>
  <si>
    <t>[]</t>
  </si>
  <si>
    <t>["Carma Games", "L\u00fadilo"]</t>
  </si>
  <si>
    <t>["Stacking and Balancing"]</t>
  </si>
  <si>
    <t>Animals, Puzzle</t>
  </si>
  <si>
    <t>/thumbs/14-calico.jpg</t>
  </si>
  <si>
    <t>2025-09-16T22:42:15.289422</t>
  </si>
  <si>
    <t>14-calico.jpg</t>
  </si>
  <si>
    <t xml:space="preserve">Calico is a puzzly tile-laying game of quilts and cats.
In Calico, players compete to sew the coziest quilt as they collect and place patches of different colors and patterns. Each quilt has a particular pattern that must be followed, and players are also trying to create color and pattern combinations that are not only aesthetically pleasing, but also able to attract the cuddliest cats!
Turns are simple. Select a single patch tile from your hand and sew it into your quilt, then draw another patch into your hand from the three available. If you are able to create a color group, you may sew a button onto your quilt. If you are able to create a pattern combination that is attractive to any of the cats, it will come over and curl up on your quilt! At the end of the game, you score points for buttons, cats, and how well you were able to complete your unique quilt pattern.
—description from the publisher
</t>
  </si>
  <si>
    <t>["Kevin Russ"]</t>
  </si>
  <si>
    <t>["Flatout Games", "Alderac Entertainment Group", "Arclight Games", "CrowD Games", "Cryptic Cardboard", "G\u00e9m Klub Kft.", "Grok Games", "Hid Konem (\u0425\u0456\u0434 \u041a\u043e\u043d\u0435\u043c)", "Kaissa Chess &amp; Games", "Little Rocket Games", "Lord of Boards", "Lucky Duck Games", "Maldito Games", "MINDOK", "Popcorn Games", "Ravensburger", "White Goblin Games"]</t>
  </si>
  <si>
    <t>["Enclosure", "End Game Bonuses", "Grid Coverage", "Hexagon Grid", "Open Drafting", "Pattern Building", "Set Collection", "Solo / Solitaire Game", "Tile Placement"]</t>
  </si>
  <si>
    <t>Animals, Arabian, Dice, Racing</t>
  </si>
  <si>
    <t>/thumbs/15-camel-up-second-edition.jpg</t>
  </si>
  <si>
    <t>2025-09-16T22:42:15.782083</t>
  </si>
  <si>
    <t>15-camel-up-second-edition.jpg</t>
  </si>
  <si>
    <t xml:space="preserve">In Camel Up, up to eight players bet on five racing camels, trying to suss out which ones will place first and second in a quick race around a pyramid. The earlier you place your bet, the more you can win — should you guess correctly, of course. Camels don't run neatly, however, sometimes landing on top of another one and being carried toward the finish line. Who's going to run when? That all depends on how the dice come out of the pyramid dice shaker, which releases one die at a time when players pause from their bets long enough to see who's actually moving!
This 2018 edition of Camel Up features new artwork, a new game board design, a new pyramid design, engraved dice, and new game modes, including crazy rogue camels that start the race running in the opposite direction! You never know how a race will end!
</t>
  </si>
  <si>
    <t>["Steffen Bogen"]</t>
  </si>
  <si>
    <t>["eggertspiele", "Choo Choo Games", "Ediciones MasQueOca", "Gal\u00e1pagos Jogos", "Ghenos Games", "Hobby Japan", "Korea Boardgames", "Lookout Games", "Lucrum Games", "Pegasus Spiele", "Piatnik", "Plan B Games", "Pretzel Games", "SuperHeated Neurons", "Swan Panasia Co., Ltd.", "Tower Tactic Games", "uplay.it edizioni"]</t>
  </si>
  <si>
    <t>["Betting and Bluffing", "Dice Rolling", "Roll / Spin and Move", "Track Movement", "Variable Set-up"]</t>
  </si>
  <si>
    <t>["Chris Quilliams"]</t>
  </si>
  <si>
    <t>Deduction, Fighting, Modern Warfare, Nautical, Real-time</t>
  </si>
  <si>
    <t>/thumbs/16-captain-sonar.jpg</t>
  </si>
  <si>
    <t>2025-09-16T22:42:16.273622</t>
  </si>
  <si>
    <t>16-captain-sonar.jpg</t>
  </si>
  <si>
    <t xml:space="preserve">At the bottom of the ocean, no one will hear you scream!
In Captain Sonar, you and your teammates control a state-of-the-art submarine and are trying to locate an enemy submarine in order to blow it out of the water before they can do the same to you. Every role is important, and the confrontation is merciless. Be organized and communicate because a captain is nothing without his crew: the Chief Mate, the Radio Operator, and the Engineer.
All the members of a team sit on one side of the table, and they each take a particular role on the submarine, with the division of labor for these roles being dependent on the number of players in the game. Roles include: the Captain, who is responsible for moving the submarine and announcing some details of this movement; the Radio Operator listening to the opposing captain's orders and try to decipher where that sub might be in the water; the Engineer working in the munitions room to prepare torpedoes, mines and other devices that will allow for combat.
Captain Sonar can be played in two modes: turn-by-turn or simultaneous. In the latter set-up, all the members of a team take their actions simultaneously while trying to track what the opponents are doing, too. When a captain is ready to launch an attack, the action pauses for a moment to see whether a hit has been recorded — then play resumes with the target having snuck away while the attacker paused or with bits of metal now scattered across the ocean floor.
Multiple maps are included with varying levels of difficulty.
</t>
  </si>
  <si>
    <t>["Roberto Fraga", "Yohan Lemonnier"]</t>
  </si>
  <si>
    <t>["Matagot", "Arclight Games", "asmodee", "Broadway Toys LTD", "Bureau de Juegos", "Choo Choo Games", "Conclave Editora", "CrowD Games", "G\u00e9m Klub Kft.", "Lautapelit.fi", "Lex Games", "Pegasus Spiele", "Pendragon Game Studio", "Surfin' Meeple China", "WoodCat"]</t>
  </si>
  <si>
    <t>["Deduction", "Grid Movement", "Hidden Movement", "Line Drawing", "Real-Time", "Role Playing", "Secret Unit Deployment", "Simulation", "Team-Based Game"]</t>
  </si>
  <si>
    <t>["Ervin", "Piotr Forkasiewicz", "Sabrina Tobal"]</t>
  </si>
  <si>
    <t>Medieval, Territory Building</t>
  </si>
  <si>
    <t>/thumbs/17-carcassonne.png</t>
  </si>
  <si>
    <t>2025-09-16T22:42:16.758388</t>
  </si>
  <si>
    <t>17-carcassonne.png</t>
  </si>
  <si>
    <t xml:space="preserve">Carcassonne is a tile placement game in which the players draw and place a tile with a piece of southern French landscape represented on it. The tile might feature a city, a road, a cloister, grassland or some combination thereof, and it must be placed adjacent to tiles that have already been played, in such a way that cities are connected to cities, roads to roads, et cetera. Having placed a tile, the player can then decide to place one of their meeples in one of the areas on it: in the city as a knight, on the road as a robber, in the cloister as a monk, or in the field as a farmer. When that area is complete that meeple scores points for its owner.
During a game of Carcassonne, players are faced with decisions like: "Is it really worth putting my last meeple there?" or "Should I use this tile to expand my city, or should I place it near my opponent instead, thus making it a harder for them to complete it and score points?" Since players place only one tile and have the option to place one meeple on it, turns proceed quickly even if it is a game full of options and possibilities.
First game in the Carcassonne series.
</t>
  </si>
  <si>
    <t>["Klaus-J\u00fcrgen Wrede"]</t>
  </si>
  <si>
    <t>["Hans im Gl\u00fcck", "64 Ounce Games", "999 Games", "Albi", "Astrel Games", "Bard Centrum Gier", "Brain Games", "cutia.ro", "Devir", "Enigma (Bergsala Enigma)", "Fantasmagoria", "Feelindigo", "Filosofia \u00c9ditions", "Giochi Uniti", "Grow Jogos e Brinquedos", "Hobby World", "\u00cds\u00f6ld ehf.", "Kaissa Chess &amp; Games", "Korea Boardgames", "Lanlalen", "Lautapelit.fi", "Midgaard Games", "MINDOK", "M\u00f6bius Games", "Monkey Time", "NeoTroy Games", "Nordic Games ehf", "Paper Iyagi", "Piatnik", "Ponva d.o.o.", "Rio Grande Games", "Schmidt Spiele", "Smart Ltd", "Stupor Mundi", "SuperHeated Neurons", "Swan Panasia Co., Ltd.", "Venice Connection", "Ventura Games", "Z-Man Games"]</t>
  </si>
  <si>
    <t>["Area Majority / Influence", "Enclosure", "Kill Steal", "Map Addition", "Pattern Building", "Square Grid", "Tile Placement"]</t>
  </si>
  <si>
    <t>["Marcel Gr\u00f6ber", "Doris Matth\u00e4us", "Anne P\u00e4tzke", "Chris Quilliams", "Franz-Georg St\u00e4mmele"]</t>
  </si>
  <si>
    <t>Fantasy, Territory Building</t>
  </si>
  <si>
    <t>/thumbs/18-cartographers.png</t>
  </si>
  <si>
    <t>2025-09-16T22:42:17.246813</t>
  </si>
  <si>
    <t>18-cartographers.png</t>
  </si>
  <si>
    <t xml:space="preserve">Queen Gimnax has ordered the reclamation of the northern lands. As a cartographer in her service, you are sent to map this territory, claiming it for the Kingdom of Nalos. Through official edicts, the queen announces which lands she prizes most, and you will increase your reputation by meeting her demands. But you are not alone in this wilderness. The Dragul contest your claims with their outposts, so you must draw your lines carefully to reduce their influence. Reclaim the greatest share of the queen’s desired lands and you will be declared the greatest cartographer in the kingdom.
In Cartographers: A Roll Player Tale, players compete to earn the most reputation stars by the time four seasons have passed. Each season, players draw on their map sheets and earn reputation by carrying out the queen's edicts before the season is over. The player with the most reputation stars at the end of winter wins!
—description from the publisher
</t>
  </si>
  <si>
    <t>["Jordy Adan"]</t>
  </si>
  <si>
    <t>["Thunderworks Games", "Arclight Games", "Bur\u00f3", "Gameland \u6e38\u620f\u5927\u9646", "Gen-X Games", "Grok Games", "Hobby World", "Intrafin Games", "Kaissa Chess &amp; Games", "Lautapelit.fi", "Ludofy Creative", "Mandoo Games", "MIPL", "NeoTroy Games", "Ogry Games", "Outland", "Pegasus Spiele", "Raven Distribution", "Reflexshop", "Regatul Jocurilor", "REXhry", "Tower Tactic Games", "The Wood Games", "\u0406\u0433\u0440\u043e\u043c\u0430\u0433"]</t>
  </si>
  <si>
    <t>["Bingo", "Enclosure", "End Game Bonuses", "Grid Coverage", "Paper-and-Pencil", "Pattern Building", "Simultaneous Action Selection", "Solo / Solitaire Game", "Square Grid", "Take That", "Variable Set-up"]</t>
  </si>
  <si>
    <t>["Luis Francisco", "Lucas Ribeiro"]</t>
  </si>
  <si>
    <t>Economic, Negotiation</t>
  </si>
  <si>
    <t>/thumbs/19-catan.png</t>
  </si>
  <si>
    <t>2025-09-16T22:42:17.745705</t>
  </si>
  <si>
    <t>19-catan.png</t>
  </si>
  <si>
    <t>In CATAN (formerly The Settlers of Catan), players try to be the dominant force on the island of Catan by building settlements, cities and roads. On each turn dice are rolled to determine which resources the island produces. Players build structures by 'spending' resources (sheep, wheat, wood, brick and ore) which are represented by the relevant resource cards; each land type, with the exception of the unproductive desert, produces a specific resource: hills produce brick, forests produce wood, mountains produce ore, fields produce wheat, and pastures produce sheep.
Set-up includes randomly placing large hexagonal tiles (each depicting one of the five resource-producing terrain types--or the desert) in a honeycomb shape and surrounding them with water tiles, some of which contain ports of exchange. A number disk, the value of which will correspond to the roll of two 6-sided dice, are placed on each terrain tile. Each player is given two settlements (think: houses) and roads (sticks) which are placed on intersections and borders of the terrain tiles. Players collect a hand of resource cards based on which terrain tiles their last-placed settlement is adjacent to. A robber pawn is placed on the desert tile.
A turn consists of rolling the dice, collecting resource cards based on this dice roll and the position of settlements (or upgraded cities—think: hotels), turning in resource cards (if possible and desired) for improvements, trading cards at a port, possibly playing a development card, or trading resource cards with other players. If the dice roll is a 7, the active player moves the robber to a new terrain tile and steals a resource card from another player who has a settlement adjacent to that tile.
Points are accumulated by building settlements and cities, having the longest road or the largest army (from some of the development cards), and gathering certain development cards that simply award victory points. When a player has gathered 10 points (some of which</t>
  </si>
  <si>
    <t>["Klaus Teuber"]</t>
  </si>
  <si>
    <t>["KOSMOS", "64 Ounce Games", "999 Games", "Albi", "asmodee", "Astrel Games", "BGA Plus", "Br\u00e4dspel.se", "Brain Games", "Broadway Toys LTD", "Capcom Co., Ltd.", "Catan Studio", "Competo / Marektoy", "danspil", "Descartes Editeur", "Devir", "Dexy Co", "Enigma (Bergsala Enigma)", "Eurogames", "Filosofia \u00c9ditions", "Galakta", "Giochi Uniti", "GP Games", "Grow Jogos e Brinquedos", "HaKubia", "Hanayama", "Hobby World", "Ideal Board Games", "Igroljub", "IntelliGames.BG", "\u00cds\u00f6ld ehf.", "Kaissa Chess &amp; Games", "Korea Boardgames", "L&amp;M Games", "Laser plus", "Lautapelit.fi", "Logojogos", "Mayfair Games", "MIPL", "NeoTroy Games", "Ninive Games", "Paper Iyagi", "Piatnik", "Rozum", "Smart Ltd", "Spilbr\u00e6t.dk", "Stupor Mundi", "Super Impulse", "SuperHeated Neurons", "Swan Panasia Co., Ltd.", "Tilsit", "Top Toys", "TRY SOFT", "Venner\u00f8d Forlag AS"]</t>
  </si>
  <si>
    <t>["Chaining", "Dice Rolling", "Hand Management", "Hexagon Grid", "Hidden Victory Points", "Income", "Market", "Modular Board", "Network and Route Building", "Race", "Random Production", "Take That", "Trading", "Variable Set-up"]</t>
  </si>
  <si>
    <t>["Volkan Baga", "Tanja Donner", "Pete Fenlon", "Jason Hawkins", "Eric Hibbeler", "Michaela Kienle", "Andreas Klober", "Harald Lieske", "Michael Menzel", "Marion Pott", "Quentin Regnes", "Andreas Resch", "Matt Schwabel", "Franz Vohwinkel", "Stephen Graham Walsh"]</t>
  </si>
  <si>
    <t>Card Game, Number, Party Game</t>
  </si>
  <si>
    <t>/thumbs/20-take-5.jpg</t>
  </si>
  <si>
    <t>2025-09-16T22:42:18.240975</t>
  </si>
  <si>
    <t>20-take-5.jpg</t>
  </si>
  <si>
    <t xml:space="preserve">In 6 nimmt!, a.k.a. Category 5 and many other names, you want to score as few points as possible.
To play the game, you shuffle the 104 number cards, lay out four cards face-up to start the four rows, then deal ten cards to each player. Each turn, players simultaneously choose and reveal a card from their hand, then add the cards to the rows, with cards being placed in ascending order based on their number; specifically, each card is placed in the row that ends with the highest number that's below the card's number. When the sixth card is placed in a row, the owner of that card claims the other five cards and the sixth card becomes the first card in its row.
In addition to a number from 1 to 104, each card has a point value. After finishing ten rounds, players tally their score and see whether the game ends. (Category 5 ends when a player has a score greater than 74, for example, while 6 nimmt! ends when someone tops 66.) When this happens, the player with the fewest points wins!
6 nimmt! works with 2-10 players, and the dynamics of gameplay change the more players that you have. One variant for the game has you use 34 cards, 44 cards, 54 cards, etc. (instead of all 104 cards) when you have three, four, five, etc. players. This change allows you to know which cards are in play, thereby allowing you to track which cards have been played and (theoretically) make better choices as to which card to play when.
</t>
  </si>
  <si>
    <t>["Wolfgang Kramer"]</t>
  </si>
  <si>
    <t>["AMIGO", "999 Games", "Albi", "asmodee", "Brain Games", "Broadway Toys LTD", "Bureau de Juegos", "Bur\u00f3", "Carletto", "Copag Cards (Copag)", "Dal Negro", "Dr. Wood Challenge Centre", "Endless Games (I)", "Fractal Juegos", "G3", "Gigamic", "Giochi Uniti", "Hasbro", "Kaissa Chess &amp; Games", "K\u00e4rnan", "Kikigagne?", "Korea Boardgames", "Land of Beautiful Mind (\u0633\u0631\u0632\u0645\u06cc\u0646 \u0630\u0647\u0646 \u0632\u06cc\u0628\u0627)", "Lanlalen", "Last Level", "Lautapelit.fi", "Lifestyle Boardgames Ltd", "Mar L\u00fadico", "Max Bersinger", "Mayfair Games", "Mercurio", "Midgaard Games", "MIPL", "M\u00f6bius Games", "Nelospelit", "Pando Games", "Paper Iyagi", "Piatnik", "Rebel Sp. z o.o.", "Shafir Games (\u05d4\u05de\u05e9\u05d7\u05e7\u05d9\u05dd \u05e9\u05dc \u05d7\u05d9\u05d9\u05dd \u05e9\u05e4\u05d9\u05e8)", "Swan Panasia Co., Ltd.", "Tempo Games (I)", "U.S. Games Systems, Inc.", "VR Distribution"]</t>
  </si>
  <si>
    <t>["Hand Management", "Score-and-Reset Game", "Simultaneous Action Selection"]</t>
  </si>
  <si>
    <t>["Timur Baskakov", "Design Edge", "Oliver Freudenreich", "Bill Herrin", "Gatis Sluka", "Franz Vohwinkel"]</t>
  </si>
  <si>
    <t>Abstract Strategy, Children's Game, City Building, Territory Building</t>
  </si>
  <si>
    <t>/thumbs/21-cathedral.jpg</t>
  </si>
  <si>
    <t>2025-09-16T22:42:18.734230</t>
  </si>
  <si>
    <t>21-cathedral.jpg</t>
  </si>
  <si>
    <t xml:space="preserve">In Cathedral, each player has a set of pieces of a different color. The pieces are in the shapes of buildings, covering from one to five square units. The first player takes the single neutral Cathedral piece and places it onto the board. Players then alternate placing one of their buildings onto the board until neither player can place another building. Players capture territory by surrounding areas that are occupied by at most one opponent or neutral building. A captured piece is removed and captured territory becomes off-limits to the opponent. The player with the fewest 'square units' of buildings that can't be placed wins.
</t>
  </si>
  <si>
    <t>["Robert P. Moore"]</t>
  </si>
  <si>
    <t>["Brightway Products Ltd", "Falomir Juegos", "Family Games, Inc.", "Gazebo Games UK Ltd.", "Gigamic", "Holzinsel", "I.Q. Company", "Lagoon Games", "Mattel, Inc.", "Robert P. Moore Games", "Yangxin Industrial Company Limited"]</t>
  </si>
  <si>
    <t>["Enclosure", "Pattern Building", "Square Grid", "Tile Placement"]</t>
  </si>
  <si>
    <t>["(Uncredited)", "S. Mattusek"]</t>
  </si>
  <si>
    <t>Animals, Economic, Fantasy, Farming</t>
  </si>
  <si>
    <t>/thumbs/22-caverna-the-cave-farmers.jpg</t>
  </si>
  <si>
    <t>2025-09-16T22:42:19.242659</t>
  </si>
  <si>
    <t>22-caverna-the-cave-farmers.jpg</t>
  </si>
  <si>
    <t xml:space="preserve">Following along the same lines as its predecessor (Agricola), Caverna: The Cave Farmers is a worker-placement game at heart, with a focus on farming. In the game, you are the bearded leader of a small dwarf family that lives in a little cave in the mountains. You begin the game with a farmer and his spouse, and each member of the farming family represents an action that the player can take each turn. Together, you cultivate the forest in front of your cave and dig deeper into the mountain. You furnish the caves as dwellings for your offspring as well as working spaces for small enterprises.
It's up to you how much ore you want to mine. You will need it to forge weapons that allow you to go on expeditions to gain bonus items and actions. While digging through the mountain, you may come across water sources and find ore and ruby mines that help you increase your wealth. Right in front of your cave, you can increase your wealth even further with agriculture: You can cut down the forest to sow fields and fence in pastures to hold your animals. You can also expand your family while running your ever-growing farm. In the end, the player with the most efficiently developed home board wins.
You can also play the solo variant of this game to familiarize yourself with the 48 different furnishing tiles for your cave.
Caverna: The Cave Farmers, which has a playing time of roughly 30 minutes per player, is a complete redesign of Agricola that substitutes the card decks from the former game with a set of buildings while adding the ability to purchase weapons and send your farmers on quests to gain further resources. Designer Uwe Rosenberg says that the game includes parts of Agricola, but also has new ideas, especially the cave part of your game board, where you can build mines and search for rubies. The game also includes two new animals: dogs and donkeys.
</t>
  </si>
  <si>
    <t>["Lookout Games", "999 Games", "CrowD Games", "Devir", "Filosofia \u00c9ditions", "Funforge", "Gal\u00e1pagos Jogos", "Gemenot", "Hobby Japan", "HomoLudicus", "Korea Boardgames", "Lacerta", "Ludofy Creative", "Mayfair Games", "MINDOK", "Swan Panasia Co., Ltd.", "uplay.it edizioni"]</t>
  </si>
  <si>
    <t>["Automatic Resource Growth", "Increase Value of Unchosen Resources", "Solo / Solitaire Game", "Tile Placement", "Turn Order: Claim Action", "Worker Placement"]</t>
  </si>
  <si>
    <t>["Javier Gonz\u00e1lez Cava", "Klemens Franz"]</t>
  </si>
  <si>
    <t>Adventure, Deduction, Murder / Mystery</t>
  </si>
  <si>
    <t>/thumbs/23-chronicles-of-crime.jpg</t>
  </si>
  <si>
    <t>2025-09-16T22:42:19.740964</t>
  </si>
  <si>
    <t>23-chronicles-of-crime.jpg</t>
  </si>
  <si>
    <t xml:space="preserve">Chronicles of Crime is a cooperative game of crime investigation, mixing an app, a board game and a touch of Virtual Reality.
With the same physical components (board, locations, characters and items), players will be able to play plenty of different scenarios and solve as many different crime stories.
Players start the app, choose the scenario they want to play, and follow the story. The goal being to catch the killer of the current case in the shortest time possible.
Using the Scan&amp;Play technology, each component (locations, characters, items, etc.) has a unique QR code, which, depending on the scenario selected, will activate and trigger different clues and stories. That means players will be able to get new stories way after the game is released simply by downloading the app's updates, without any shipping of new physical components involved.
The VR experience only requires a mobile phone. Players simply put the VR glasses (optional buy) onto their mobile device, and put the VR glasses on their nose, holding their mobile device in front of their eyes, to immerse themselves in the game's universe and search for clues in a virtual world.
The game comes with 1 tutorial and 5 scenarios, but more can be downloaded directly inside the app!
Each session last around 1h to 1h30 minutes and many scenarios are connected to each others in order to tell a much bigger story.
—description from the publisher
</t>
  </si>
  <si>
    <t>["David Cicurel"]</t>
  </si>
  <si>
    <t>["Lucky Duck Games", "999 Games", "Arclight Games", "asmodee", "Broadway Toys LTD", "Corax Games", "FoxGames", "Gal\u00e1pagos Jogos", "Game Harbor", "Gameology (Gameology Romania)", "G\u00e9m Klub Kft.", "Hobby World", "Kaissa Chess &amp; Games", "Korea Boardgames", "Last Level", "MINDOK", "MIPL", "NeoTroy Games", "Outland", "TWOPLUS Games", "uplay.it edizioni", "\u0406\u0433\u0440\u043e\u043c\u0430\u0433"]</t>
  </si>
  <si>
    <t>["Cooperative Game", "Scenario / Mission / Campaign Game", "Solo / Solitaire Game", "Storytelling"]</t>
  </si>
  <si>
    <t>["David Cicurel", "Matijos Gebreselassie", "Mateusz Komada", "Katarzyna Kosobucka"]</t>
  </si>
  <si>
    <t>Bluffing, Card Game, City Building, Medieval</t>
  </si>
  <si>
    <t>/thumbs/24-citadels.jpg</t>
  </si>
  <si>
    <t>2025-09-16T22:42:20.254745</t>
  </si>
  <si>
    <t>24-citadels.jpg</t>
  </si>
  <si>
    <t>In Citadels, players take on new roles each round to represent characters they hire in order to help them acquire gold and erect buildings. The game ends at the close of a round in which a player erects their seventh building. Players then tally their points, and the player with the highest score wins.
Players start the game with a number of building cards in their hand; buildings come in five colors, with the purple buildings typically having a special ability and the other colored buildings providing a benefit when you play particular characters. At the start of each round, the player who was king the previous round discards one of the eight character cards at random, chooses one, then passes the cards to the next player, etc. until each player has secretly chosen a character. Each character has a special ability, and the usefulness of any character depends upon your situation, and that of your opponents. The characters then carry out their actions in numerical order: the assassin eliminating another character for the round, the thief stealing all gold from another character, the wizard swapping building cards with another player, the warlord optionally destroys a building in play, and so on.
On a turn, a player earns two or more gold (or draws two building cards then discards one), then optionally constructs one building (or up to three if playing the architect this round). Buildings cost gold equal to the number of symbols on them, and each building is worth a certain number of points. In addition to points from buildings, at the end of the game a player scores bonus points for having eight buildings or buildings of all five colors.
The 2016 edition of Citadels includes twenty-seven characters — eight from the original Citadels, ten from the Dark City expansion, and nine new ones — along with thirty unique building districts, and the rulebook includes six preset lists of characters and districts beyond the starter list, each crafted to encourage a different s</t>
  </si>
  <si>
    <t>["Bruno Faidutti"]</t>
  </si>
  <si>
    <t>["Windrider Games", "999 Games", "Arclight Games", "asmodee", "Delta Vision Publishing", "Edge Entertainment", "EDGE Studio", "Fantasmagoria", "Galakta", "Gal\u00e1pagos Jogos", "Hans im Gl\u00fcck", "Hobby World", "Kaissa Chess &amp; Games", "Korea Boardgames", "MINDOK", "Rebel Sp. z o.o.", "Swan Panasia Co., Ltd.", "Z-Man Games", "\u0406\u0433\u0440\u043e\u043c\u0430\u0433"]</t>
  </si>
  <si>
    <t>["Action Drafting", "Closed Drafting", "Income", "Lose a Turn", "Set Collection", "Take That", "Turn Order: Role Order", "Variable Player Powers", "Variable Set-up"]</t>
  </si>
  <si>
    <t>["Andrew Bosley", "Jeff Brown (II)", "James Combridge", "Amit Dutta", "Simon Eckert", "Tyler Edlin", "Felipe Escobar", "Marko Fiedler", "Tomasz Jedruszek", "Yogesh C. Joshi", "Alex Kim", "William Koh", "Pavel Kolomeyets", "Yong Yi Lee", "Mateusz Lenart", "Ward Lindhout", "Eddie Mendoza", "Mark Molnar", "Veli Nystr\u00f6m", "Fernando Olmedo", "Meg Owenson", "Gracjana Zieli\u0144ska"]</t>
  </si>
  <si>
    <t>Animals, Card Game, Humor, Real-time</t>
  </si>
  <si>
    <t>/thumbs/25-kakerlakensuppe.jpg</t>
  </si>
  <si>
    <t>2025-09-16T22:42:20.882445</t>
  </si>
  <si>
    <t>25-kakerlakensuppe.jpg</t>
  </si>
  <si>
    <t xml:space="preserve">In Kakerlakensuppe players work together to create a soup from leeks, peppers, carrot and mushrooms – but they won't always be saying which ingredient they're adding to the pot!
The 128 cards – 112 vegetable cards in the four types and 16 "taboo" vegetable cards, four of each type that bear cockroaches – are shuffled and divided among the players. On a turn, a player plays the top card from his deck onto the central pile of cards, naming the vegetable as he plays it, e.g., "Pepper!" – except in the following situations:
• If his vegetable matches the previously played vegetable, the player must lie.
• If his vegetable matches the claim made by the previous player (perhaps because that player lied), then the player must lie.
• If he plays a taboo card, which shows a cockroach slurping from a spoon, he must slurp and the next player starts a new pile next to the first one so that the taboo card remains visible.
• If his vegetable matches a visible taboo card, he must slurp – unless the last person who played such a card slurped, in which case he must say, "Mmmm".
Make a mistake or stumble or hesitate too long, and a player must pick up all cards played to that point in the game. The first player to run out of cards wins!
Can be combined with Cockroach Salad.
</t>
  </si>
  <si>
    <t>["Jacques Zeimet"]</t>
  </si>
  <si>
    <t>["Devir", "Drei Magier Spiele", "G3", "Gigamic", "Swan Panasia Co., Ltd."]</t>
  </si>
  <si>
    <t>["Pattern Recognition"]</t>
  </si>
  <si>
    <t>["Rolf Vogt"]</t>
  </si>
  <si>
    <t>Card Game, Deduction, Party Game, Spies / Secret Agents, Word Game</t>
  </si>
  <si>
    <t>/thumbs/26-codenames.jpg</t>
  </si>
  <si>
    <t>2025-09-16T22:42:21.360258</t>
  </si>
  <si>
    <t>26-codenames.jpg</t>
  </si>
  <si>
    <t xml:space="preserve">Two rival spymasters know the secret identities of 25 agents. Their teammates know the agents only by their codenames — single-word labels like "disease", "Germany", and "carrot". Yes, carrot. It's a legitimate codename. Each spymaster wants their team to identify their agents first...without uncovering the assassin by mistake.
In Codenames, two teams compete to see who can make contact with all of their agents first. Lay out 25 cards, each bearing a single word. The spymasters look at a card showing the identity of each card, then take turns clueing their teammates. A clue consists of a single word and a number, with the number suggesting how many cards in play have some association to the given clue word. The teammates then identify one agent they think is on their team; if they're correct, they can keep guessing up to one more than the stated number of times; if the agent belongs to the opposing team or is an innocent bystander, the team's turn ends; and if they fingered the assassin, they lose the game.
Spymasters continue giving clues until one team has identified all of their agents or the assassin has removed one team from play.
</t>
  </si>
  <si>
    <t>["Vlaada Chv\u00e1til"]</t>
  </si>
  <si>
    <t>["Czech Games Edition", "asmodee", "Boardgame Space", "Br\u00e4dspel.se", "Brain Games", "Broadway Toys LTD", "Cranio Creations", "Cuaca Cerah Games", "Devir", "DiceTree Games", "Enigma (Bergsala Enigma)", "Fantasmagoria", "Feelindigo", "GaGa Games", "Gaming Library", "G\u00e9m Klub Kft.", "Golden Egg Games", "HeidelB\u00c4R Games", "Heidelberger Spieleverlag", "Hobby Japan", "IELLO", "Kaissa Chess &amp; Games", "Land of Beautiful Mind (\u0633\u0631\u0632\u0645\u06cc\u0646 \u0630\u0647\u0646 \u0632\u06cc\u0628\u0627)", "Lex Games", "Liam Games", "MINDOK", "MIPL", "More Fun Co., Ltd.", "Nordic Games ehf", "One Moment Games", "Ponva d.o.o.", "Pridemage Games", "Rebel Sp. z o.o.", "SuperHeated Neurons", "TWOPLUS Games", "White Goblin Games"]</t>
  </si>
  <si>
    <t>["Communication Limits", "Deduction", "Memory", "Race", "Team-Based Game"]</t>
  </si>
  <si>
    <t>["Vlaada Chv\u00e1til", "St\u00e9phane Gantiez", "D\u00e1vid Jablonovsk\u00fd", "Tom\u00e1\u0161 Ku\u010derovsk\u00fd", "Filip Murmak", "Franti\u0161ek Sedl\u00e1\u010dek"]</t>
  </si>
  <si>
    <t>Abstract Strategy, Fantasy, Medieval</t>
  </si>
  <si>
    <t>/thumbs/27-cosmolancer.png</t>
  </si>
  <si>
    <t>2025-09-16T22:42:23.178655</t>
  </si>
  <si>
    <t>27-cosmolancer.png</t>
  </si>
  <si>
    <t xml:space="preserve">Auf Heller und Pfennig takes participants to a medieval marketplace. Each turn, players place tiles onto the grid board that modify (either positively or negatively) the amount of money to be made by the shops that share that tile's row or column. Three times the board is filled with tiles and shop money is earned, after which the player with the most money wins.
In Kingdoms, the first English-language version of Auf Heller und Pfennig, players try to collect the most gold by establishing castles in the richest regions of the realm while avoiding hazards like dragons, swamps, and trolls. The 2011 edition includes detailed plastic castles, a streamlined rulebook, and the addition of a wizard tile — one that increases the rank of adjacent castles, multiplying their scores — previously available only at game conventions.
As of 2024, Cosmolancer is the newest version of this design, with players taking the role of freelance photographers in space! As in the other versions, the game lasts three rounds, and to start a round, each player draws a random tile and keeps it secret. On a turn, you either:
• Draw a tile and place it in an empty space on the 6x5 grid.
• Place the tile in your hand.
• Place one of your tokens, which are numbered 1-4, in an empty space.
When all of the spaces are filled, you score each of your tokens, multiplying the number on the token by the sum of the tiles in its row and column, with some special tiles nullifying positive values or splitting a row into two segments. You retrieve all of your 1 tokens, but the others are now out of play. After three rounds, whoever has the highest score wins.
</t>
  </si>
  <si>
    <t>["Reiner Knizia"]</t>
  </si>
  <si>
    <t>["Hans im Gl\u00fcck", "ADC Blackfire Entertainment", "Arclight Games", "Avalon Hill", "cutia.ro", "Delta Vision Publishing", "Edge Entertainment", "Enigma (Bergsala Enigma)", "Fantasmagoria", "Fantasy Flight Games", "Menart", "Midgaard Games", "MINDOK", "Swan Panasia Co., Ltd."]</t>
  </si>
  <si>
    <t>["Tile Placement"]</t>
  </si>
  <si>
    <t>["Kevin Childress", "Hugo Cuellar", "Anders Fin\u00e9r", "Charlie Layton", "Eric Lofgren", "Henning Ludvigsen", "Jim Pavelec", "Peter Tikos", "Franz Vohwinkel"]</t>
  </si>
  <si>
    <t>Adventure, Fantasy, Fighting, Miniatures</t>
  </si>
  <si>
    <t>/thumbs/28-descent-legends-of-the-dark.png</t>
  </si>
  <si>
    <t>2025-09-16T22:42:25.212892</t>
  </si>
  <si>
    <t>28-descent-legends-of-the-dark.png</t>
  </si>
  <si>
    <t>Terrinoth is in peril. The demon-tainted Uthuk Y'llan barbarians stalk the realm and the undead servants of Waiqar the Undying venture beyond their borders for the first time in memory. The leaders of Terrinoth are divided and fractious, unable to unite against these common threats. And in the northern barony of Forthyn, the stage is set for the next great confrontation between Terrinoth and the forces of darkness. For years, your journeys have taken you across the fantasy realm of Terrinoth, venturing into dark forests, shadowy cities, ancient crypts, and misty swamps — but your true legend is about to begin.''
Forge your own legend together with friends as you adventure across the vibrant fantasy realm of Terrinoth in the co-operative dungeon-crawling board game Descent: Legends of the Dark. Powered by an integrated free companion app, Descent: Legends of the Dark puts you in the role of a budding hero with their own playstyle and abilities. Together with your unlikely companions, you'll begin an unexpected adventure — an adventure told across the sixteen quests of the "Blood and Flame" campaign. Throughout your campaign, you'll face undead lurking in the mists, demonic barbarians stalking the wilds, and even more terrifying threats. With 46 pieces of 3D terrain and forty hero and monster miniatures to draw you into the game. Your objectives will change from quest to quest as you follow the overarching story of the campaign.
Core gameplay mechanisms such as combat, fatigue, skills, items, and more have received completely new interpretations with Legends of the Dark, while a new approach to scenario layout and 3D terrain creates striking multi-level scenarios. You take three actions each turn: one maneuver action and two additional actions of your choice. Every hero also has an attack card and skill cards! Each hero starts the game with two weapon cards, which are sleeved together back-to-back to create a single attack card.  Skill cards can also be readied, swi</t>
  </si>
  <si>
    <t>["Kara Centell-Dunk", "Nathan I. Hajek"]</t>
  </si>
  <si>
    <t>["Fantasy Flight Games", "Delta Vision Publishing", "Gal\u00e1pagos Jogos", "Hobby World", "Korea Boardgames", "Rebel Sp. z o.o."]</t>
  </si>
  <si>
    <t>["Cooperative Game", "Dice Rolling", "Grid Movement", "Modular Board", "Movement Points", "Role Playing", "Scenario / Mission / Campaign Game", "Solo / Solitaire Game", "Square Grid", "Variable Player Powers"]</t>
  </si>
  <si>
    <t>["Preston Stone", "Gary Storkamp"]</t>
  </si>
  <si>
    <t>Racing, Sports</t>
  </si>
  <si>
    <t>/thumbs/29-downforce.png</t>
  </si>
  <si>
    <t>2025-09-16T22:42:27.584106</t>
  </si>
  <si>
    <t>29-downforce.png</t>
  </si>
  <si>
    <t xml:space="preserve">High-stakes bidding on million-dollar race cars. Frantic bets placed in secret even as the cars race around the track. And to the victor, the biggest purse of all. But in the world of motor racing, the margin between victory and defeat can be a single moment: a steep banked turn, tires screaming and spitting out smoke, and the downforce, pressing you down in your seat and keeping you on the track as you make your move inside to pull ahead.
Downforce is a card-driven bidding, racing, and betting game for 2-6 players based on Top Race, the award-winning design by the legendary Wolfgang Kramer. Players first bid to own the six cars in the race, then they play cards from their hand to speed them around the track. However, most cards will also move their opponents' cars. So figuring out just the right time to play a card is the key to victory. Along the way, players make secret bets on who they think will win the race. Whoever has the most money from their prize money, winning bets, and remaining bank wins.
This is a game whose design needed no attention. Years of play and multiple versions have honed it to near perfection. On the contrary, one of the design challenges was figuring which of the many rules modules to incorporate to create the most fun version. Downforce also adds variable player powers to improve replayability. But mostly, it improves the look of the game to make it gorgeous and easy to play. Special attention was paid to the colors, the layout of the cards, the design of the cars, the details on the board, and more.
</t>
  </si>
  <si>
    <t>["Rob Daviau", "Justin D. Jacobson", "Wolfgang Kramer"]</t>
  </si>
  <si>
    <t>["Restoration Games", "2 Pionki", "Devir", "Fabrika Igr", "GoKids \u73a9\u6a02\u5c0f\u5b50", "Goliath Games", "Happy Baobab", "Hobby Japan", "IELLO", "Mancalamaro", "MEBO Games", "MINDOK", "Portal Games", "Reflexshop", "Siam Board Games", "Zito! \u038f\u03c1\u03b1 \u03b3\u03b9\u03b1 \u03c0\u03b1\u03b9\u03c7\u03bd\u03af\u03b4\u03b9"]</t>
  </si>
  <si>
    <t>["Auction / Bidding", "Betting and Bluffing", "Hand Management", "Moving Multiple Units", "Player Elimination", "Predictive Bid", "Track Movement", "Variable Player Powers"]</t>
  </si>
  <si>
    <t>["Tavis Coburn", "Michael Crampton", "Jason Taylor"]</t>
  </si>
  <si>
    <t>Civilization, Fighting, Science Fiction, Space Exploration, Territory Building, Wargame</t>
  </si>
  <si>
    <t>/thumbs/30-eclipse-new-dawn-for-the-galaxy.jpg</t>
  </si>
  <si>
    <t>2025-09-16T22:42:29.937388</t>
  </si>
  <si>
    <t>30-eclipse-new-dawn-for-the-galaxy.jpg</t>
  </si>
  <si>
    <t xml:space="preserve">The galaxy has been a peaceful place for many years. After the ruthless Terran–Hegemony War (30.027–33.364), much effort has been employed by all major spacefaring species to prevent the terrifying events from repeating themselves. The Galactic Council was formed to enforce precious peace, and it has taken many courageous efforts to prevent the escalation of malicious acts. Nevertheless, tension and discord are growing among the seven major species and in the Council itself. Old alliances are shattering, and hasty diplomatic treaties are made in secrecy. A confrontation of the superpowers seems inevitable – only the outcome of the galactic conflict remains to be seen. Which faction will emerge victorious and lead the galaxy under its rule?
A game of Eclipse places you in control of a vast interstellar civilization, competing for success with its rivals. You will explore new star systems, research technologies, and build spaceships with which to wage war. There are many potential paths to victory, so you need to plan your strategy according to the strengths and weaknesses of your species, while paying attention to the other civilizations' endeavors.
The shadows of the great civilizations are about to eclipse the galaxy. Lead your people to victory!
</t>
  </si>
  <si>
    <t>["Touko Tahkokallio"]</t>
  </si>
  <si>
    <t>["Lautapelit.fi", "(Self-Published)", "Asterion Press", "Korea Boardgames", "Rebel Sp. z o.o.", "Ystari Games"]</t>
  </si>
  <si>
    <t>["Dice Rolling", "Grid Movement", "Hexagon Grid", "Hot Potato", "Map Addition", "Modular Board", "Player Elimination", "Tile Placement", "Variable Phase Order", "Variable Player Powers"]</t>
  </si>
  <si>
    <t>["Ossi Hiekkala", "Sampo Siki\u00f6"]</t>
  </si>
  <si>
    <t>Economic, Farming</t>
  </si>
  <si>
    <t>/thumbs/31-finca.jpg</t>
  </si>
  <si>
    <t>2025-09-16T22:42:32.069758</t>
  </si>
  <si>
    <t>31-finca.jpg</t>
  </si>
  <si>
    <t xml:space="preserve">The players take the roles of Mallorcan farmers, who strive to harvest as many of the island‘s tropical fruits: ï¬gs, almonds, olives, oranges, grapes, and lemons, as possible. The players deliver their harvested fruits to the island communities, which have constantly changing requirements during the course of the game. For these deliveries, the players receive victory points. In the end, the player with the most victory points is the winner.
Note: Finca: El Razul is included in the box with versions listed under this entry.
</t>
  </si>
  <si>
    <t>["Wolfgang Sentker", "Ralf zur Linde"]</t>
  </si>
  <si>
    <t>["franjos Spieleverlag", "Devil Dice Games"]</t>
  </si>
  <si>
    <t>["Contracts", "Mancala", "Once-Per-Game Abilities", "Rondel", "Set Collection"]</t>
  </si>
  <si>
    <t>["Joan Guardiet", "Franz Vohwinkel"]</t>
  </si>
  <si>
    <t>Animals, Comic Book / Strip, Humor, Party Game</t>
  </si>
  <si>
    <t>/thumbs/32-exploding-kittens-the-board-game.jpg</t>
  </si>
  <si>
    <t>2025-09-16T22:42:32.136639</t>
  </si>
  <si>
    <t>32-exploding-kittens-the-board-game.jpg</t>
  </si>
  <si>
    <t xml:space="preserve">There's never been a board game like this before! Your goal is to make it to the end of the board without landing on the Exploding Kitten. To do that you'll play cards and plot strategies to sabotage your opponents. But don't get too cocky because one wrong move can cause the board to flip. This completely transforms the board to reveal a new path where every move could be your last. You have to think fast, form alliances, play smart, and avoid the Exploding Kittens at all costs.
The stakes are high but the rules are simple… Just beware, danger, and betrayal, and pee your pants laughing moments lurk around every corner.
What other game lets you play as a TacoCat, SushiCat, or GnomeCat? Who else would give you the power of Meatpants, a Litterbox Sandworm, or a Butterfly Punch?
—description from the publisher
</t>
  </si>
  <si>
    <t>["Ian Clayman", "Elan Lee", "Carol Mertz"]</t>
  </si>
  <si>
    <t>["Exploding Kittens", "Rebel Sp. z o.o."]</t>
  </si>
  <si>
    <t>["Take That", "Variable Player Powers"]</t>
  </si>
  <si>
    <t>/thumbs/33-flip-7.jpg</t>
  </si>
  <si>
    <t>2025-09-16T22:42:34.201572</t>
  </si>
  <si>
    <t>33-flip-7.jpg</t>
  </si>
  <si>
    <t xml:space="preserve">Flip over cards one by one without flipping the same number twice.
Sound easy? Think again! This isn't just any deck of cards… In Flip 7 there's only one 1 card, two 2's, three 3’s, etc plus a bunch of special cards that can score you extra points, give you a second chance, or freeze you or your opponents in your tracks.
Are you the type of player to play it safe and bank points before you bust, or are you going to risk it all and go for the bonus points by flipping over seven in a row? Press your luck meets strategy in this addictive card game that's sure to be the greatest card game you’ve ever played!
—description from the publisher
</t>
  </si>
  <si>
    <t>["Eric Olsen"]</t>
  </si>
  <si>
    <t>["The Op Games", "999 Games", "Catch Up Games", "Ghenos Games", "Kaissa Chess &amp; Games", "KOSMOS", "MINDOK", "Randolph", "Rebel Sp. z o.o."]</t>
  </si>
  <si>
    <t>["Interrupts", "Push Your Luck", "Score-and-Reset Game", "Take That"]</t>
  </si>
  <si>
    <t>["O'Neil Mabile"]</t>
  </si>
  <si>
    <t>Card Game, Economic</t>
  </si>
  <si>
    <t>/thumbs/34-for-sale.jpg</t>
  </si>
  <si>
    <t>2025-09-16T22:42:36.475815</t>
  </si>
  <si>
    <t>34-for-sale.jpg</t>
  </si>
  <si>
    <t xml:space="preserve">For Sale is a quick, fun game nominally about buying and selling real estate. During the game's two distinct phases, players first bid for several buildings then, after all buildings have been bought, sell the buildings for the greatest profit possible.
The original Ravensburger/FX Schmid edition (1997/98) has slightly different rules than later English editions, and only 20 buildings instead of 30.
 The Ãœberplay 2005 Edition has new art, rules and card distribution changes, and it accommodates 3-6 players.
The Gryphon 2009 Edition uses the Überplay art for the faces of the property cards, while replacing most other art.  The rules are the same as the Überplay edition, with the exception of the rounding rule (which was stated in different ways in different printings of the Überplay edition).
Rounding rule
The rounding rule preferred by the designer Stefan Dorra is that players get back half of their bid rounded DOWN (not UP), as confirmed in correspondence with him here and here.  A history of how the rounding rule has changed in different editions is documented here.
</t>
  </si>
  <si>
    <t>["Stefan Dorra"]</t>
  </si>
  <si>
    <t>["Eagle-Gryphon Games", "IELLO", "Ravensburger", "2 Pionki", "Albi", "AURUM, Inc.", "Baborka Games", "Brain Games", "Compaya.hu: Gamer Caf\u00e9 Kft.", "Competo / Marektoy", "F.X. Schmid", "Gabinete L\u00fadico", "Geekach LLC", "HaKubia", "Heidelberger Spieleverlag", "Jolly Thinkers", "Kaissa Chess &amp; Games", "MEBO Games", "Meeple Virus", "NeoTroy Games", "New Games Order, LLC", "PaperGames (III)", "Portal Games", "Primigenio", "Siam Board Games", "SPIEL DAS! Verlag", "TLAMA games", "Top Toys", "\u00dcberplay", "uplay.it edizioni", "Wargames Club Publishing", "Zito! \u038f\u03c1\u03b1 \u03b3\u03b9\u03b1 \u03c0\u03b1\u03b9\u03c7\u03bd\u03af\u03b4\u03b9", "\u0412\u0437\u0440\u043e\u0441\u043b\u044b\u0435 \u0434\u0435\u0442\u0438", "\u041d\u0435\u0441\u043a\u0443\u0447\u043d\u044b\u0435 \u0438\u0433\u0440\u044b", "\u05e4\u05e8\u05e9 \u05de\u05e9\u05d7\u05e7\u05d9\u05dd: Game Knight"]</t>
  </si>
  <si>
    <t>["Auction / Bidding", "Auction: Sealed Bid", "Auction: Turn Order Until Pass", "Hand Management", "Selection Order Bid"]</t>
  </si>
  <si>
    <t>["\u00d3scar Aguado", "Abbas Amirabadi", "Mohammad Amir Garoosian", "Alvin Madden", "Gil Martimiano", "Mahmoud Arasteh Nasab", "Emilien Rotival", "Catell Ruz", "Dossom Studio", "Chema Vicente", "Uros Vuckovic", "Klaus Wilinski"]</t>
  </si>
  <si>
    <t>Deduction, Real-time</t>
  </si>
  <si>
    <t>/thumbs/35-gardeners.png</t>
  </si>
  <si>
    <t>2025-09-16T22:42:38.505835</t>
  </si>
  <si>
    <t>35-gardeners.png</t>
  </si>
  <si>
    <t xml:space="preserve">Gardeners is a simultaneous cooperative game played silently and in real time.
In less than 15 minutes, players must succeed in arranging as many gardens as possible, always composed of the same 36 tiles, but responding to different rules from one round to another.
 Everyone must deduce the rules in force by observing where the tiles are placed and from where some are removed.
A game of Gardeners is made up of an indefinite number of rounds. Each is broken down into 5 phases, as follows:
     Draw a Constraint card,
     Start the sandtimer,
     Arrange the garden,
     Check the garden,
     Prepare for the next round.
During the game, players cannot communicate in any way about what to do or not to do to make the garden.
Will you satisfy the King's whimsical desires?
—description from the publisher
</t>
  </si>
  <si>
    <t>["Kasper Lapp"]</t>
  </si>
  <si>
    <t>["Sit Down!", "2Tomatoes Games", "HUCH!"]</t>
  </si>
  <si>
    <t>["Communication Limits", "Cooperative Game", "Deduction", "Pattern Recognition", "Real-Time", "Score-and-Reset Game", "Solo / Solitaire Game", "Square Grid", "Tile Placement"]</t>
  </si>
  <si>
    <t>["Anthony Moulins"]</t>
  </si>
  <si>
    <t>Bluffing, Card Game, Number</t>
  </si>
  <si>
    <t>/thumbs/36-granny-wars--a-game-of-tit-for-tat.png</t>
  </si>
  <si>
    <t>2025-09-16T22:42:40.614376</t>
  </si>
  <si>
    <t>36-granny-wars--a-game-of-tit-for-tat.png</t>
  </si>
  <si>
    <t xml:space="preserve">Your Granny's position as the town's top handicrafter is threatened by upstart contenders from a new retirement community. Your task is to try to help her, while distracting and sabotaging her competitors – but if you don't keep your loyalty hidden, the other players will definitely stitch you up!
At the beginning of Granny Wars: A Game of Tit for Tat, you receive a secret loyalty card matching one of the Granny cards on the table, and you are dealt ten cards which range from -5 to +5 points. The deck also includes Gold cards, which grant a special Granny power (like "Nana Nap") in addition to points. Players take turns adding cards to the Grannies, and the "Tit for Tat" mechanism allows a player to "bounce" an equal and opposite card from one pile to another, e.g., playing a +3 on a -3 lets a player move the -3 to another pile of their choice.
After everyone has exhausted their 10 cards, players reveal which Granny they supported and sum the points in her pile of cards.
The game can be played by 2 players, with a small modification to the rules.
</t>
  </si>
  <si>
    <t>["Amanda Milne", "Julia Schiller", "Brad Thompson"]</t>
  </si>
  <si>
    <t>["Cheeky Parrot Games", "SchilMil Games, Ltd."]</t>
  </si>
  <si>
    <t>["Hand Management", "Memory", "Take That"]</t>
  </si>
  <si>
    <t>["Kuan-Sheng Hsu"]</t>
  </si>
  <si>
    <t>Abstract Strategy, Animals</t>
  </si>
  <si>
    <t>/thumbs/37-hive.jpg</t>
  </si>
  <si>
    <t>2025-09-16T22:42:42.903180</t>
  </si>
  <si>
    <t>37-hive.jpg</t>
  </si>
  <si>
    <t xml:space="preserve">Hive is a strategic game for two players that is not restricted by a board and can be played anywhere on any flat surface. Hive is made up of twenty two pieces, eleven black and eleven white, resembling a variety of creatures each with a unique way of moving.
With no setting up to do, the game begins when the first piece is placed down. As the subsequent pieces are placed this forms a pattern that becomes the playing surface (the pieces themselves become the board). Unlike other such games, the pieces are never eliminated and not all have to be played. The object of the game is to totally surround your opponent's queen, while at the same time trying to block your opponent from doing likewise to your queen. The player to totally surround his opponent's queen wins the game.
•••
Hive FAQ - please read before posting questions in the forum!
</t>
  </si>
  <si>
    <t>["John Yianni"]</t>
  </si>
  <si>
    <t>["Gen42 Games", "64 Ounce Games", "asmodee", "Cr\u00f3mola", "G3", "Ghenos Games", "Gigamic", "HUCH!", "Jolly Thinkers", "Ludicus Games", "Magellan", "Oficina do Aprendiz", "Productief BV", "Reflexshop", "Smart Zone Games", "Tantrix UK Ltd.", "uplay.it edizioni", "Vendetta", "Wargames Club Publishing", "Zhiyanjia"]</t>
  </si>
  <si>
    <t>["Enclosure", "Grid Movement", "Hexagon Grid", "Pattern Movement", "Pieces as Map", "Three Dimensional Movement", "Tile Placement"]</t>
  </si>
  <si>
    <t>Deduction, Party Game</t>
  </si>
  <si>
    <t>/thumbs/38-hues-and-cues.jpg</t>
  </si>
  <si>
    <t>2025-09-16T22:42:44.843969</t>
  </si>
  <si>
    <t>38-hues-and-cues.jpg</t>
  </si>
  <si>
    <t xml:space="preserve">What hue do you think of when we say “apple”? Hues and Cues is a vibrant game of colorful communication where players are challenged to make connections to colors with words. Using only one and two-word cues, players try to get others to guess a specific hue from the 480 colors on the game board. The closer the guesses are to the target, the more points you earn. Since everyone imagines colors differently, connecting colors and clues has never been this much fun!
Gather around with three to ten people to play a quick and simple game with a prism of possibilities! First, a “cue giver” hides a specific color they’ve chosen out of a deck of cards. There are 480 shades on the board in front of you! After getting one- and two-word cues, everyone places their marker on which color they think is being described. “Coffee.” Is it dark brown, as in freshly brewed? “Au lait.” With milk. That means I should pick a lighter shade!
Use examples from everyday life, from nature to pop culture, or materials and moods. Everyone around the table gets a turn to give cues and guess. The better your hints or guesses, the more points you earn. Play off others' experiences to narrow down what they have in mind!
—description from the publisher
</t>
  </si>
  <si>
    <t>["Scott Brady"]</t>
  </si>
  <si>
    <t>["The Op Games", "CMON Global Limited", "Grok Games", "Lanlalen", "Ludopolis"]</t>
  </si>
  <si>
    <t>["Communication Limits", "Deduction", "Score-and-Reset Game", "Targeted Clues", "Turn Order: Progressive"]</t>
  </si>
  <si>
    <t>Electronic, Puzzle</t>
  </si>
  <si>
    <t>/thumbs/39-escape-room-the-game.png</t>
  </si>
  <si>
    <t>2025-09-16T22:42:46.875508</t>
  </si>
  <si>
    <t>39-escape-room-the-game.png</t>
  </si>
  <si>
    <t>Take the viral social experience of Escape Rooms to the comfort of your own home and for a fraction of the cost that you would pay! Included in this game are 4 unique 60 minute escape room puzzles that will test your cranial skills. Use images, gears, words, keys, shapes, maps and more to solve the three stages within each escape room. An analog timer on the Chrono Decoder centerpiece incessantly counts down, emitting ominous noises to create an environment shut out from the outside world. If the puzzles stump you for too long, slide a hint card into the Hint Decoder to keep your team moving. Slide 4 keys into the Chrono Decoder when you think you have the answer... but beware, if you're wrong, a precious minute will be taken from you.
The 4 escape rooms vary in difficulty, designed to give any group the experience they expect and deserve. If you're craving more puzzles, Escape Room expansions will be available, but you'll need the base game first as the Chrono Decoder is essential to the experience. Included in the base game in order of difficulty is: Prison Break, Virus, Nuclear Countdown, and Temple of the Aztec
Prison Break: Ten years in prison for a crime you didn't commit. Ten years of your life wasted for being in the wrong place at the wrong time, it hardly seemed fair. You know the guards will reach your cell during the rounds in an hour. Every bone in your body tells you this is the opportunity of a lifetime; you're 60 minutes away from freedom!
Virus: What a time to faint! You swear you could kill your lab partner, but you know that won't be necessary. The liquid that's oozing out of the broken bottle will kill everybody in the room soon enough...
Nuclear Countdown: The table is filled with all kinds of materials that send shivers down your spine. At that moment your phone rings and your worst nightmare becomes reality, the bomb threat is real!
Temple of the Aztec: The stories told about the temple were numerous. Anybody that had entered the temple w</t>
  </si>
  <si>
    <t>["(Uncredited)"]</t>
  </si>
  <si>
    <t>["Identity Games International B.V.", "ADC Blackfire Entertainment", "Broadway Toys LTD", "Concentra", "Cranio Creations", "Diset S. A.", "FoxMind Israel", "Gal\u00e1pagos Jogos", "Maki A/S", "Noris Spiele", "Spin Master Ltd.", "ToyRock Oy"]</t>
  </si>
  <si>
    <t>["Cooperative Game", "Deduction", "Elapsed Real Time Ending"]</t>
  </si>
  <si>
    <t>["Sebastian Goyke", "Roland MacDonald"]</t>
  </si>
  <si>
    <t>Dice, Fighting, Movies / TV / Radio theme, Science Fiction</t>
  </si>
  <si>
    <t>/thumbs/40-king-of-tokyo.jpg</t>
  </si>
  <si>
    <t>2025-09-16T22:42:48.949645</t>
  </si>
  <si>
    <t>40-king-of-tokyo.jpg</t>
  </si>
  <si>
    <t xml:space="preserve">In King of Tokyo, you play mutant monsters, gigantic robots, and strange aliens—all of whom are destroying Tokyo and whacking each other in order to become the one and only King of Tokyo.
At the start of each turn, you roll six dice, which show the following six symbols: 1, 2, or 3 Victory Points, Energy, Heal, and Attack. Over three successive throws, choose whether to keep or discard each die in order to win victory points, gain energy, restore health, or attack other players into understanding that Tokyo is YOUR territory.
The fiercest player will occupy Tokyo, and earn extra victory points, but that player can't heal and must face all the other monsters alone!
Top this off with special cards purchased with energy that have a permanent or temporary effect, such as the growing of a second head which grants you an additional die, body armor, nova death ray, and more.... and it's one of the most explosive games of the year!
In order to win the game, one must either destroy Tokyo by accumulating 20 victory points, or be the only surviving monster once the fighting has ended.
First Game in the King of Tokyo series
</t>
  </si>
  <si>
    <t>["Richard Garfield"]</t>
  </si>
  <si>
    <t>["IELLO", "Boardgame Space", "Brain Games", "Bureau de Juegos", "Delta Vision Publishing", "Devir", "Egmont Polska", "Enigma (Bergsala Enigma)", "Fantasmagoria", "GaGa Games", "Gal\u00e1pagos Jogos", "GeGe Co. Ltd.", "GoKids \u73a9\u6a02\u5c0f\u5b50", "HaKubia", "Heidelberger Spieleverlag", "Hobby Japan", "Hobby World", "HomoLudicus", "Kaissa Chess &amp; Games", "Korea Boardgames", "Lautapelit.fi", "Lex Games", "Mancalamaro", "MESAboardgames", "MIPL", "Nordic Games ehf", "Origames", "Portal Games", "Reflexshop", "REXhry", "Siam Board Games", "Smart Ltd", "uplay.it edizioni", "Venner\u00f8d Forlag AS", "\u0406\u0433\u0440\u043e\u043c\u0430\u0433"]</t>
  </si>
  <si>
    <t>["Dice Rolling", "Die Icon Resolution", "King of the Hill", "Open Drafting", "Player Elimination", "Push Your Luck", "Re-rolling and Locking", "Take That"]</t>
  </si>
  <si>
    <t>["Gabriel Butik", "Romain Gaschet", "Paul Mafayon", "Igor Polouchine", "Benjamin Raynal", "Jean-Baptiste Reynaud", "Jonathan Silvestre", "R\u00e9gis Torres", "Anthony Wolff"]</t>
  </si>
  <si>
    <t>Action / Dexterity, Real-time</t>
  </si>
  <si>
    <t>/thumbs/41-klask.png</t>
  </si>
  <si>
    <t>2025-09-16T22:42:51.122098</t>
  </si>
  <si>
    <t>41-klask.png</t>
  </si>
  <si>
    <t>The KLASK game board is shaped like a ball field with two deep holes functioning as goals in each end of the field. In the middle of the field, three white magnetic pieces serve as "obstacles" – do NOT attract them to your own gaming piece! Your gaming piece is a black magnet. You control it by holding a large magnet under the board. This magnet is connected to a small magnet placed on the field. The purpose of the game is to push the small, red ball around on the field with your magnet/gaming piece, shoot the ball past the obstacles and your opponent and into the goal hole (Klask). It’s so much fun when your opponent suddenly is covered in white obstacles or you drop your gaming piece into the goal – something which might happen if you get a little too eager!
Place the game board on a table between the two players. Place the three white magnetic pieces on the white fields on the board. Put two coins in each point slot next to the "0". Each player has a black magnetic gaming piece in two parts. Place the short (thin) part on top of the board and the long (thick) part under the board in such a way, so the two parts “catch” each other. Place the ball in the corner start field. Steer it with the black gaming pieces.
The youngest player starts the game. You score a point if:
    The ball ends in your opponent's hole and stays in the hole.
    Two or all of the three white magnetic pieces stick to your opponent's gaming piece.
    The opponent accidentally pulls their gaming piece into their own goal hole.
    If the opponent loses their gaming piece.
Each time you get a point, you must move your coin one point forward in the point slot. The player who first reaches the KLASK field wins.
During the game:
    If one of the white magnetic pieces sticks to a gaming piece, the game continues; if two of the white magnetic pieces stick to one gaming piece, the opponent gets one point.
    If the ball falls over the edges of the board, you must place the ball in the co</t>
  </si>
  <si>
    <t>["Mikkel Bertelsen"]</t>
  </si>
  <si>
    <t>["Klask ApS", "Big Potato Games", "Boardgame Space", "Brain Games", "CLD Distributing", "Competo / Marektoy", "Dino Toys s. r. o.", "FantasTies", "FoxMind", "G3", "Game Factory", "Ghenos Games", "Gigamic", "InterHit", "Korea Boardgames", "Lord of Boards", "MEBO Games", "Reflexshop", "Regatul Jocurilor", "VR Distribution"]</t>
  </si>
  <si>
    <t>["Real-Time", "Score-and-Reset Game"]</t>
  </si>
  <si>
    <t>Animals, Humor</t>
  </si>
  <si>
    <t>/thumbs/42-leaping-lemmings.jpg</t>
  </si>
  <si>
    <t>2025-09-16T22:42:53.827920</t>
  </si>
  <si>
    <t>42-leaping-lemmings.jpg</t>
  </si>
  <si>
    <t xml:space="preserve">Leaping Lemmings - The Original Cliff Divers
Leaping Lemmings is a humorous game for 2-6 players. Each player controls a cloned clan of lemmings that have been specially trained to compete with the other lemming clans, all trying to scurry down a canyon and hurl themselves over a cliff. Distance and style points are important. One lemming diving with style and élan is worth as many as five of the more mundane divers. But beware the hungry eagles circling overhead or your lemmings might not even make the cliff edge!
Objective: The player with the most victory points wins the game. To earn victory points, players dive their lemmings over the cliff edge and/or collect Lemming Chow Pellets.
The game board is a hex-based map representing the canyon down which up to six separate lemming clans will travel. The canyon ends with the cliff edge hexes, which are the lemmings' ultimate goal. Between the lemmings and their goal there are two eagles circling overhead hoping for multiple lemming snacks.
Each turn a movement card is revealed which will allow for 2-5 lemming movement points. Card luck is mitigated in that all players use the same card to move that turn. Only the top lemming in each stack is allowed to move, so covering your opponents' lemmings is one tactic that is used to slow them down. The down side is that the top lemming in each stack is the only one in danger of becoming eagle chow.
Special Actions allow players to briefly alter the normal rules of the game to their advantage or to their opponents' detriment. There are 16 different Special Actions in the game.
Home Page: http://www.gmtgames.com/p-143-leaping-lemmings.aspx
</t>
  </si>
  <si>
    <t>["John Poniske", "Rick Young"]</t>
  </si>
  <si>
    <t>["GMT Games"]</t>
  </si>
  <si>
    <t>["Dice Rolling", "Grid Movement", "Hand Management", "Hexagon Grid", "Push Your Luck", "Race", "Take That"]</t>
  </si>
  <si>
    <t>["Rajim Harris", "Rodger B. MacGowan", "Leona Preston", "Mark Simonitch"]</t>
  </si>
  <si>
    <t>Action / Dexterity</t>
  </si>
  <si>
    <t>/thumbs/43-drop-it.jpg</t>
  </si>
  <si>
    <t>2025-09-16T22:42:56.042711</t>
  </si>
  <si>
    <t>43-drop-it.jpg</t>
  </si>
  <si>
    <t xml:space="preserve">Circles, triangles, squares and diamonds: Drop It is about letting go, with the pieces you drop landing somewhere in the vertical game board, ideally where they'll score the most points, but the tiles bounce around and don't always land where you expect them to!
In more detail, each turn the active player drops one of their pieces into the slot of the game board. The player scores points for the highest level that the piece touches and for any special locations that it touches, but if the piece touches anything of the same shape or color, then you score nothing! What's more, certain pieces are forbidden at certain spots on the edge of the playing area.
The Drop It rulebook includes variant rules for simpler play or more variety from game to game.
</t>
  </si>
  <si>
    <t>["Bernhard Lach", "Uwe Rapp"]</t>
  </si>
  <si>
    <t>["KOSMOS", "999 Games", "Albi", "Spilbr\u00e6t.dk", "Thames &amp; Kosmos", "Venner\u00f8d Forlag AS"]</t>
  </si>
  <si>
    <t>["Fiore GmbH", "Andreas Resch"]</t>
  </si>
  <si>
    <t>Arabian, Fantasy, Mythology</t>
  </si>
  <si>
    <t>/thumbs/44-five-tribes-the-djinns-of-naqala.jpg</t>
  </si>
  <si>
    <t>2025-09-16T22:42:58.540007</t>
  </si>
  <si>
    <t>44-five-tribes-the-djinns-of-naqala.jpg</t>
  </si>
  <si>
    <t xml:space="preserve">Crossing into the Land of 1001 Nights, your caravan arrives at the fabled Sultanate of Naqala. The old sultan just died and control of Naqala is up for grabs! The oracles foretold of strangers who would maneuver the Five Tribes to gain influence over the legendary city-state. Will you fulfill the prophecy? Invoke the old Djinns and move the Tribes into position at the right time, and the Sultanate may become yours!
Designed by Bruno Cathala, Five Tribes builds on a long tradition of German-style games that feature wooden meeples. Here, in a unique twist on the now-standard "worker placement" genre, the game begins with the meeples already in place – and players must cleverly maneuver them over the villages, markets, oases, and sacred places tiles that make up Naqala. How, when, and where you dis-place these Five Tribes of Assassins, Elders, Builders, Merchants, and Viziers determine your victory or failure.
As befitting a Days of Wonder game, the rules are straightforward and easy to learn. But devising a winning strategy will take a more calculated approach than our standard fare. You need to carefully consider what moves can score you well and put your opponents at a disadvantage. You need to weigh many different pathways to victory, including the summoning of powerful Djinns that may help your cause as you attempt to control this legendary Sultanate.
</t>
  </si>
  <si>
    <t>["Bruno Cathala"]</t>
  </si>
  <si>
    <t>["Days of Wonder", "Arclight Games", "Asterion Press", "CrowD Games", "Gal\u00e1pagos Jogos", "G\u00e9m Klub Kft.", "Korea Boardgames", "Lord of Boards", "Maldito Games", "Rebel Sp. z o.o."]</t>
  </si>
  <si>
    <t>["Auction / Bidding", "Constrained Bidding", "End Game Bonuses", "Hidden Victory Points", "Mancala", "Modular Board", "Set Collection", "Square Grid", "Take That", "Turn Order: Auction", "Variable Player Powers", "Variable Set-up", "Victory Points as a Resource"]</t>
  </si>
  <si>
    <t>["Cl\u00e9ment Masson"]</t>
  </si>
  <si>
    <t>Abstract Strategy, Action / Dexterity, Maze, Print &amp; Play</t>
  </si>
  <si>
    <t>/thumbs/45-floating-floors.jpg</t>
  </si>
  <si>
    <t>2025-09-16T22:43:01.092139</t>
  </si>
  <si>
    <t>45-floating-floors.jpg</t>
  </si>
  <si>
    <t xml:space="preserve">Floating Floors is a tactical balancing duel in which you, a ninja, become the architect of your own domain, creating a labyrinth of floating floorboards for your rival to cross.
In more detail, you create a stable path to your target by balancing a labyrinth of floorboards that will also be used by your rival. The trick is in strategically using your jutsu tokens to keep your new ninja camouflaged with the surroundings, while sabotaging the rival ninja's path.
The first ninja to claim all four bansen seals, concealed by your rival during set-up, wins.
</t>
  </si>
  <si>
    <t>["Takashi Sawada"]</t>
  </si>
  <si>
    <t>["Guf Studios", "CardLords", "Randomskill Games"]</t>
  </si>
  <si>
    <t>["Action / Event", "Map Addition", "Prisoner's Dilemma", "Resource to Move", "Team-Based Game", "Three Dimensional Movement"]</t>
  </si>
  <si>
    <t>["Gong Studios", "Jovial Graphics"]</t>
  </si>
  <si>
    <t>Card Game</t>
  </si>
  <si>
    <t>/thumbs/46-fort.png</t>
  </si>
  <si>
    <t>2025-09-16T22:43:03.422742</t>
  </si>
  <si>
    <t>46-fort.png</t>
  </si>
  <si>
    <t xml:space="preserve">Fort is a 2-4 player card game about building forts and following friends.
In Fort, you're a kid! And like many kids, you want to grow your circle of friends, collect pizza and toys, and build the coolest fort.
By doing this cool stuff, you'll score victory points, and at the end of the game, the player with the most victory points wins! Your cards not only let you take actions on your own turn, but also let you follow the other players' actions on their turns. Will you devote yourself to your own posse, or copy what the other kids are doing?
But be careful as your carefully constructed deck might start losing cards if you don't actually use them. After all, if you don't play with your friends, why should they hang out with you anymore?
—description from the publisher
</t>
  </si>
  <si>
    <t>["Grant Rodiek"]</t>
  </si>
  <si>
    <t>["Leder Games", "2Tomatoes Games", "CrowD Games", "Delta Vision Publishing", "Fox in the Box", "Matagot", "MeepleBR", "MS Edizioni", "Portal Games"]</t>
  </si>
  <si>
    <t>["Deck, Bag, and Pool Building", "Follow", "Hand Management", "Race", "Turn Order: Progressive"]</t>
  </si>
  <si>
    <t>["Kyle Ferrin"]</t>
  </si>
  <si>
    <t>City Building</t>
  </si>
  <si>
    <t>/thumbs/47-my-city.jpg</t>
  </si>
  <si>
    <t>2025-09-16T22:43:05.493155</t>
  </si>
  <si>
    <t>47-my-city.jpg</t>
  </si>
  <si>
    <t xml:space="preserve">My City is a competitive legacy game in which you develop a city on your own playing board through the ages.
The game consists of 24 episodes, beginning with the development of a city in its early preindustrial stages and progressing through industrialization. During each game, players customize their experience by adding elements to their personal boards and adding cards to the game. Players' choices and action made during one session of gameplay carry over into the next session, creating a personalized gaming experience.
For players who do not want to experience My City as a legacy game, a double-sided game board offers an alternate set-up for repeatable play (some elements from the legacy experience are needed for the repeatable play game, players can unlock these elements by playing through the first 4 episodes).
</t>
  </si>
  <si>
    <t>["KOSMOS", "999 Games", "Arclight Games", "Broadway Toys LTD", "Devir", "Galakta", "Giochi Uniti", "IELLO", "Kaissa Chess &amp; Games", "Korea Boardgames", "Lautapelit.fi", "Piatnik", "Thames &amp; Kosmos", "Zvezda"]</t>
  </si>
  <si>
    <t>["Bingo", "Catch the Leader", "Grid Coverage", "Legacy Game", "Pattern Building", "Scenario / Mission / Campaign Game", "Tile Placement"]</t>
  </si>
  <si>
    <t>["Michael Menzel"]</t>
  </si>
  <si>
    <t>/thumbs/48-heat-pedal-to-the-metal.png</t>
  </si>
  <si>
    <t>2025-09-16T22:43:07.494101</t>
  </si>
  <si>
    <t>48-heat-pedal-to-the-metal.png</t>
  </si>
  <si>
    <t xml:space="preserve">Based on simple and intuitive hand management, Heat: Pedal to the Metal puts players in the driver's seat of intense car races, jockeying for position to cross the finish line first, while managing their car's speed if they don't want to overheat. Selecting the right upgrades for their car will help them hug the curves and keep their engine cool enough to maintain top speeds. Ultimately, their driving skills will be the key to victory!
Drivers can compete in a single race or use the "Championship System" to play a whole season in one game night, customizing their car before each race to claim the top spot of the podium. They have to be careful as the weather, road conditions, and events will change every race to spice up their championship. Players can also enjoy a solo mode with the Legends Module or add automated drivers as additional opponents in multiplayer games.
—description from the publisher
</t>
  </si>
  <si>
    <t>["Asger Harding Granerud", "Daniel Skjold Pedersen"]</t>
  </si>
  <si>
    <t>["Days of Wonder", "ADC Blackfire Entertainment", "CoolPlay", "Gal\u00e1pagos Jogos", "G\u00e9m Klub Kft.", "GoKids \u73a9\u6a02\u5c0f\u5b50", "Hobby Japan", "Hobby World", "Kaissa Chess &amp; Games", "Korea Boardgames", "Lord of Boards"]</t>
  </si>
  <si>
    <t>["Catch the Leader", "Deck, Bag, and Pool Building", "Hand Management", "Programmed Movement", "Push Your Luck", "Race", "Simulation", "Simultaneous Action Selection", "Solo / Solitaire Game", "Track Movement", "Variable Set-up"]</t>
  </si>
  <si>
    <t>["Vincent Dutrait"]</t>
  </si>
  <si>
    <t>Adventure, Horror, Miniatures, Science Fiction</t>
  </si>
  <si>
    <t>/thumbs/49-nemesis.png</t>
  </si>
  <si>
    <t>2025-09-16T22:43:09.492644</t>
  </si>
  <si>
    <t>49-nemesis.png</t>
  </si>
  <si>
    <t xml:space="preserve">Playing Nemesis will take you into the heart of sci-fi survival horror in all its terror. A soldier fires blindly down a corridor, trying to stop the alien advance. A scientist races to find a solution in his makeshift lab. A traitor steals the last escape pod in the very last moment. Intruders you meet on the ship are not only reacting to the noise you make but also evolve as the time goes by. The longer the game takes, the stronger they become. During the game, you control one of the crew members with a unique set of skills, personal deck of cards, and individual starting equipment. These heroes cover all your basic SF horror needs. For example, the scientist is great with computers and research, but will have a hard time in combat. The soldier, on the other hand...
Nemesis is a semi-cooperative game in which you and your crewmates must survive on a ship infested with hostile organisms. To win the game, you have to complete one of the two objectives dealt to you at the start of the game and get back to Earth in one piece. You will find many obstacles on your way: swarms of Intruders (the name given to the alien organisms by the ship AI), the poor physical condition of the ship, agendas held by your fellow players, and sometimes just cruel fate.
The gameplay of Nemesis is designed to be full of climactic moments which, hopefully, you will find rewarding even when your best plans are ruined and your character meets a terrible fate.
</t>
  </si>
  <si>
    <t>["Adam Kwapi\u0144ski"]</t>
  </si>
  <si>
    <t>["Awaken Realms", "Rebel Sp. z o.o.", "Arclight Games", "asmodee", "Cranio Creations", "Delta Vision Publishing", "Funforge", "Gal\u00e1pagos Jogos", "Geekach LLC", "Hobby World", "Korea Boardgames", "MINDOK", "Rebel Studio"]</t>
  </si>
  <si>
    <t>["Campaign / Battle Card Driven", "Cooperative Game", "Dice Rolling", "Hand Management", "Hidden Roles", "Interrupts", "Modular Board", "Player Elimination", "Semi-Cooperative Game", "Solo / Solitaire Game", "Team-Based Game", "Traitor Game", "Variable Player Powers"]</t>
  </si>
  <si>
    <t>["Piotr Foksowicz", "Patryk J\u0119draszek", "Ewa Labak", "Andrzej P\u00f3\u0142toranos"]</t>
  </si>
  <si>
    <t>Exploration, Fantasy, Maze, Real-time</t>
  </si>
  <si>
    <t>/thumbs/50-magic-maze.jpg</t>
  </si>
  <si>
    <t>2025-09-16T22:43:11.600418</t>
  </si>
  <si>
    <t>50-magic-maze.jpg</t>
  </si>
  <si>
    <t xml:space="preserve">Description from the publisher:
After being stripped of all their possessions, a mage, a warrior, an elf, and a dwarf are forced to go rob the local Magic Maze shopping mall for all the equipment necessary for their next adventure. They agree to map out the labyrinth in its entirety first, then find each individual’s favorite store, and then locate the exit. In order to evade the surveillance of the guards who eyed their arrival suspiciously, all four will pull off their heists simultaneously, then dash to the exit. That's the plan anyway…but can they pull it off?
Magic Maze is a real-time, cooperative game. Each player can control any hero in order to make that hero perform a very specific action, to which the other players do not have access: Move north, explore a new area, ride an escalator… All this requires rigorous cooperation between the players in order to succeed at moving the heroes prudently. However, you are allowed to communicate only for short periods during the game; the rest of the time, you must play without giving any visual or audio cues to each other. If all of the heroes succeed in leaving the shopping mall in the limited time allotted for the game, each having stolen a very specific item, then everyone wins together.
At the start of the game, you have only three minutes in which to take actions. Hourglass spaces you encounter along the way give you more time. If the sand timer ever completely runs out, all players lose the game: Your loitering has aroused suspicion, and the mall security guards nab you!
</t>
  </si>
  <si>
    <t>["Sit Down!", "2Tomatoes Games", "Broadway Toys LTD", "Conclave Editora", "Dude Games", "Fantasmagoria", "G\u00e9m Klub Kft.", "Ghenos Games", "Korea Boardgames", "Lacerta", "Lautapelit.fi", "Lifestyle Boardgames Ltd", "Pegasus Spiele", "REXhry", "VR Distribution", "WoodCat", "\u05e4\u05e8\u05e9 \u05de\u05e9\u05d7\u05e7\u05d9\u05dd: Game Knight"]</t>
  </si>
  <si>
    <t>["Communication Limits", "Cooperative Game", "Elapsed Real Time Ending", "Grid Movement", "Map Addition", "Modular Board", "Real-Time", "Scenario / Mission / Campaign Game", "Solo / Solitaire Game", "Variable Player Powers"]</t>
  </si>
  <si>
    <t>["Gyom"]</t>
  </si>
  <si>
    <t>Abstract Strategy, Puzzle</t>
  </si>
  <si>
    <t>/thumbs/51-enkounter.jpg</t>
  </si>
  <si>
    <t>2025-09-16T22:43:13.814820</t>
  </si>
  <si>
    <t>51-enkounter.jpg</t>
  </si>
  <si>
    <t xml:space="preserve">Originally included with the Kaleidoscope Classic, a puzzle where differently shaped double-sided pieces containing one to eight squares are placed on an eight by eight-squared board in order to match one of many pre-selected patterns, Enkounter is now available as a standalone game.
In Enkounter players use differently shaped double-sided pieces containing one to eight squares in order to cover up a patterned board where each of the squares also has a value. The pattern on the piece must match the pattern being covered and points are scored for each square covered up and deducted at the end of the game for pieces not played.
Home Page: https://www.thekaleidoscopeclassic.com
</t>
  </si>
  <si>
    <t>["Frank Dyksterhuis", "Mark Wood"]</t>
  </si>
  <si>
    <t>["Brain-ed, Ltd.", "Dr. Wood Challenge Centre", "Kaissa Chess &amp; Games", "Mindwork Games LLP", "Pro Ludo", "PS-Games"]</t>
  </si>
  <si>
    <t>["Pattern Recognition", "Tile Placement"]</t>
  </si>
  <si>
    <t>Video Game Theme</t>
  </si>
  <si>
    <t>/thumbs/52-minecraft-builders--biomes.jpg</t>
  </si>
  <si>
    <t>2025-09-16T22:43:16.016347</t>
  </si>
  <si>
    <t>52-minecraft-builders--biomes.jpg</t>
  </si>
  <si>
    <t xml:space="preserve">As in the original Minecraft digital game, in Minecraft: Builders &amp; Biomes players explore the Overworld, build structures, and mine resources, earning points for structures and the largest connected biomes of forest, desert, mountain, or snowy tundra spaces on their player boards.
Familiar foes like Endermen, Creepers, and other mobs also appear throughout the game, and they need to be defeated using weapons collected from the board. Defeating mobs earn players points in addition to granting additional awards. Game scoring occurs as the resource cube's layers are depleted. As soon as the third layer runs out, the adventure comes to an end, and the builder with the most points wins.
Scoring takes place three times during the game, specifically after the final block is removed from the first, second, and third level of the building block cube. In the first round, you choose one of the four biomes (forest, desert, mountains, or snowy tundra) and score for the largest connected area of this biome on your personal building board. The board comes pre-printed with biome spaces, and as you place buildings on this board, you can alter the biome of a space. In the second round, you choose one of three materials (wood, sand, stone, or obsidian) and score for the largest connected group of structures on your personal building board that are made of this material. In the third round, you score for the largest contiguous group of structures (decoration, dwelling, animal house, or bridge) of your choice on your board. After scoring in the third round, tally bonus points from the mobs you've collected.
</t>
  </si>
  <si>
    <t>["Ulrich Blum"]</t>
  </si>
  <si>
    <t>["Ravensburger"]</t>
  </si>
  <si>
    <t>["Action Points", "Deck, Bag, and Pool Building", "End Game Bonuses", "Grid Movement", "Layering", "Tile Placement", "Variable Set-up"]</t>
  </si>
  <si>
    <t>Fantasy, Pirates</t>
  </si>
  <si>
    <t>/thumbs/53-libertalia-winds-of-galecrest.jpg</t>
  </si>
  <si>
    <t>2025-09-16T22:43:18.072583</t>
  </si>
  <si>
    <t>53-libertalia-winds-of-galecrest.jpg</t>
  </si>
  <si>
    <t xml:space="preserve">In the world of Galecrest, sky pirates set sail on the winds in search of adventure, treasure, and glory. As an admiral, you command a vast and varied crew...but so do your rivals sailing other ships in the pirate fleet. Each day the fleet lands on a different island where you'll send a crew member to collect your share of the loot, hoping they'll return to boost your growing group of characters.
Libertalia was originally released in 2012. Ten years later, Libertalia: Winds of Galecrest celebrates the foundations of the original design with a revised and expanded edition that includes all-new art, 40 characters per player, a reputation system to resolve ties, deluxe loot tokens, a robust solo mode, and much more.
—description from the publisher
</t>
  </si>
  <si>
    <t>["Paolo Mori"]</t>
  </si>
  <si>
    <t>["Stonemaier Games", "999 Games", "Albi", "Arclight Games", "Automa Factory", "Delta Vision Publishing", "Feuerland Spiele", "Ghenos Games", "Grok Games", "Korea Boardgames", "Maldito Games", "Matagot", "PHALANX", "Surfin' Meeple"]</t>
  </si>
  <si>
    <t>["Action Queue", "Hand Management", "Selection Order Bid", "Set Collection", "Simultaneous Action Selection", "Take That", "Turn Order: Role Order", "Variable Phase Order"]</t>
  </si>
  <si>
    <t>["Lamaro Smith"]</t>
  </si>
  <si>
    <t>Animals, Card Game</t>
  </si>
  <si>
    <t>/thumbs/54-lunar.jpg</t>
  </si>
  <si>
    <t>2025-09-16T22:43:20.577883</t>
  </si>
  <si>
    <t>54-lunar.jpg</t>
  </si>
  <si>
    <t xml:space="preserve">Lunar is a quick-playing, trick-taking game for two or four players in which players combine the phases of the moon and nocturnal animals to form cards played into tricks, which are combined to determine their value within each trick.
Each round consists of twelve tricks played, and at the end of each round, a score is awarded based on the number of tricks and cards acquired. Once one player (or team) reaches 30 points, the game ends, and the side with the most points wins!
—description from the publisher
</t>
  </si>
  <si>
    <t>["Masato Uesugi"]</t>
  </si>
  <si>
    <t>["Allplay"]</t>
  </si>
  <si>
    <t>["Team-Based Game", "Trick-taking"]</t>
  </si>
  <si>
    <t>["A. Giroux"]</t>
  </si>
  <si>
    <t>Adventure, Exploration, Fantasy, Fighting, Horror, Miniatures, Murder / Mystery, Mythology, Novel-based, Puzzle</t>
  </si>
  <si>
    <t>/thumbs/55-mansions-of-madness-second-edition.jpg</t>
  </si>
  <si>
    <t>2025-09-16T22:43:22.806909</t>
  </si>
  <si>
    <t>55-mansions-of-madness-second-edition.jpg</t>
  </si>
  <si>
    <t xml:space="preserve">Mansions of Madness: Second Edition is a fully co-operative, app-driven board game of horror and mystery for one to five players that takes place in the same universe as Eldritch Horror and Elder Sign. Let the immersive app guide you through the veiled streets of Innsmouth and the haunted corridors of Arkham's cursed mansions as you search for answers and respite. Eight brave investigators stand ready to confront four scenarios of fear and mystery, collecting weapons, tools, and information, solving complex puzzles, and fighting monsters, insanity, and death. Open the door and step inside these hair-raising Mansions of Madness: Second Edition. It will take more than just survival to conquer the evils terrorizing this town.
</t>
  </si>
  <si>
    <t>["Nikki Valens"]</t>
  </si>
  <si>
    <t>["Fantasy Flight Games", "ADC Blackfire Entertainment", "Arclight Games", "Asterion Press", "Edge Entertainment", "Galakta", "Gal\u00e1pagos Jogos", "Geekach LLC", "Heidelberger Spieleverlag", "Hobby World", "Korea Boardgames", "Meanbook Games", "Siam Board Games"]</t>
  </si>
  <si>
    <t>["Area Movement", "Cooperative Game", "Dice Rolling", "Hand Management", "Map Addition", "Modular Board", "Role Playing", "Scenario / Mission / Campaign Game", "Solo / Solitaire Game", "Stat Check Resolution", "Traitor Game", "Variable Player Powers"]</t>
  </si>
  <si>
    <t>["Cristi Balanescu", "Yoann Boissonnet", "Anders Fin\u00e9r", "Tony Foti", "Corey Konieczka", "Jacob Murray", "Magali Villeneuve"]</t>
  </si>
  <si>
    <t>Card Game, Negotiation</t>
  </si>
  <si>
    <t>/thumbs/56-raid-the-pantry.png</t>
  </si>
  <si>
    <t>2025-09-16T22:43:22.843174</t>
  </si>
  <si>
    <t>56-raid-the-pantry.png</t>
  </si>
  <si>
    <t xml:space="preserve">In the cooking-themed card game Raid the Pantry, for 2-4 individuals or two teams of two, players are dealt ingredient and dish cards at the start of play; over the course of the game, players need to collect the ingredients needed to make the dishes in hand. Each completed dish scores you 1-3 points, locks in its ingredients for reuse in other dishes, and allows you to take a new dish card. Action cards, drawn at the beginning of a turn, provide ways to add, lose, trade and retrieve ingredient cards. The eight "Instant Dishes" among the action cards allow players to lock in a common ingredient and score 1 point.
Players can score a "cuisine bonus" for making multiple dishes from one of the five primary cuisines featured on dish cards (American, Continental, French, Italian and Mexican). The first player to reach a point threshold, which depends on the number of players, wins.
In the team version, players end the round and total their points when the Action card deck has been exhausted.
Raid the Pantry is the winner of the New Zealand New Game of the Year 2013 award from the New Zealand Games Association.  It also won a Game of the Year 2013 award from Creative Child Magazine and one of first ever "Recommended by American Mensa" commendations.
Originally published by SchilMil Games in May 2012, Cheeky Parrot Games acquired the title in 2014 and released a second edition, with some graphical and gameplay tweaks, in June 2015.
</t>
  </si>
  <si>
    <t>["Amanda Milne", "Julia Schiller"]</t>
  </si>
  <si>
    <t>["Auction / Bidding", "Hand Management", "Rock-Paper-Scissors", "Set Collection", "Team-Based Game"]</t>
  </si>
  <si>
    <t>["Aaron Barron", "Anne Heidsieck", "Amanda Milne", "Julia Schiller"]</t>
  </si>
  <si>
    <t>Action / Dexterity, Animals, Card Game, Children's Game, Party Game</t>
  </si>
  <si>
    <t>/thumbs/57-rhino-hero.jpg</t>
  </si>
  <si>
    <t>2025-09-16T22:43:25.235330</t>
  </si>
  <si>
    <t>57-rhino-hero.jpg</t>
  </si>
  <si>
    <t xml:space="preserve">Super Rhino! presents players with an incredibly heroic – and regrettably heavy – rhinoceros who is eager to climb a tall building and leap other tall buildings in a single bound. First, though, you need to construct that building.
Players each start the game with five roof cards, and they take turns adding walls and roofs to a single building. On a turn, you first place walls on the highest floor, then you choose a roof card in your hand and place it on the wall. Each roof card bears markings that indicate where the next player must place walls on the card. In addition, some roof cards force a player to perform special actions, such as placing a second roof, changing the direction of play, or moving Super Rhino to a new location on the tower. Keep your hands steady!
The first player to build all of their roof cards wins the game. Alternatively, if the building collapses, the player who caused the collapse automatically loses, and the player with the fewest roof cards in hand wins.
Similar to Turmbau zu Babel
</t>
  </si>
  <si>
    <t>["Scott Frisco", "Steven Strumpf"]</t>
  </si>
  <si>
    <t>["HABA", "Hobby World", "Korea Boardgames", "Nabita World co., Ltd.", "Reflexshop", "Sugorokuya", "Swan Panasia Co., Ltd."]</t>
  </si>
  <si>
    <t>["Hand Management", "Lose a Turn", "Score-and-Reset Game", "Stacking and Balancing"]</t>
  </si>
  <si>
    <t>["Thies Schwarz"]</t>
  </si>
  <si>
    <t>Maze, Miniatures, Racing, Science Fiction</t>
  </si>
  <si>
    <t>/thumbs/58-roborally.jpg</t>
  </si>
  <si>
    <t>2025-09-16T22:43:27.673182</t>
  </si>
  <si>
    <t>58-roborally.jpg</t>
  </si>
  <si>
    <t xml:space="preserve">The robots of the RoboRally automobile factory spend their weekdays toiling at the assembly line. They put in hard hours building high-speed supercars they never get to see in action. But on Saturday nights, the factory becomes a world of mad machines and dangerous schemes as these robots engage in their own epic race.It takes speed, wits, and dirty tricks to become a racing legend! Each player chooses a robot and directs its moves by playing cards. Chaos ensues as all players reveal the cards they've chosen. Players face obstacles like industrial lasers, gaping pits, and moving conveyor belts -- but those can also be used to their advantage! Each player aims to make it to each of the checkpoints in numerical order. The first player to reach all of the checkpoints wins. 
In RoboRally players each control a different robot in a race through a dangerous factory floor. Several goals will be placed on the board and you must navigate your robot to them in a specific order. The boards can be combined in several different ways to accommodate different player counts and races can be as long or as short as player's desire.
In general, players will first fill all of their robot's "registers" with facedown movement cards. This happens simultaneously and there is a time element involved. If you don't act fast enough you are forced to place cards randomly to fill the rest. Then, starting with the first register, everyone reveals their card. The card with the highest number moves first. After everyone resolves their movement they reveal the next card and so on. Examples of movement cards may be to turn 90 degrees left or right, move forward 2 spaces, or move backward 1 space though there are a bigger variety than that. You can plan a perfect route, but if another robot runs into you it can push you off course. This can be disastrous since you can't reprogram any cards to fix it!
Robots fire lasers and factory elements resolve after each movement and robots may become damaged. </t>
  </si>
  <si>
    <t>["Wizards of the Coast", "999 Games", "ADC Blackfire Entertainment", "AMIGO", "Avalon Hill", "Hasbro", "Play Factory"]</t>
  </si>
  <si>
    <t>["Action Queue", "Bias", "Grid Movement", "Lose a Turn", "Modular Board", "Programmed Movement", "Race", "Scenario / Mission / Campaign Game", "Simultaneous Action Selection"]</t>
  </si>
  <si>
    <t>["Peter Bergting", "Bob Carasca", "Phil Foglio", "Daniel Gelon", "Jennifer Lathrop", "Paul Sottosanti", "Franz Vohwinkel", "Peter Whitley"]</t>
  </si>
  <si>
    <t>Economic, Industry / Manufacturing</t>
  </si>
  <si>
    <t>/thumbs/59-power-grid.jpg</t>
  </si>
  <si>
    <t>2025-09-16T22:43:29.755652</t>
  </si>
  <si>
    <t>59-power-grid.jpg</t>
  </si>
  <si>
    <t xml:space="preserve">Power Grid is the updated release of the Friedemann Friese crayon game Funkenschlag. It removes the crayon aspect from network building in the original edition, while retaining the fluctuating commodities market like Crude: The Oil Game and an auction round intensity reminiscent of The Princes of Florence.
The objective of Power Grid is to supply the most cities with power when someone's network gains a predetermined size.  In this new edition, players mark pre-existing routes between cities for connection, and then bid against each other to purchase the power plants that they use to power their cities.
However, as plants are purchased, newer, more efficient plants become available, so by merely purchasing, you're potentially allowing others access to superior equipment.
Additionally, players must acquire the raw materials (coal, oil, garbage, and uranium) needed to power said plants (except for the 'renewable' windfarm/ solar plants, which require no fuel), making it a constant struggle to upgrade your plants for maximum efficiency while still retaining enough wealth to quickly expand your network to get the cheapest routes.
â˜› Power Grid FAQ - Please read this before posting a rules question!  Many questions are asked over and over in the forums... If you have a question about a specific expansion, please check the rules forum or FAQ for that particular expansion.
</t>
  </si>
  <si>
    <t>["Friedemann Friese"]</t>
  </si>
  <si>
    <t>["2F-Spiele", "999 Games", "Albi", "Arclight Games", "Brain Games", "Edge Entertainment", "Gal\u00e1pagos Jogos", "G\u00e9m Klub Kft.", "Giochi Uniti", "Hobby World", "Ideal Board Games", "Kaissa Chess &amp; Games", "Korea Boardgames", "Lacerta", "Laguna", "Lautapelit.fi", "Matagot", "Rio Grande Games", "Rozum", "Runadrake", "Siam Board Games", "Smart Ltd", "Stratelibri", "Swan Panasia Co., Ltd."]</t>
  </si>
  <si>
    <t>["Auction / Bidding", "Auction: Turn Order Until Pass", "Catch the Leader", "Income", "Market", "Network and Route Building", "Turn Order: Stat-Based", "Variable Set-up"]</t>
  </si>
  <si>
    <t>["Domonkos Bence", "Antonio Dessi", "Lars-Arne \"Maura\" Kalusky", "Prapach Lapamnuaysap", "Harald Lieske"]</t>
  </si>
  <si>
    <t>Card Game, Dice</t>
  </si>
  <si>
    <t>/thumbs/60-oaxaca-crafts-of-a-culture.jpg</t>
  </si>
  <si>
    <t>2025-09-16T22:43:32.006998</t>
  </si>
  <si>
    <t>60-oaxaca-crafts-of-a-culture.jpg</t>
  </si>
  <si>
    <t xml:space="preserve">Among the many reasons that Oaxaca (pronounced wah-HA-kah) is well known are its exquisite handicrafts. Drawing upon generations of tradition, as well as Oaxaca’s vast quantities of raw materials, entire families within this state in Southern Mexico dedicate their lives to perfecting their craft. You are a family of skilled Oaxacan handicraftsmen preparing to sell your artisan wares to eager tourists at a bustling tianguis (a large, outdoor market) within Oaxaca City. Can you lead your family to a distinguished position with your exquisite craftsmanship, or are your crafts common for the culture?
GOAL
Specialize in specific craft types to create more desirable handicrafts. The player who has the most valuable collection of crafts in their Market Stall at the end of the final round is the winner.
</t>
  </si>
  <si>
    <t>["Sarah Reed", "Will Reed"]</t>
  </si>
  <si>
    <t>["Thing 12 Games", "Undine Studios"]</t>
  </si>
  <si>
    <t>["Deck, Bag, and Pool Building", "Dice Rolling"]</t>
  </si>
  <si>
    <t>["Derek Bacon", "Ben Haskett", "Mark Major"]</t>
  </si>
  <si>
    <t>Medieval</t>
  </si>
  <si>
    <t>/thumbs/61-paladins-of-the-west-kingdom.png</t>
  </si>
  <si>
    <t>2025-09-16T22:43:34.128091</t>
  </si>
  <si>
    <t>61-paladins-of-the-west-kingdom.png</t>
  </si>
  <si>
    <t xml:space="preserve">Paladins of the West Kingdom is set at a turbulent time of West Francia's story, circa 900 AD. Despite recent efforts to develop the city, outlying townships are still under threat from outsiders. Saracens scout the borders, while Vikings plunder wealth and livestock. Even the Byzantines from the east have shown their darker side. As noble men and women, players must gather workers from the city to defend against enemies, build fortifications and spread faith throughout the land. Fortunately you are not alone. In his great wisdom, the King has sent his finest knights to help aid in our efforts. So ready the horses and sharpen the swords. The Paladins are approaching.
The aim of Paladins of the West Kingdom is to be the player with the most victory points (VP) at game's end. Points are gained by building outposts and fortifications, commissioning monks and confronting outsiders. Each round, players will enlist the help of a specific Paladin and gather workers to carry out tasks. As the game progresses, players will slowly increase their faith, strength and influence. Not only will these affect their final score, but they will also determine the significance of their actions. The game is concluded at the end of the seventh round.
—description from the publisher
</t>
  </si>
  <si>
    <t>["S J Macdonald", "Shem Phillips"]</t>
  </si>
  <si>
    <t>["Garphill Games", "Renegade Game Studios", "Banana Games", "CMON Global Limited", "Fever Games", "Korea Boardgames", "Lavka Games", "Lord of Boards", "Meeple", "MeepleBR", "Pixie Games", "Portal Games", "Primigenio", "Reflexshop", "Schwerkraft-Verlag", "TLAMA games", "White Goblin Games", "\u682a\u5f0f\u4f1a\u793e\u30b1\u30f3\u30d3\u30eb (KenBill)"]</t>
  </si>
  <si>
    <t>["End Game Bonuses", "Market", "Open Drafting", "Solo / Solitaire Game", "Worker Placement", "Worker Placement, Different Worker Types"]</t>
  </si>
  <si>
    <t>["Mihajlo Dimitrievski"]</t>
  </si>
  <si>
    <t>Electronic, Real-time, Science Fiction, Space Exploration</t>
  </si>
  <si>
    <t>/thumbs/62-space-alert.jpg</t>
  </si>
  <si>
    <t>2025-09-16T22:43:36.150654</t>
  </si>
  <si>
    <t>62-space-alert.jpg</t>
  </si>
  <si>
    <t xml:space="preserve">Space Alert is a cooperative team survival game. Players become crew members of a small spaceship scanning dangerous sectors of the galaxy. The missions last just 10 real-time minutes (hyperspace jump, sector scan, hyperspace jump back) and the only task the players have is to protect their ship.
During play, the central computer will announce the presence of various threats on one of the supplied 10 minute soundtracks that also acts as a game timer. The threats vary from space battleships and interceptors to different interstellar monsters and abominations, asteroids or even intruders and malfunctions on the spaceship. Players have to agree who will take care of which task and coordinate their actions (moving around the ship, firing weapons, distributing energy, using battlebots to deal with intruders, launching guided missiles, etc.) in real time to defend the ship. Only a well-working team can survive 10 minutes and make the jump back to safety.
The game offers several difficulty levels, huge variability and a unique experience for one to five player teams. One mission lasts only about 30 minutes, including setup and evaluation.
(Based on a description from Czech Games Edition)
</t>
  </si>
  <si>
    <t>["Czech Games Edition", "Albi", "asmodee", "Devir", "Heidelberger Spieleverlag", "HomoLudicus", "IELLO", "Magellan", "New Games Order, LLC", "One Moment Games", "Quined White Goblin Games", "Rebel Sp. z o.o.", "Red Glove", "Rio Grande Games"]</t>
  </si>
  <si>
    <t>["Action Queue", "Area Movement", "Cooperative Game", "Elapsed Real Time Ending", "Hand Management", "Programmed Movement", "Real-Time", "Simultaneous Action Selection", "Solo / Solitaire Game"]</t>
  </si>
  <si>
    <t>["Radim Pech", "Milan Vavro\u0148"]</t>
  </si>
  <si>
    <t>Miniatures, Movies / TV / Radio theme, Science Fiction, Wargame</t>
  </si>
  <si>
    <t>/thumbs/63-star-wars-battle-of-hoth.png</t>
  </si>
  <si>
    <t>2025-09-16T22:43:38.291841</t>
  </si>
  <si>
    <t>63-star-wars-battle-of-hoth.png</t>
  </si>
  <si>
    <t xml:space="preserve">Star Wars: Battle of Hoth is a game of heroic and fast-paced battles of miniatures that's set on the ice planet Hoth and reenacts one of the most famous scenes of Star Wars: The Empire Strikes Back.
Using the popular Command and Colors system, players take turns choosing command cards each turn to activate units and decide how to move and attack, across seventeen scenarios included in the box.
For a deeper gaming experience, players have the option to add leader cards to their battle for support from six iconic Star Wars characters, or they try the two multi-scenario campaigns in which successes and failures shape the next battles.
</t>
  </si>
  <si>
    <t>["Richard Borg", "Adrien Martinot"]</t>
  </si>
  <si>
    <t>["Days of Wonder", "Geekach LLC", "MIPL"]</t>
  </si>
  <si>
    <t>["Area Majority / Influence", "Campaign / Battle Card Driven", "Command Cards", "Dice Rolling", "Die Icon Resolution", "Grid Movement", "Hand Management", "Hexagon Grid", "Line of Sight", "Modular Board", "Movement Points", "Scenario / Mission / Campaign Game", "Simulation", "Team-Based Game", "Variable Set-up"]</t>
  </si>
  <si>
    <t>["Ben Carre", "Christophe Duhaze", "Tony Foti", "Cl\u00e9ment Masson"]</t>
  </si>
  <si>
    <t>Card Game, Civilization, Economic, Science Fiction, Space Exploration</t>
  </si>
  <si>
    <t>/thumbs/64-race-for-the-galaxy.jpg</t>
  </si>
  <si>
    <t>2025-09-16T22:43:40.328823</t>
  </si>
  <si>
    <t>64-race-for-the-galaxy.jpg</t>
  </si>
  <si>
    <t>In Race for the Galaxy, players build galactic civilizations by playing cards representing worlds or technical and social developments.
Each round, players secretly and simultaneously select an action card corresponding to one phase of a round. These phases let players draw cards, play cards, add goods to worlds, or consume goods for VP chips. Only the phases chosen will occur that round. Every player may act in a phase that occurs, but the players who chose that phase get a bonus.
Game end is triggered either when a player has built a civilization of 12 cards or when the pool of VP chips is exhausted. Each player then totals the victory points in their tableau plus any VP chips earned during play.
Detailed Overview
Race for the Galaxy tells a story of galactic discovery and expansion through a single deck of cards. Every card in the deck represents either a world that you might settle or a development that you might implement. Cards placed into your tableau represent your current achievements -- worlds you have colonized, technology you now wield -- while cards in your hand represent the options currently available to you.
To play a card, discard the number of cards equal to its cost, representing other opportunities you must forgo to concentrate on your current course. Once in your tableau, a card provides special powers during the game and, at the end, its listed number of victory points. Many worlds, once placed, also produce goods that can be traded for more cards or consumed for VP chips.
Race for the Galaxy is played in rounds. In each round, you and your opponents secretly select an action phase for the upcoming turn. You can choose to:
• Place a world in your tableau with settle or a development with develop.
• Produce goods on worlds with produce.
• Consume goods for VPs with consume.
• Add cards to your hand with explore or by trading a good.
Each round, only those phases that are selected will occur -- but they'll occur for everyone. Selecting a ph</t>
  </si>
  <si>
    <t>["Thomas Lehmann"]</t>
  </si>
  <si>
    <t>["Rio Grande Games", "ABACUSSPIELE", "Albi", "Ediciones MasQueOca", "Feelindigo", "Gabinete L\u00fadico", "Gal\u00e1pagos Jogos", "Gamesinitaly", "Ghenos Games", "Giochix.it", "Hobby Japan", "Hobby World", "Korea Boardgames", "Matagot", "Pegasus Spiele", "Rebel Sp. z o.o.", "Smart Ltd", "Wargames Club Publishing", "YOKA Games", "Ystari Games"]</t>
  </si>
  <si>
    <t>["End Game Bonuses", "Follow", "Hand Management", "Income", "Market", "Multi-Use Cards", "Simultaneous Action Selection", "Tags", "Variable Phase Order"]</t>
  </si>
  <si>
    <t>["Martin Hoffmann", "Claus Stephan"]</t>
  </si>
  <si>
    <t>Card Game, Economic, Renaissance</t>
  </si>
  <si>
    <t>/thumbs/65-splendor.png</t>
  </si>
  <si>
    <t>2025-09-16T22:43:42.473087</t>
  </si>
  <si>
    <t>65-splendor.png</t>
  </si>
  <si>
    <t xml:space="preserve">Splendor is a game of chip-collecting and card development. Players are merchants of the Renaissance trying to buy gem mines, means of transportation, shops—all in order to acquire the most prestige points. If you're wealthy enough, you might even receive a visit from a noble at some point, which of course will further increase your prestige.
On your turn, you may (1) collect chips (gems), or (2) buy and build a card, or (3) reserve one card. If you collect chips, you take either three different kinds of chips or two chips of the same kind. If you buy a card, you pay its price in chips and add it to your playing area. To reserve a card—in order to make sure you get it, or, why not, your opponents don't get it—you place it in front of you face down for later building; this costs you a round, but you also get gold in the form of a joker chip, which you can use as any gem.
All of the cards you buy increase your wealth as they give you a permanent gem bonus for later buys; some of the cards also give you prestige points. In order to win the game, you must reach 15 prestige points before your opponents do.
</t>
  </si>
  <si>
    <t>["Marc Andr\u00e9"]</t>
  </si>
  <si>
    <t>["Space Cowboys", "Asterion Press", "Belleville (\u0411\u0435\u043b\u044c\u0432\u0456\u043b\u044c)", "Board Game VN", "Boardgame Space", "Brain Games", "Broadway Toys LTD", "CoolPlay", "Enigma (Bergsala Enigma)", "Filosofia \u00c9ditions", "Gal\u00e1pagos Jogos", "G\u00e9m Klub Kft.", "GoKids \u73a9\u6a02\u5c0f\u5b50", "HaKubia", "Hobby Japan", "JD \u00c9ditions", "Kaissa Chess &amp; Games", "Korea Boardgames", "Lautapelit.fi", "Lex Games", "Lifestyle Boardgames Ltd", "Mald\u00f3n", "Morapiaf", "NeoTroy Games", "Rebel Sp. z o.o.", "Siam Board Games", "Z-Man Games"]</t>
  </si>
  <si>
    <t>["Contracts", "Open Drafting", "Race", "Set Collection"]</t>
  </si>
  <si>
    <t>["Pascal Quidault", "Paul V\u00e9rit\u00e9"]</t>
  </si>
  <si>
    <t>Animals, Card Game, Fantasy</t>
  </si>
  <si>
    <t>/thumbs/66-the-fox-in-the-forest.jpg</t>
  </si>
  <si>
    <t>2025-09-16T22:43:44.778108</t>
  </si>
  <si>
    <t>66-the-fox-in-the-forest.jpg</t>
  </si>
  <si>
    <t xml:space="preserve">The Fox in the Forest is a trick-taking game for two players. Aside from the normal ranked- and suited-cards used to win tricks, fairy characters such as the Fox and the Witch have special abilities that let you change the trump suit, lead even after you lose a trick, and more.
You score points by winning more tricks than your opponent, but don't get greedy! Win too many tricks, and you will fall like the villain in so many fairy tales...
</t>
  </si>
  <si>
    <t>["Joshua Buergel"]</t>
  </si>
  <si>
    <t>["Foxtrot Games", "Renegade Game Studios", "Banana Games", "Gen-X Games", "Lavka Games", "Mandoo Games", "MINDOK", "Raven Distribution", "Reflexshop", "Schwerkraft-Verlag", "SUNNY BIRD", "White Goblin Games", "WoodCat"]</t>
  </si>
  <si>
    <t>["Hand Management", "Race", "Score-and-Reset Game", "Trick-taking", "Turn Order: Stat-Based"]</t>
  </si>
  <si>
    <t>["Jennifer L. Meyer", "Keith Pishnery"]</t>
  </si>
  <si>
    <t>Card Game, Party Game</t>
  </si>
  <si>
    <t>/thumbs/67-the-gang.jpg</t>
  </si>
  <si>
    <t>2025-09-16T22:43:46.901565</t>
  </si>
  <si>
    <t>67-the-gang.jpg</t>
  </si>
  <si>
    <t xml:space="preserve">Round up your gang and get ready to pull off a series of bank heists using the power of poker!
In The Gang, a co-operative version of Texas Hold'em, players bet on how good they think their hand of cards will be relative to the other players, then try to make their predictions a reality.
Early in a round, without talking to each other, each player chooses a chip indicating how good they think their hand is. Then they begin dealing cards into the middle of the table and have a chance to reassess their hands as more cards are revealed. At the end of the round, players see whether they correctly evaluated their hand. If all players did, you get to open one of the bank vaults! If not, you trip the alarm! If you manage to open three vaults before you trip the alarm three times, your gang wins!
—description from the publisher
</t>
  </si>
  <si>
    <t>["John Cooper", "Kory Heath"]</t>
  </si>
  <si>
    <t>["Communication Limits", "Cooperative Game", "Predictive Bid"]</t>
  </si>
  <si>
    <t>["Fiore GmbH"]</t>
  </si>
  <si>
    <t>Dice, Economic</t>
  </si>
  <si>
    <t>/thumbs/68-the-white-castle.jpg</t>
  </si>
  <si>
    <t>2025-09-16T22:43:49.038497</t>
  </si>
  <si>
    <t>68-the-white-castle.jpg</t>
  </si>
  <si>
    <t xml:space="preserve">The heron flies over the Himeji sky while the Daimyo, from the top of the castle, watches his servants move. Gardeners tend the pond, where the koi carp live, warriors stand guard on the walls, and courtiers crowd the gates, pining for an audience that brings them closer to the innermost circles of the court. When night falls, the lanterns are lit and the workers return to their clan.
In The White Castle, players will control one of these clans in order to score more victory points than the rest. To do so, they must amass influence in the court, manage resources boldly, and place their workers in the right place at the right time. The authors are Sheila Santos and Israel Cendrero, the duo known as Llama Dice who also designed the successful The Red Cathedral with Devir. In this case, we leave the Moscow of Ivan the Terrible behind to explore the most imposing fortress in modern Japan, Himeji Castle, where the banner of the Sakai clan flies under the orders of Daimyo Sakai Tadakiyo.
The White Castle is a Euro type game with mechanics of resource management, worker placement and dice placement to carry out actions. During the game, over three rounds, players will send members of their clan to tend the gardens, defend the castle or progress up the social ladder of the nobility. At the end of the match, these will award players victory points in a variety of ways.
The central panel shows Himeji Castle in all its splendor, divided into several zones. The largest is inside the castle, with the Room of the Thousand Carpets, where the courtiers must ascend socially until they reach the circle closest to the Daimyo to enjoy his favor. There is also the pond and the gardens, patiently tended by the gardeners where everyone can relax and contemplate its beauty without restriction. Another important area is the wall and the outside of the castle, where the warriors patrol and stand guard. Finally, we find the area of the three bridges, where the three types of dice that can </t>
  </si>
  <si>
    <t>["Isra C.", "Shei S."]</t>
  </si>
  <si>
    <t>["Devir", "999 Games", "Banana Games", "CMON Global Limited", "GaGa Games", "Games4you", "Games7Days", "IELLO", "KOSMOS", "Lautapelit.fi", "Portal Games", "Reflexshop", "TLAMA games"]</t>
  </si>
  <si>
    <t>["Action Drafting", "Area Movement", "Dice Rolling", "End Game Bonuses", "Income", "Melding and Splaying", "Multi-Use Cards", "Open Drafting", "Race", "Resource Queue", "Solo / Solitaire Game", "Variable Set-up", "Worker Placement", "Worker Placement with Dice Workers"]</t>
  </si>
  <si>
    <t>["Joan Guardiet"]</t>
  </si>
  <si>
    <t>/thumbs/69-tichu.png</t>
  </si>
  <si>
    <t>2025-09-16T22:43:51.108403</t>
  </si>
  <si>
    <t>69-tichu.png</t>
  </si>
  <si>
    <t xml:space="preserve">Tichu took much of its rules and mechanics from Zheng Fen. It is a partnership climbing card game, and the object of play is to rid yourself of your hand, preferably while scoring points in the process.
The game uses either one or two standard 52-card decks with four special cards added: dog, phoenix, dragon and Mah Jong (1). When it's your turn, you may either beat the current top card combination — single card, pair of cards, sequence of pairs, full house, etc. — or pass. If play passes all the way back to the player who laid the top cards, they win the trick, clears the cards, and can lead the next one. The card led determines the only combination of cards that can be played on that trick, so if a single card is led, then only single cards are played; if a straight of seven cards is led, then only straights of seven cards can be played, etc.
The last player out in a round gives all the cards they won to the player who exited first, and the last player's unplayed cards are handed to the opposite team. Fives, tens and Kings are worth 5, 10 and 10 points, with each hand worth one hundred points without bonuses — but the bonuses are what drive the game. At the start of a round, each player can call "Tichu" prior to playing any card. This indicates that the player thinks they can empty their hand first this round; if they do so, their team scores 100 points, and if not, their team instead loses 100 points. Cards are dealt at the start of a round in a group of eight and a group of six; a player can call "Grand Tichu" after looking at only their first eight cards for a ±200 point bonus. If both players on a team exit a round prior to either player on the opposite team, then no points are scored for cards and the winning team earns 200 points (with Tichu/Grand Tichu bonuses and penalties being applied as normal).
The first team to 1,000 points wins.
</t>
  </si>
  <si>
    <t>["Urs Hostettler"]</t>
  </si>
  <si>
    <t>["Fata Morgana Spiele", "(Unknown)", "999 Games", "ABACUSSPIELE", "Filosofia \u00c9ditions", "G3", "GP Games", "Hobby World", "HomoLudicus", "Jelly Monster", "Jogo na Mesa", "Korea Boardgames", "Maldito Games", "Playhouse Ltd", "Rio Grande Games", "Swan Panasia Co., Ltd.", "TIKI Editions", "uplay.it edizioni", "Venner\u00f8d Forlag AS"]</t>
  </si>
  <si>
    <t>["Hand Management", "Ladder Climbing", "Predictive Bid", "Team-Based Game"]</t>
  </si>
  <si>
    <t>["Kerri Aitken", "Christine Alcouffe", "Res Brandenberger", "Fran\u00e7ois Bruel", "Philippe Gu\u00e9rin", "Urs Hostettler", "Chris Quilliams", "Eduardo M. Dos Reis", "Valerie Vekemans", "Franz Vohwinkel"]</t>
  </si>
  <si>
    <t>Trains</t>
  </si>
  <si>
    <t>/thumbs/70-ticket-to-ride-europe.jpg</t>
  </si>
  <si>
    <t>2025-09-16T22:43:53.567515</t>
  </si>
  <si>
    <t>70-ticket-to-ride-europe.jpg</t>
  </si>
  <si>
    <t xml:space="preserve">Ticket to Ride: Europe takes you on a new train adventure across Europe. From Edinburgh to Constantinople and from Lisbon to Moscow, you'll visit great cities of turn-of-the-century Europe. Like the original Ticket to Ride, the game remains elegantly simple, can be learned in 5 minutes, and appeals to both families and experienced gamers. Ticket to Ride: Europe is a complete, new game and does not require the original version.
More than just a new map, Ticket to Ride: Europe features brand new gameplay elements. Tunnels may require you to pay extra cards to build on them, Ferries require locomotive cards in order to claim them, and Stations allow you to sacrifice a few points in order to use an opponent's route to connect yours. The game also includes larger format cards and Train Station game pieces.
The overall goal remains the same: collect and play train cards in order to place your pieces on the board, attempting to connect cities on your ticket cards. Points are earned both from placing trains and completing tickets but uncompleted tickets lose you points. The player who has the most points at the end of the game wins.
Copyright 2002-2014 Days of Wonder, inc.
Part of the Ticket to Ride series.
</t>
  </si>
  <si>
    <t>["Alan R. Moon"]</t>
  </si>
  <si>
    <t>["Connections", "Contracts", "End Game Bonuses", "Hand Management", "Network and Route Building", "Open Drafting", "Push Your Luck", "Set Collection"]</t>
  </si>
  <si>
    <t>["Cyrille Daujean", "Julien Delval"]</t>
  </si>
  <si>
    <t>Adventure, Card Game, Mythology, Nautical</t>
  </si>
  <si>
    <t>/thumbs/71-the-crew-mission-deep-sea.jpg</t>
  </si>
  <si>
    <t>2025-09-16T22:43:56.397279</t>
  </si>
  <si>
    <t>71-the-crew-mission-deep-sea.jpg</t>
  </si>
  <si>
    <t xml:space="preserve">The Crew: Mission Deep Sea plunges players into a cooperative card game unlike any other. As members of a deep-sea expedition, you and your fellow crew are on a quest to locate the lost continent of Mu—but your success depends on precision, teamwork, and a shared sense of timing.
Each mission presents a new puzzle made up of unique tasks: perhaps one player must win a specific card, while another must avoid it entirely. The trick? You’ll have to complete these challenges through standard trick-taking rules—like in traditional card games—but with extremely limited communication. Each round becomes a tightrope walk of strategic cardplay and silent coordination.
Building on the acclaimed system of The Crew: The Quest for Planet Nine, this sequel introduces a more dynamic mission system with variable difficulty levels, a fresh deck of task cards, and improved scalability for different player counts. Whether you’re playing as a duo or a full five-person team, every game unfolds as a tightly wound tactical dance through the depths.
With 32 increasingly challenging missions and countless combinations of tasks, The Crew: Mission Deep Sea offers a replayable and rewarding dive into the unknown—perfect for those who love trick-taking games with a twist of cooperation and pressure.
</t>
  </si>
  <si>
    <t>["Thomas Sing"]</t>
  </si>
  <si>
    <t>["KOSMOS", "999 Games", "Devir", "Galakta", "Giochi Uniti", "GP Games", "IELLO", "Kaissa Chess &amp; Games", "Korea Boardgames", "MINDOK", "MIPL", "Piatnik", "Swan Panasia Co., Ltd.", "Thames &amp; Kosmos", "Zvezda"]</t>
  </si>
  <si>
    <t>["Communication Limits", "Cooperative Game", "Deduction", "Hand Management", "Scenario / Mission / Campaign Game", "Trick-taking"]</t>
  </si>
  <si>
    <t>["Marco Armbruster"]</t>
  </si>
  <si>
    <t>/thumbs/72-uno-show-em-no-mercy.jpg</t>
  </si>
  <si>
    <t>2025-09-16T22:43:58.794602</t>
  </si>
  <si>
    <t>72-uno-show-em-no-mercy.jpg</t>
  </si>
  <si>
    <t xml:space="preserve">UNO Show 'Em No Mercy is a brutal, ruthless version of the classic UNO card game. In addition to standard action cards like Skip, Reverse, and Draw 2, No Mercy comes with Wild Draw 6, Wild Draw 10, Skip Everyone, Discard All, and the new Wild Color Roulette - a card that forces the next player to choose a color and then draw until they get a card of that color.
In addition to new action cards, many popular house rules have been included in the actual rules. Stacking is legal. 7s swap and 0s pass hands. And when you can't play a card, you must draw until you can play.
But the biggest change in UNO Show 'Em No Mercy is the Mercy Rule. If you ever have 25 or more cards in your hand, you get  kicked out of the game.
UNO Show 'Em No Mercy comes with 168 cards (compared to 112 in standard UNO).
</t>
  </si>
  <si>
    <t>["Nick Hayes"]</t>
  </si>
  <si>
    <t>["Mattel, Inc."]</t>
  </si>
  <si>
    <t>["Hand Management", "Lose a Turn", "Matching", "Player Elimination", "Take That"]</t>
  </si>
  <si>
    <t>/thumbs/73-viticulture-essential-edition.jpg</t>
  </si>
  <si>
    <t>2025-09-16T22:44:01.067482</t>
  </si>
  <si>
    <t>73-viticulture-essential-edition.jpg</t>
  </si>
  <si>
    <t xml:space="preserve">In Viticulture, the players find themselves in the roles of people in rustic, pre-modern Tuscany who have inherited meagre vineyards. They have a few plots of land, an old crush pad, a tiny cellar, and three workers. They each have a dream of being the first to call their winery a true success.
The players are in the position of determining how they want to allocate their workers throughout the year. Every season is different on a vineyard, so the workers have different tasks they can take care of in the summer and winter. There's competition over those tasks, and often the first worker to get to the job has an advantage over subsequent workers.
Fortunately for the vineyard owners, people love to visit wineries, and it just so happens that many of those visitors are willing to help out around the vineyard when they visit as long as you assign a worker to take care of them. Their visits (in the form of cards) are brief but can be very helpful. Using those workers and visitors, the vineyard owners can expand their vineyards by building structures, planting vines, and filling wine orders, working towards the goal of running the most successful winery in Tuscany.
Viticulture Essential Edition includes the base game of Viticulture and a few of the most popular modules from the original Tuscany expansion, including Mamas &amp; Papas, Fields (previously known as Properties), expanded and revised Visitors, and Automa cards for a solo variant, along with a few minor rule changes.
</t>
  </si>
  <si>
    <t>["Jamey Stegmaier", "Alan Stone"]</t>
  </si>
  <si>
    <t>["Stonemaier Games", "Albi", "Angry Lion Games", "Arclight Games", "Board Game Rookie", "Delta Vision Publishing", "Feuerland Spiele", "Ghenos Games", "Kilogames", "Korea Boardgames", "Lavka Games", "Ludofy Creative", "Maldito Games", "Matagot", "PHALANX", "Regatul Jocurilor", "Surfin' Meeple China", "Tower Tactic Games"]</t>
  </si>
  <si>
    <t>["Contracts", "Hand Management", "Race", "Solo / Solitaire Game", "Turn Order: Auction", "Victory Points as a Resource", "Worker Placement", "Worker Placement, Different Worker Types"]</t>
  </si>
  <si>
    <t>["Jacqui Davis", "David Montgomery", "Beth Sobel"]</t>
  </si>
  <si>
    <t>Action / Dexterity, Adventure, Party Game</t>
  </si>
  <si>
    <t>/thumbs/74-tinderblox.png</t>
  </si>
  <si>
    <t>2025-09-16T22:44:03.349799</t>
  </si>
  <si>
    <t>74-tinderblox.png</t>
  </si>
  <si>
    <t xml:space="preserve">The fun mint-tin sized dexterity game that gamers and non-gamers will love!
Tinderblox sets players in a campfire setting, where each player will attempt to grow the fire. But watch out! Place the blocks badly and you risk burning down the camp!
Each turn, players draw a card from the campfire deck which instructs them to place a log, an ember, or any combination of them in various orientations on top of the campfire. Players use tweezers to "play with fire" and if you drop anything, you're considered a fire hazard and you're removed from the game. The player who is the most careful with fire wins!
Differences between Tinderblox Day, Night and Sunset:
Tinderblox Day is the original game.
Tinderblox Night is a limited edition version which includes more challenging cards.
Tinderblox Sunset includes the Marshmallow mini-expansion (otherwise sold separately) and is made from FSC-compliant materials.
</t>
  </si>
  <si>
    <t>["Rob Sparks"]</t>
  </si>
  <si>
    <t>["Player Elimination", "Stacking and Balancing"]</t>
  </si>
  <si>
    <t>["Rory Muldoon"]</t>
  </si>
  <si>
    <t>Dice, Horror, Humor, Party Game, Zombies</t>
  </si>
  <si>
    <t>/thumbs/75-zombie-dice.jpg</t>
  </si>
  <si>
    <t>2025-09-16T22:44:05.421068</t>
  </si>
  <si>
    <t>75-zombie-dice.jpg</t>
  </si>
  <si>
    <t xml:space="preserve">Eat brains. Don't get shotgunned.
In Zombie Dice, you are a zombie. You want braaains – more brains than any of your zombie buddies. The 13 custom dice are your victims. Push your luck to eat their brains, but stop rolling before the shotgun blasts end your turn! Whoever collects 13 brains first wins. Each game takes 10 to 20 minutes and can be taught in a single round.
Each turn, you take three dice from the box and roll them. A brain symbol is worth one point at the end of the round, while footsteps allow you to reroll this particular dice. Shotgun blasts on the other hand are rather bad, cause if you collect three shotgun blasts during your turn, it is over for you and you get no points. After rolling three dice, you may decide if you want to score your current brain collection or if you want to push your luck by grabbing new dice so you have three again and roll once more.
</t>
  </si>
  <si>
    <t>["Steve Jackson (I)"]</t>
  </si>
  <si>
    <t>["Steve Jackson Games", "Black Monk", "Edge Entertainment", "Gal\u00e1pagos Jogos", "Hobby World", "Pegasus Spiele"]</t>
  </si>
  <si>
    <t>["Dice Rolling", "Die Icon Resolution", "Push Your Luck", "Re-rolling and Locking"]</t>
  </si>
  <si>
    <t>["Alex Fernandez (I)"]</t>
  </si>
  <si>
    <t>Party Game</t>
  </si>
  <si>
    <t>/thumbs/76-wavelength.png</t>
  </si>
  <si>
    <t>2025-09-16T22:44:07.420917</t>
  </si>
  <si>
    <t>76-wavelength.png</t>
  </si>
  <si>
    <t xml:space="preserve">Wavelength is a social guessing game in which two teams compete to read each other's minds. Teams take turns rotating a dial to where they think a hidden bullseye is located on a spectrum. One of the players on your team — the Psychic — knows exactly where the bullseye is, and draws a card with a pair of binaries on it (such as: Job - Career, Rough - Smooth, Fantasy - Sci-Fi, Sad Song - Happy Song, etc). The Psychic must then provide a clue that is *conceptually* where the bullseye is located between those two binaries.
For example, if the card this round is HOT-COLD and the bullseye is slightly to the "cold" side of the centre, the Psychic needs to give a clue somewhere in that region. Perhaps "salad"?
After the Psychic gives their clue, their team discusses where they think the bullseye is located and turns the dial to that location on that spectrum. The closer to the center of the bullseye the team guess, the more points they score!
</t>
  </si>
  <si>
    <t>["Alex Hague", "Justin Vickers", "Wolfgang Warsch"]</t>
  </si>
  <si>
    <t>["Palm Court", "Arrakis Games", "Brain Games", "CMYK", "GaGa Games", "Gal\u00e1pagos Jogos", "Geekach LLC", "G\u00e9m Klub Kft.", "GoKids \u73a9\u6a02\u5c0f\u5b50", "Hid Konem (\u0425\u0456\u0434 \u041a\u043e\u043d\u0435\u043c)", "Hobby Japan", "Korea Boardgames", "Lord of Boards", "Rebel Sp. z o.o.", "Schmidt Spiele", "Zito! \u038f\u03c1\u03b1 \u03b3\u03b9\u03b1 \u03c0\u03b1\u03b9\u03c7\u03bd\u03af\u03b4\u03b9"]</t>
  </si>
  <si>
    <t>["Race", "Targeted Clues", "Team-Based Game"]</t>
  </si>
  <si>
    <t>["Sofie Hannibal", "Nan Na Hvass"]</t>
  </si>
  <si>
    <t>Real-time, Science Fiction, Video Game Theme</t>
  </si>
  <si>
    <t>/thumbs/77-xcom-the-board-game.jpg</t>
  </si>
  <si>
    <t>2025-09-16T22:44:09.866863</t>
  </si>
  <si>
    <t>77-xcom-the-board-game.jpg</t>
  </si>
  <si>
    <t xml:space="preserve">Game description from the publisher:
You are humanity's last hope.
In XCOM: The Board Game, you and up to three friends assume the roles of the leaders of the elite, international organization known as XCOM. It is your job to defend humanity, quell the rising panic, and turn back the alien invasion.
Where the world's militaries have failed to stand against the alien invaders, you must succeed. To do so, you must make strategic use of the resources available to you. You must launch Interceptors to shoot down alien UFOs, assign soldiers to key missions, research alien technology, and use that technology to defend your base — all while trying to keep the world from collapsing just long enough that you can coordinate one final mission to repel the invaders for good.
One of the more notable aspects of XCOM: The Board Game is the way that it incorporates a free and innovative digital app into the core of its gameplay. This digital companion will be available both as a downloadable app and as an online tool.
The app's primary function is to coordinate the escalating alien invasion, randomly selecting from one of five different invasion plans. Each invasion plan represents a general outline that the alien commanders will use to coordinate the arrival of new UFOs, plan strikes against your base, and respond to your successes or failures as it seeks to conquer Earth. The app manages all of these tasks and heightens the game's tension as it forces you to respond in real-time. Then, after you move quickly to coordinate your response, you engage the enemy in the untimed resolution phase and feed the results to the app. Based upon these results, the app launches the invasion's next strikes.
Additionally, the app teaches you the rules, controls the information that your satellites provide you, and tracks the progress of your resistance efforts, even as it allows you to enjoy the game at any of three levels of difficulty: Easy, Normal, or Hard.
The use of this app does more </t>
  </si>
  <si>
    <t>["Eric M. Lang"]</t>
  </si>
  <si>
    <t>["Fantasy Flight Games", "2K Games, Inc.", "ADC Blackfire Entertainment", "Edge Entertainment", "Firaxis Games, Inc.", "Galakta", "Gal\u00e1pagos Jogos", "Giochi Uniti", "Heidelberger Spieleverlag"]</t>
  </si>
  <si>
    <t>["Cooperative Game", "Dice Rolling", "Hand Management", "Push Your Luck", "Real-Time", "Variable Player Powers"]</t>
  </si>
  <si>
    <t>/thumbs/78-coloretto.png</t>
  </si>
  <si>
    <t>2025-09-16T22:44:44.196824</t>
  </si>
  <si>
    <t>78-coloretto.png</t>
  </si>
  <si>
    <t xml:space="preserve">Game play in Coloretto is simple: Either draw a card to play to a row, or take a row of cards to add them to your collection. A row can have at most three cards, so at some point everyone is forced to take a row. Once all the rows have been claimed, players start a new round, drawing or taking once again.
What are you trying to do with these cards? Collect huge sets - but only in three colors as every color beyond the third will cost you points. Jokers are highly-prized as they always match what you want, and +2 cards provide sure points, giving you a back-up plan if everything goes south in terms of the colors you're collecting.
Once only a few cards remain in the deck, the round ends and everyone tallies their score, choosing three colors of cards to score positively while any other colors count against you. Each color is scored using a triangular number system: the first card in a color is ±1 point, the second card is ±2 points, and so on. The player with the high score wins!
A two-player variant is included with some versions of Coloretto, with the only change being that rows can have only 1-3 cards placed in them, depending on the icons on the row cards.
Nordic version include extensions: 'Coloretto: The Extra Cards', 'Coloretto: The Limit Cards' and 'Coloretto for two players'.
</t>
  </si>
  <si>
    <t>["Michael Schacht"]</t>
  </si>
  <si>
    <t>["ABACUSSPIELE", "999 Games", "Albi", "Brain Games", "Corfix", "Devir", "DV Games", "G3", "Grow Jogos e Brinquedos", "HomoLudicus", "Kaissa Chess &amp; Games", "Korea Boardgames", "Lautapelit.fi", "Lifestyle Boardgames Ltd", "M\u00f6bius Games", "Oya", "PS-Games", "Red Glove", "Rio Grande Games", "Swan Panasia Co., Ltd."]</t>
  </si>
  <si>
    <t>["Open Drafting", "Push Your Luck", "Set Collection", "Turn Order: Pass Order"]</t>
  </si>
  <si>
    <t>["Guido Favaro", "Michael Schacht", "Oksana Svistun"]</t>
  </si>
  <si>
    <t>Deduction, Party Game, Word Game</t>
  </si>
  <si>
    <t>/thumbs/79-concept.jpg</t>
  </si>
  <si>
    <t>2025-09-16T22:44:44.683726</t>
  </si>
  <si>
    <t>79-concept.jpg</t>
  </si>
  <si>
    <t xml:space="preserve">In Concept, your goal is to guess words through the association of icons. A team of two players – neighbors at the table – choose a word or phrase that the other players need to guess. Acting together, this team places pieces judiciously on the available icons on the game board.
To get others to guess "milk", for example, the team might place the question mark icon (which signifies the main concept) on the liquid icon, then cubes of this color on the icons for "food/drink" and "white". For a more complicated concept, such as "Leonardo DiCaprio", the team can use the main concept and its matching cubes to clue players into the hidden phrase being an actor or director, while then using sub-concept icons and their matching cubes to gives clues to particular movies in which DiCaprio starred, such as Titanic or Inception.
The first player to discover the word or phrase receives 2 victory points, the team receives points as well, and the player who ends up with the most points wins.
</t>
  </si>
  <si>
    <t>["Ga\u00ebtan Beaujannot", "Alain Rivollet"]</t>
  </si>
  <si>
    <t>["Repos Production", "ADC Blackfire Entertainment", "asmodee", "Asterion Press", "Gal\u00e1pagos Jogos", "G\u00e9m Klub Kft.", "Hobby Japan", "Kaissa Chess &amp; Games", "Korea Boardgames", "Lautapelit.fi", "Lifestyle Boardgames Ltd", "Rebel Sp. z o.o.", "Rozum", "Sombreros Production"]</t>
  </si>
  <si>
    <t>["Communication Limits", "Race", "Team-Based Game"]</t>
  </si>
  <si>
    <t>["\u00c9ric Azagury", "C\u00e9dric Chevalier"]</t>
  </si>
  <si>
    <t>Bluffing, Deduction, Horror, Science Fiction, Zombies</t>
  </si>
  <si>
    <t>/thumbs/80-dead-of-winter-a-crossroads-game.jpg</t>
  </si>
  <si>
    <t>2025-09-16T22:44:45.231936</t>
  </si>
  <si>
    <t>80-dead-of-winter-a-crossroads-game.jpg</t>
  </si>
  <si>
    <t xml:space="preserve">"Crossroads" is a game series from Plaid Hat Games that tests a group of survivors' ability to work together and stay alive while facing crises and challenges from both outside and inside. Dead of Winter: A Crossroads Game, the first title in this series, puts 2-5 players in a small, weakened colony of survivors in a world in which most of humanity is either dead or diseased, flesh-craving monsters. Each player leads a faction of survivors, with dozens of different characters in the game.
Dead of Winter is a meta-cooperative psychological survival game. This means players are working together toward one common victory condition, but for each individual player to achieve victory, they must also complete their personal secret objective, which could relate to a psychological tick that's fairly harmless to most others in the colony, a dangerous obsession that could put the main objective at risk, a desire for sabotage of the main mission, or (worst of all) vengeance against the colony! Games could end with all players winning, some winning and some losing, or all players losing. Work toward the group's goal, but don't get walked all over by a loudmouth who's looking out only for their own interests!
Dead of Winter is an experience that can be accomplished only through the medium of tabletop games, a story-centric game about surviving through a harsh winter in an apocalyptic world. The survivors are all dealing with their own psychological imperatives, but must still find a way to work together to fight off outside threats, resolve crises, find food and supplies, and keep the colony's morale up.
Dead of Winter has players making frequent, difficult, heavily-thematic, wildly-varying decisions that often have them deciding between what's best for the colony and what's best for themselves. The rulebook also includes a fully co-operative variant in which all players work toward the group objective with no personal goals.
</t>
  </si>
  <si>
    <t>["Jonathan Gilmour-Long", "Isaac Vega"]</t>
  </si>
  <si>
    <t>["Plaid Hat Games", "Arclight Games", "Cube Factory of Ideas", "Edge Entertainment", "Fantasy Flight Games", "Filosofia \u00c9ditions", "Gal\u00e1pagos Jogos", "Game Harbor", "G\u00e9m Klub Kft.", "Gemenot", "Heidelberger Spieleverlag", "Korea Boardgames", "Meanbook Games", "MINDOK", "Raven Distribution", "Rozum", "Siam Board Games"]</t>
  </si>
  <si>
    <t>["Action Points", "Area Movement", "Dice Rolling", "Hand Management", "Narrative Choice / Paragraph", "Push Your Luck", "Scenario / Mission / Campaign Game", "Semi-Cooperative Game", "Storytelling", "Trading", "Traitor Game", "Turn Order: Progressive", "Variable Player Powers", "Voting"]</t>
  </si>
  <si>
    <t>["David Richards", "Fernanda Su\u00e1rez", "Peter Wocken"]</t>
  </si>
  <si>
    <t>Bluffing, Deduction, Horror, Mature / Adult, Science Fiction, Zombies</t>
  </si>
  <si>
    <t>/thumbs/81-dead-of-winter-the-long-night.jpg</t>
  </si>
  <si>
    <t>2025-09-16T22:44:45.723698</t>
  </si>
  <si>
    <t>81-dead-of-winter-the-long-night.jpg</t>
  </si>
  <si>
    <t xml:space="preserve">Dead of Winter: The Long Night is a standalone expansion for Dead of Winter: A Crossroads Game that introduces the Raxxon location where horrible experiments will spill out into the town unless players can contain them.
The game has players at a new colony location trying to survive with new survivors against brand new challenges. Can you handle being raided by members of other colonies? Will you explore more and unravel the mysteries of the Raxxon pharmaceutical location to find powerful items but release stronger enemies? Or will you upgrade your colony to help it better withstand the undead horde? These are all choices you will get to make in this new set, and if you want, you can mix in the survivors and cards from the original set to increase the variety even more.
Part of the Dead of Winter series.
</t>
  </si>
  <si>
    <t>["Plaid Hat Games", "Arclight Games", "CrowD Games", "Cube Factory of Ideas", "Edge Entertainment", "Filosofia \u00c9ditions", "Gal\u00e1pagos Jogos", "Game Harbor", "Heidelberger Spieleverlag", "MINDOK", "Raven Distribution"]</t>
  </si>
  <si>
    <t>["Action Points", "Cooperative Game", "Dice Rolling", "Hand Management", "Narrative Choice / Paragraph", "Push Your Luck", "Semi-Cooperative Game", "Storytelling", "Trading", "Traitor Game", "Variable Player Powers", "Voting"]</t>
  </si>
  <si>
    <t>["Joshua Panelo", "David Richards", "Fernanda Su\u00e1rez", "Peter Wocken"]</t>
  </si>
  <si>
    <t>Deduction, Party Game, Spies / Secret Agents, Word Game</t>
  </si>
  <si>
    <t>/thumbs/82-decrypto.jpg</t>
  </si>
  <si>
    <t>2025-09-16T22:44:46.222346</t>
  </si>
  <si>
    <t>82-decrypto.jpg</t>
  </si>
  <si>
    <t xml:space="preserve">Players compete in two teams in Decrypto, with each trying to correctly interpret the coded messages presented to them by their teammates while cracking the codes they intercept from the opposing team.
In more detail, each team has their own screen, and in this screen they tuck four cards in pockets numbered 1-4, letting everyone on the same team see the words on these cards while hiding the words from the opposing team. In the first round, each team does the following: One team member takes a code card that shows three of the digits 1-4 in some order, e.g., 4-2-1. They then give a coded message that their teammates must use to guess this code. For example, if the team's four words are "pig", "candy", "tent", and "son", then I might say "Sam-striped-pink" and hope that my teammates can correctly map those words to 4-2-1. If they guess correctly, great; if not, we receive a black mark of failure.
Starting in the second round, a member of each team must again give a clue about their words to match a numbered code. If I get 2-4-3, I might now say, "sucker-prince-stake". The other team then attempts to guess our numbered code. If they're correct, they receive a white mark of success; if not, then my team must guess the number correctly or take a black mark of failure. (Guessing correctly does nothing except avoid failure and give the opposing team information about what our hidden words might be.)
The rounds continue until a team collects either its second white mark (winning the game) or its second black mark (losing the game). Games typically last between 4-7 rounds. If neither team has won after eight rounds, then each team must attempt to guess the other team's words; whichever team guesses more words correctly wins.
</t>
  </si>
  <si>
    <t>["Thomas Dagenais-Lesp\u00e9rance"]</t>
  </si>
  <si>
    <t>["Communication Limits", "Paper-and-Pencil", "Targeted Clues", "Team-Based Game"]</t>
  </si>
  <si>
    <t>["Fabien Fulchiron", "NILS", "Manuel Sanchez"]</t>
  </si>
  <si>
    <t>Card Game, Humor, Party Game</t>
  </si>
  <si>
    <t>/thumbs/83-dixit.jpg</t>
  </si>
  <si>
    <t>2025-09-16T22:44:46.700958</t>
  </si>
  <si>
    <t>83-dixit.jpg</t>
  </si>
  <si>
    <t xml:space="preserve">Each turn in Dixit, one player is the storyteller who chooses one of the six cards in their hand, then expresses an idea, with sounds or words, that is reflected on that card's image, and places the card face down on the playing surface. Each other player then selects the card that best matches that expression, and passes the selected card to the storyteller, face down.
The storyteller shuffles all the cards together, then turns them over to reveal them. Each player other than the storyteller then secretly guesses which card belongs to the storyteller. If nobody or everybody guesses the correct card, the storyteller scores 0 points, and each other player scores 2 points. Otherwise, the storyteller and whoever found the correct answer score 3 points. Additionally, the non-storyteller players score 1 point for every vote received by their card.
The game ends when the deck is empty or if a player has scored at least 30 points. In either case, the player with the most points wins.
The Dixit base game and each expansion contain 84 cards, and the cards can be mixed together as desired.
</t>
  </si>
  <si>
    <t>["Jean-Louis Roubira"]</t>
  </si>
  <si>
    <t>["Libellud", "ADC Blackfire Entertainment", "Anne", "asmodee", "Asterion Press", "Boardgame Space", "Gal\u00e1pagos Jogos", "G\u00e9m Klub Kft.", "hobbity.eu", "Hobby Japan", "KADABRA", "Kaissa Chess &amp; Games", "Korea Boardgames", "Lautapelit.fi", "Mald\u00f3n", "Morapiaf", "Nordic Games ehf", "Paladium Games", "Rebel Sp. z o.o.", "Swan Panasia Co., Ltd.", "\u0406\u0433\u0440\u043e\u043c\u0430\u0433"]</t>
  </si>
  <si>
    <t>["Race", "Singing", "Storytelling", "Targeted Clues", "Voting"]</t>
  </si>
  <si>
    <t>["Marie Cardouat"]</t>
  </si>
  <si>
    <t>Card Game, Medieval</t>
  </si>
  <si>
    <t>/thumbs/84-dominion-intrigue.jpg</t>
  </si>
  <si>
    <t>2025-09-16T22:44:47.188122</t>
  </si>
  <si>
    <t>84-dominion-intrigue.jpg</t>
  </si>
  <si>
    <t xml:space="preserve">In Dominion: Intrigue (as with Dominion), each player starts with an identical, very small deck of cards. In the center of the table is a selection of other cards the players can "buy" as they can afford them. Through their selection of cards to buy, and how they play their hands as they draw them, the players construct their deck on the fly, striving for the most efficient path to the precious victory points by game end.
From the back of the box: "Something’s afoot. The steward smiles at you like he has a secret, or like he thinks you have a secret, or like you think he thinks you have a secret. There are secret plots brewing, you’re sure of it. At the very least, there are yours. A passing servant murmurs, “The eggs are on the plate.” You frantically search your codebook for the translation before realizing he means that breakfast is ready. Excellent. Everything is going according to plan."
Dominion: Intrigue adds rules for playing with up to 8 players at two tables or for playing a single game with up to 6 players when combined with Dominion. This game adds 25 new Kingdom cards and a complete set of Treasure and Victory cards. The game can be played alone by players experienced in Dominion or with the basic game of Dominion.
Part of the Dominion series.
Integrates with:
    Dominion
Also released as an expansion that requires the base game or card set to play: Dominion: Die Intrige â€“ Erweiterung.
</t>
  </si>
  <si>
    <t>["Donald X. Vaccarino"]</t>
  </si>
  <si>
    <t>["Rio Grande Games", "999 Games", "Albi", "ASS Altenburger Spielkarten", "Bard Centrum Gier", "Devir", "Filosofia \u00c9ditions", "Games Factory Publishing", "G\u00e9m Klub Kft.", "Giochi Uniti", "Hans im Gl\u00fcck", "Hobby Japan", "Hobby World", "Korea Boardgames", "Lautapelit.fi", "Stupor Mundi", "Swan Panasia Co., Ltd.", "Venner\u00f8d Forlag AS"]</t>
  </si>
  <si>
    <t>["Deck, Bag, and Pool Building", "Delayed Purchase", "Hand Management", "Open Drafting", "Variable Set-up"]</t>
  </si>
  <si>
    <t>["Matthias Catrein", "Julien Delval", "Martin Hoffmann", "Tomasz Jedruszek", "Alexander Jung", "Lars-Arne \"Maura\" Kalusky", "Ryan Laukat", "Harald Lieske", "Dennis Lohausen", "Michael Menzel", "Marcel-Andr\u00e9 Casasola Merkle", "Claus Stephan", "Joshua J. Stewart", "Christof Tisch", "Franz Vohwinkel"]</t>
  </si>
  <si>
    <t>Environmental, Puzzle, Territory Building, Video Game Theme</t>
  </si>
  <si>
    <t>/thumbs/85-dorfromantik-the-board-game.jpg</t>
  </si>
  <si>
    <t>2025-09-16T22:44:47.686065</t>
  </si>
  <si>
    <t>85-dorfromantik-the-board-game.jpg</t>
  </si>
  <si>
    <t xml:space="preserve">Rippling rivers, rustling forests, wheat fields swaying in the wind and here and there a cute little village - that's Dorfromantik! The video game from the small developer studio Toukana Interactive has been thrilling the gaming community since its Early Access in March 2021 and has already won all kinds of prestigious awards. Now Michael Palm and Lukas Zach are transforming the popular building strategy and puzzle game into a family game for young and old with Dorfromantik: The Board Game.
In Dorfromantik: The Board Game, up to six players work together to lay hexagonal tiles to create a beautiful landscape and try to fulfill the orders of the population, while at the same time laying as long a track and as long a river as possible, but also taking into account the flags that provide points in enclosed areas. The better the players manage to do this, the more points they can score at the end. In the course of the replayable campaign, the points earned can be used to unlock new tiles that are hidden in initially locked boxes. These pose new, additional tasks for the players and make it possible to raise the high score higher and higher.
—description from the publisher
</t>
  </si>
  <si>
    <t>["Michael Palm", "Lukas Zach"]</t>
  </si>
  <si>
    <t>["Pegasus Spiele", "Berry Games", "CMON Global Limited", "FunMill.ru", "G\u00e9m Klub Kft.", "Gigamic", "Intrafin Games", "IUVI Games", "Korea Boardgames", "Mnogoknig Games", "SD Games", "\u30c6\u30f3\u30c7\u30a4\u30ba\u30b2\u30fc\u30e0\u30ba (TendaysGames)", "TLAMA games", "Tower Tactic Games", "\u0406\u0433\u0440\u043e\u0432\u0430 \u041c\u0430\u0439\u0441\u0442\u0435\u0440\u043d\u044f", "\u041d\u0435\u0441\u043a\u0443\u0447\u043d\u044b\u0435 \u0438\u0433\u0440\u044b"]</t>
  </si>
  <si>
    <t>["Area Majority / Influence", "Cooperative Game", "Hexagon Grid", "Map Addition", "Modular Board", "Scenario / Mission / Campaign Game", "Tile Placement", "Variable Set-up"]</t>
  </si>
  <si>
    <t>["Paul Riebe"]</t>
  </si>
  <si>
    <t>Children's Game, Fantasy, Territory Building</t>
  </si>
  <si>
    <t>/thumbs/86-dragomino.png</t>
  </si>
  <si>
    <t>2025-09-16T22:44:48.175760</t>
  </si>
  <si>
    <t>86-dragomino.png</t>
  </si>
  <si>
    <t xml:space="preserve">The big moment has arrived. You have been named "dragon trainer", and you have the chance to meet them on a mysterious island. But you are not the only trainer sent to these lands. Who among you will discover the most baby dragons?
Dragomino features gameplay similar to Kingdomino, but with gameplay suitable for younger players. At the start of a round, you reveal four domino tiles, with each domino featuring two types of landscapes. Starting with whoever has the mommy dragon figure, players draft a tile and add it to their landscape. If the newly placed tile matches the landscape of one or more adjacent tiles, then you draw an egg tile for that type of landscape and place it face up where those tiles meet. Some eggs feature a baby dragon, which is worth 1 point; others feature an empty shell, which allows you to take the mommy dragon, giving you first pick next round.
After seven rounds, the game ends, and the player who holds the mommy dragon scores 1 additional point.
</t>
  </si>
  <si>
    <t>["Bruno Cathala", "Marie Fort", "Wilfried Fort"]</t>
  </si>
  <si>
    <t>["Blue Orange (EU)", "Blue Orange Games", "CMON Global Limited", "Coiledspring Games", "Feelindigo", "FoxGames", "G\u00e9m Klub Kft.", "Kaissa Chess &amp; Games", "Lautapelit.fi", "Lifestyle Boardgames Ltd", "MEBO Games", "MINDOK", "MIPL", "PaperGames (III)", "Pegasus Spiele", "Swan Panasia Co., Ltd.", "Tower Tactic Games"]</t>
  </si>
  <si>
    <t>["Open Drafting", "Pattern Building", "Tile Placement", "Turn Order: Stat-Based"]</t>
  </si>
  <si>
    <t>["Ma\u00ebva da Silva", "Christine Deschamps"]</t>
  </si>
  <si>
    <t>Adventure, Exploration, Fantasy, Fighting, Miniatures</t>
  </si>
  <si>
    <t>/thumbs/87-dungeons--dragons-waterdeep--dungeon-of-the-mad.jpg</t>
  </si>
  <si>
    <t>2025-09-16T22:44:48.734494</t>
  </si>
  <si>
    <t>87-dungeons--dragons-waterdeep--dungeon-of-the-mad.jpg</t>
  </si>
  <si>
    <t xml:space="preserve">In the city of Waterdeep rests a tavern called the Yawning Portal, named after the gaping pit in its common room. At the bottom of this crumbling shaft is a labyrinth dungeon known as Undermountain, domain of the mad wizard Halaster Blackcloak, who has seeded his lair with monsters, traps, and mysteries.
As an adventurer in Waterdeep: Dungeon of the Mad Mage, you plan to explore Undermountain in search for treasure while navigating numerous traps and ominous monsters.
Following in the path of the other critically-acclaimed D&amp;D board games, Waterdeep: Dungeon of the Mad Mage features multiple scenarios, challenging quests, and gameplay designed for a single player or a cooperative group of 2-5 players. The game features new environment and bane/boon cards, as well as the trap and spell decks that premiered in Tomb of Annihilation.
Waterdeep: Dungeon of the Mad Mage can also be combined with the other D&amp;D Adventure System co-operative play board games, including Tomb of Annihilation, Temple of Elemental Evil, The Legend of Drizzt, Castle Ravenloft, and Wrath of Ashardalon.
					Miniature counts (standard edition)Green Monsters (31)
     Shadow (3)
     Grung (3)
     Intellect Devourer (6)
     Grung Elite Warrior (1)
     Bheur Hag (3)
     Thug (3)
     Veteran (3)
     Flying Sword (3)
     Veteran Leader (1)
     Thug Leader (1)
     Beholder Zombie (2)
     Scaladar (1)
     Death Tyrant (1)
Purple Villains (7)
     Trobriand (1)
     Halaster Blackcloak (1)
     Arcturia (1)
     Muiral (1)
     Zalthar Shadowdusk (1)
     Grey Ooze (1)
     Dezmyr Shadowdusk (1)
Dark Blue Heroes (5)
     Navell Human Paladin (1)
     Cormac Half-Elf Cleric (1)
     Atka Tiefling Fighter (1)
     Marcon Human Sorcerer (1)
     Trosper Gnome Rogue (1)
Integrates with:
    Dungeon Command: Blood of Gruumsh
    Dungeon Command: Curse of Undeath
    Dungeon Command: Sting of Lolth
    Dungeon Command: Tyranny of Goblins
    Dungeon Command: Heart of Cormyr
</t>
  </si>
  <si>
    <t>["Kevin Wilson"]</t>
  </si>
  <si>
    <t>["WizKids (I)", "asmodee", "Gal\u00e1pagos Jogos"]</t>
  </si>
  <si>
    <t>["Cooperative Game", "Grid Movement", "Modular Board", "Role Playing", "Scenario / Mission / Campaign Game", "Solo / Solitaire Game", "Variable Player Powers"]</t>
  </si>
  <si>
    <t>Adventure, Card Game, Dice, Fantasy, Fighting, Horror, Novel-based</t>
  </si>
  <si>
    <t>/thumbs/88-elder-sign.jpg</t>
  </si>
  <si>
    <t>2025-09-16T22:44:49.227939</t>
  </si>
  <si>
    <t>88-elder-sign.jpg</t>
  </si>
  <si>
    <t xml:space="preserve">Game description from the publisher:
It is 1926, and the museum's extensive collection of exotic curios and occult artifacts poses a threat to the barriers between our world and the elder evils lurking between dimensions. Gates to the beyond begin to leak open, and terrifying creatures of increasing strength steal through them. Animals, the mad, and those of more susceptible minds are driven to desperation by the supernatural forces the portals unleash. Only a handful of investigators race against time to locate the eldritch symbols necessary to seal the portals forever. Only they can stop the Ancient One beyond from finding its way to Earth and reducing humanity to cinders.
Elder Sign is a fast-paced, cooperative dice game of supernatural intrigue for one to eight players by Richard Launius and Kevin Wilson, the designers of Arkham Horror. Players take the roles of investigators racing against time to stave off the imminent return of the Ancient One. Armed with tools, allies, and occult knowledge, investigators must put their sanity and stamina to the test as they adventure to locate Elder Signs, the eldritch symbols used to seal away the Ancient Ones and win the game.
To locate Elder Signs, investigators must successfully endure Adventures within the museum and its environs. A countdown mechanism makes an Ancient One appear if the investigators are not quick enough. The investigators must then battle the Ancient One. A clever and thematic dice mechanism pits their exploration against monsters and the sheer difficulty of staying sane and healthy, all within the standard game duration of one to two hours.
</t>
  </si>
  <si>
    <t>["Richard Launius", "Kevin Wilson"]</t>
  </si>
  <si>
    <t>["Fantasy Flight Games", "ADC Blackfire Entertainment", "Arclight Games", "Delta Vision Publishing", "Edge Entertainment", "Galakta", "Gal\u00e1pagos Jogos", "Geekach LLC", "Heidelberger Spieleverlag", "Hobby World", "Stratelibri", "Wargames Club Publishing"]</t>
  </si>
  <si>
    <t>["Cooperative Game", "Dice Rolling", "Die Icon Resolution", "Modular Board", "Re-rolling and Locking", "Solo / Solitaire Game", "Variable Player Powers"]</t>
  </si>
  <si>
    <t>["Dallas Mehlhoff"]</t>
  </si>
  <si>
    <t>Educational, Humor, Math</t>
  </si>
  <si>
    <t>/thumbs/89-flaming-pyramids.png</t>
  </si>
  <si>
    <t>2025-09-16T22:44:49.716453</t>
  </si>
  <si>
    <t>89-flaming-pyramids.png</t>
  </si>
  <si>
    <t xml:space="preserve">The residents of Huia Street are clearing their closets, looking for unwanted household items for the big community garage sale. A pile is building up on the empty section but there are troublemakers lurking, causing rather unneighborly collapses. And why does little Susie have a blowtorch? Geez, you just want to get rid of your junk!
In Flaming Pyramids, players are building one pyramid together using square tiles, but each player is trying to be the first to get rid of their own tiles.
There are 40 regular tiles with a unique combination of color, number, and material. Except toward the end of the game, players have a hand of five tiles from which to choose, but they are constrained by the building regulations and the luck of the draw. There are also four tiles that can cause fires and one extra-heavy "wild" tile: these can be harder to place without causing extensive damage the later they emerge. If your placed tile causes mayhem (a collapse, fire, or explosion), the damaged tiles go back in your supply.
Flaming Pyramids can be played as a friendly, casual game, an easy starter or filler, or as no-holds-barred multi-round competition.
The first edition (with straw, wood and rocks instead of household items) is available to play for free on the Board Game Arena platform: https://boardgamearena.com/gamepanel?game=flamingpyramids
</t>
  </si>
  <si>
    <t>["Norbert Abel"]</t>
  </si>
  <si>
    <t>["Cheeky Parrot Games"]</t>
  </si>
  <si>
    <t>["Hand Management", "Push Your Luck", "Take That", "Tile Placement"]</t>
  </si>
  <si>
    <t>["Tim Kings-Lynne"]</t>
  </si>
  <si>
    <t>Animals, Bluffing, Card Game, Deduction</t>
  </si>
  <si>
    <t>/thumbs/90-flipology.jpg</t>
  </si>
  <si>
    <t>2025-09-16T22:44:50.204397</t>
  </si>
  <si>
    <t>90-flipology.jpg</t>
  </si>
  <si>
    <t xml:space="preserve">In Flipology, players try to score the most points over three rounds. At the start of the game, each player receives nine cards, then picks seven of them to arrange in a face-down row. On your turn, you must flip one of your seven cards (up or down), with some cards having effects that enable you to flip additional cards, including those owned by opponents. Cards depict animals in different types of environments, and they have different effects and point values depending on what's shown at round's end, such as the sloth which is worth positive points only if it's still face down. Aside from sloths and koalas, though, cards must end the game face up to contribute to a player's score.
In the "Great Tree" variant for 2-4 players, five cards are dealt to each player and two turns are taken. Then a second set of five cards cards are dealt out which go above the first row and two more turns are taken, with the added wrinkle that players now control two rows and adjacency means up and down as well as side to side. Finally, a third set of cards is dealt out and players take a final two turns, then calculate their total score.
—description from the publisher
</t>
  </si>
  <si>
    <t>["Rachel Reilly"]</t>
  </si>
  <si>
    <t>["Hand Management", "Open Drafting", "Rock-Paper-Scissors", "Secret Unit Deployment"]</t>
  </si>
  <si>
    <t>/thumbs/91-fluxx.jpg</t>
  </si>
  <si>
    <t>2025-09-16T22:44:50.700956</t>
  </si>
  <si>
    <t>91-fluxx.jpg</t>
  </si>
  <si>
    <t xml:space="preserve">Fluxx is a card game in which the cards themselves determine the current rules of the game. By playing cards, you change numerous aspects of the game: how to draw cards, how to play cards, and even how to win.
At the start of the game, each player holds three cards and on a turn a player draws one card, then plays one card. By playing cards, you can put new rules into play that change numerous aspects of the game: how many cards to draw or play, how many cards you can hold in hand or keep on the table in front of you, and (most importantly) how to win the game. There are many editions, themed siblings, and promo cards available.
</t>
  </si>
  <si>
    <t>["Andrew Looney", "Kristin Looney"]</t>
  </si>
  <si>
    <t>["Looney Labs", "AMIGO", "Black Monk", "Edge Entertainment", "Hexagonal", "Hobby Japan", "Hobby World", "Iron Crown Enterprises", "Monkey Time", "Pegasus Spiele", "PS-Games", "Raven Distribution", "Swan Panasia Co., Ltd."]</t>
  </si>
  <si>
    <t>["Hand Management", "Set Collection"]</t>
  </si>
  <si>
    <t>["Ra\u00fal Castellanos", "Michael Hays", "Naomi Kageyama", "Andrew Looney", "Barbara Spelger"]</t>
  </si>
  <si>
    <t>Adventure, Fantasy, Science Fiction</t>
  </si>
  <si>
    <t>/thumbs/92-forbidden-island.jpg</t>
  </si>
  <si>
    <t>2025-09-16T22:44:51.193944</t>
  </si>
  <si>
    <t>92-forbidden-island.jpg</t>
  </si>
  <si>
    <t>Forbidden Island is a visually stunning cooperative board game. Instead of winning by competing with other players like most games, everyone must work together to win the game. Players take turns moving their pawns around the 'island', which is built by arranging the many beautifully screen-printed tiles before play begins. As the game progresses, more and more island tiles sink, becoming unavailable, and the pace increases. Players use strategies to keep the island from sinking, while trying to collect treasures and items. As the water level rises, it gets more difficult- sacrifices must be made.
What causes this game to truly stand out among co-op and competitive games alike is the extreme detail that has been paid to the physical components of the game. It comes in a sturdy and organized tin of good shelf storage size. The plastic treasure pieces and wooden pawns are well crafted and they fit just right into the box. The cards are durable, well printed, and easy to understand. The island tiles are the real gem: they are screen-printed with vibrant colors, each with a unique and pleasing image.
With multiple levels of difficulty, different characters to choose from (each with a special ability of their own), many optional island formats and game variations available, Forbidden Island has huge replay value. The game can be played by as few as two players and up to four (though it can accommodate five). More players translates into a faster and more difficult game, though the extra help can make all the difference. This is a fun game, tricky for players of almost any age. Selling for under twenty dollars, oddly, Forbidden Island is a rare game of both quality and affordable price.
 For those who enjoy Forbidden Island, a follow-up project by Gamewright titled Forbidden Desert was released in 2013.
From the publisher's website:
Dare to discover Forbidden Island! Join a team of fearless adventurers on a do-or-die mission to capture four sacred treasures from the r</t>
  </si>
  <si>
    <t>["Matt Leacock"]</t>
  </si>
  <si>
    <t>["Gamewright", "ADC Blackfire Entertainment", "Arclight Games", "AURUM, Inc.", "Br\u00e4dspel.se", "Cocktail Games", "Competo / Marektoy", "Devir", "FoxMind Israel", "Kaissa Chess &amp; Games", "Kanga Games", "Lex Games", "Lifestyle Boardgames Ltd", "NeoTroy Games", "Rebel Sp. z o.o.", "Reflexshop", "Schmidt Spiele", "Spilbr\u00e6t.dk", "uplay.it edizioni", "White Goblin Games"]</t>
  </si>
  <si>
    <t>["Action Points", "Cooperative Game", "Events", "Grid Movement", "Hand Management", "Map Reduction", "Modular Board", "Pick-up and Deliver", "Set Collection", "Solo / Solitaire Game", "Square Grid", "Tile Placement", "Variable Player Powers"]</t>
  </si>
  <si>
    <t>["C. B. Canga"]</t>
  </si>
  <si>
    <t>Card Game, Zombies</t>
  </si>
  <si>
    <t>/thumbs/93-give-me-the-brain.jpg</t>
  </si>
  <si>
    <t>2025-09-16T22:48:16.808520</t>
  </si>
  <si>
    <t>93-give-me-the-brain.jpg</t>
  </si>
  <si>
    <t xml:space="preserve">Working in fast-food is hell.  All the employees are zombies, and you can't find a single brain amongst them.  Except for the brain part - there is, in fact, one brain - that's the premise of Give Me the Brain!, a card game in which players take on the roles of zombies in a fast-food restaurant in hell.  They all have to complete a number of tasks before leaving work, and the work keeps piling on.  Even worse, some of the tasks require basic intelligence and there's only one brain to go around.
Note: Give Me the Brain: Superdeluxe Edition has 100 cards, instead of 112 with a few cards adjusted from previous versions.
</t>
  </si>
  <si>
    <t>["James Ernest"]</t>
  </si>
  <si>
    <t>["Cheapass Games", "James Ernest Games", "Steve Jackson Games", "Truant Spiele"]</t>
  </si>
  <si>
    <t>["Action Points", "Auction / Bidding", "Hand Management"]</t>
  </si>
  <si>
    <t>["Brian Snoddy"]</t>
  </si>
  <si>
    <t>Fantasy</t>
  </si>
  <si>
    <t>/thumbs/94-glimstone-grab.jpg</t>
  </si>
  <si>
    <t>2025-09-16T22:48:17.409826</t>
  </si>
  <si>
    <t>94-glimstone-grab.jpg</t>
  </si>
  <si>
    <t xml:space="preserve">A cooperative game for 1-4 players. Much Middling is an average place, except for the special gems (glimstones) in its forest. Children love to play with these but unfortunately, a group of trolls has settled into a glade there. They love the glimstones too and have been snatching the children for lunch. A wizard recruits Esmeralda, from the Hoard game, as he knows of her reputation stealing treasure from a dragon and hopes to put her skills to use to benefit the community.
The wizard and Esmeralda set off in opposite directions, collecting glimstones which can be used to ransom snatched children and buy time. When they meet again, if they have the right combination of glimstones, they can perform a spell to banish a troll. They must banish all the trolls to win, but if a player ends their turn and all children have been taken, the players lose.
Players use movement cards to move the characters between the gems; it is possible to plan sequences of movements to get the characters to align again. Before each player's turn, an event card reveals if a child has been snatched or other forest inhabitants, some friend and some foe to the players, have been active that turn.
—description from the publisher
</t>
  </si>
  <si>
    <t>["Jonathan McGarvey", "Julia Schiller"]</t>
  </si>
  <si>
    <t>["Action Queue", "Cooperative Game", "Dice Rolling", "Hand Management", "Pick-up and Deliver"]</t>
  </si>
  <si>
    <t>/thumbs/95-gloomhaven.jpg</t>
  </si>
  <si>
    <t>2025-09-16T22:48:17.896691</t>
  </si>
  <si>
    <t>95-gloomhaven.jpg</t>
  </si>
  <si>
    <t xml:space="preserve">Gloomhaven  is a game of Euro-inspired tactical combat in a persistent world of shifting motives. Players will take on the roles of wandering adventurers with their own special sets of skills and their own reasons for traveling to this dark corner of the world. Players must work together out of necessity to clear out menacing dungeons and forgotten ruins. In the process, they will enhance their abilities with experience and loot, discover new locations to explore and plunder, and expand an ever-branching story fueled by the decisions they make.
 This is a game with a persistent and changing world that is ideally played over many game sessions. After a scenario, players will make decisions about what to do next, which will determine how the story continues, kind of like a “Choose Your Own Adventure” book. Playing through a scenario is a co-operative affair where players will fight against automated monsters using an innovative card system to determine the order of play and what a player does on their turn.
Each turn, a player chooses two cards to play out of their hand. The number on the top card determines their initiative for the round. Each card also has a top and bottom power, and when it is a player’s turn in the initiative order, they determine whether to use the top power of one card and the bottom power of the other, or vice-versa. Players must be careful, though, because over time they will permanently lose cards from their hands. If they take too long to clear a dungeon, they may end up exhausted and be forced to retreat.
</t>
  </si>
  <si>
    <t>["Isaac Childres"]</t>
  </si>
  <si>
    <t>["Cephalofair Games", "Albi", "Albi Polska", "Arclight Games", "Feuerland Spiele", "Gal\u00e1pagos Jogos", "Games Warehouse", "G\u00e9m Klub Kft.", "Hobby World", "Korea Boardgames", "MYBG Co., Ltd."]</t>
  </si>
  <si>
    <t>["Action Queue", "Action Retrieval", "Campaign / Battle Card Driven", "Card Play Conflict Resolution", "Communication Limits", "Cooperative Game", "Critical Hits and Failures", "Deck Construction", "Grid Movement", "Hand Management", "Hexagon Grid", "Legacy Game", "Line of Sight", "Modular Board", "Multi-Use Cards", "Narrative Choice / Paragraph", "Once-Per-Game Abilities", "Role Playing", "Scenario / Mission / Campaign Game", "Simultaneous Action Selection", "Solo / Solitaire Game", "Storytelling", "Tags", "Variable Player Powers"]</t>
  </si>
  <si>
    <t>["Alexandr Elichev", "Josh T. McDowell", "Alvaro Nebot"]</t>
  </si>
  <si>
    <t>Card Game, Deduction, Memory</t>
  </si>
  <si>
    <t>/thumbs/96-hanabi.jpg</t>
  </si>
  <si>
    <t>2025-09-16T22:48:18.417324</t>
  </si>
  <si>
    <t>96-hanabi.jpg</t>
  </si>
  <si>
    <t xml:space="preserve">Hanabi—named for the Japanese word for "fireworks"—is a cooperative game in which players try to create the perfect fireworks show by placing the cards on the table in the right order. (In Japanese, hanabi is written as èŠ±ç«; these are the ideograms flower and fire, respectively.)
The card deck consists of five different colors of cards, numbered 1–5 in each color. For each color, the players try to place a row in the correct order from 1–5. Sounds easy, right? Well, not quite, as in this game you hold your cards so that they're visible only to other players. To assist other players in playing a card, you must give them hints regarding the numbers or the colors of their cards. Players must act as a team to avoid errors and to finish the fireworks display before they run out of cards.
An extra suit of cards, rainbow colored, is also provided for advanced or variant play.
Hanabi was originally published as part of Hanabi &amp; Ikebana.
</t>
  </si>
  <si>
    <t>["ABACUSSPIELE", "Cocktail Games", "Les 12 Singes", "asmodee", "Brain Games", "Broadway Toys LTD", "Buly Games", "Competo / Marektoy", "cutia.ro", "Enigma (Bergsala Enigma)", "Gal\u00e1pagos Jogos", "Games7Days", "G\u00e9m Klub Kft.", "Ghenos Games", "Happy Baobab", "Hobby Japan", "Interlude", "Kaissa Chess &amp; Games", "Lifestyle Boardgames Ltd", "Oliphante", "PaperGames (III)", "R&amp;R Games", "Rebel Sp. z o.o.", "REXhry", "Spin Master Ltd.", "Swan Panasia Co., Ltd."]</t>
  </si>
  <si>
    <t>["Communication Limits", "Cooperative Game", "Hand Management", "Memory", "Ordering", "Set Collection"]</t>
  </si>
  <si>
    <t>["Antoine Bauza", "G\u00e9rald Guerlais", "Laura Michaud", "Albertine Ralenti"]</t>
  </si>
  <si>
    <t>Animals, Party Game</t>
  </si>
  <si>
    <t>/thumbs/97-herd-mentality.png</t>
  </si>
  <si>
    <t>2025-09-16T22:48:18.904529</t>
  </si>
  <si>
    <t>97-herd-mentality.png</t>
  </si>
  <si>
    <t xml:space="preserve">This is a party game for families, friends and cow rustlers. The aim of the game is simple: think like the herd and write down the same answers as your friends.
If your answer is part of the majority, you all win cows. Yeehaw! If everyone else writes an answer that is matched by at least one other person, but yours is the odd one out, then you land the angry Pink Cow, and your herd of cows is worthless until you can offload it onto someone else.
The first player to collect eight cows wins.
</t>
  </si>
  <si>
    <t>["Rich Coombes", "Dan Penn"]</t>
  </si>
  <si>
    <t>["Big Potato Games", "Anv\u00e4ndbart Litet F\u00f6retag", "Desyllas Games", "Gigamic", "Hobby World", "Mega Bleu", "Mercurio", "Randolph", "Reflexshop", "Rozum", "ToyCo"]</t>
  </si>
  <si>
    <t>["Hot Potato", "Voting"]</t>
  </si>
  <si>
    <t>["Robin Sowden Garc\u00eda"]</t>
  </si>
  <si>
    <t>/thumbs/98-hoard.png</t>
  </si>
  <si>
    <t>2025-09-16T22:48:19.385826</t>
  </si>
  <si>
    <t>98-hoard.png</t>
  </si>
  <si>
    <t xml:space="preserve">Can you gather and secure more treasure than your fellow-adventurers from the Hoard of the sleeping dragon? Can you defend yourself from their attacks and perhaps perpetrate a few of your own? And can you end the hunt at the most opportune time, perhaps by actually wakening the fearsome beast?
Hoard is a dynamic game of hand management, set collection, and press-your-luck. Each turn players take one of four possible actions:  1) roll a custom die and move to take a new card, 2) secure a set of treasures or add to an existing set to score points, 3) affect the dragon, who wakes in stages from his tail to his head, by playing cards that soothe or rouse him, or 4) use a sword on an opponent or capture a used sword with a shield. The board is composed of 12 facedown cards surrounding the dragon.  It changes as players remove and replace the cards. Dice rolls between 1-5 enable clockwise or counterclockwise movement and the special symbol allows access to all but one of the cards, so it is a game that rewards memory.
Hoard is meant to be played in rounds, with scoring tokens obviating the need for pencil and paper scorekeeping.
</t>
  </si>
  <si>
    <t>["Tim Kings-Lynne", "Julia Schiller"]</t>
  </si>
  <si>
    <t>["(Self-Published)", "Cheeky Parrot Games", "Mirakulus"]</t>
  </si>
  <si>
    <t>["Hand Management", "Memory", "Push Your Luck", "Score-and-Reset Game", "Set Collection"]</t>
  </si>
  <si>
    <t>Horror, Movies / TV / Radio theme</t>
  </si>
  <si>
    <t>/thumbs/99-horrified.jpg</t>
  </si>
  <si>
    <t>2025-09-16T22:48:19.866542</t>
  </si>
  <si>
    <t>99-horrified.jpg</t>
  </si>
  <si>
    <t xml:space="preserve">Imagine living in a place so wretched that it's not plagued by one, two, or even three monsters — but seven of the most horrifying fiends! In this game, you'll come face to face with them all as you work together to rid the town of the maniacal or misunderstood creatures - before it's too late.
Horrified is a co-operative game where players battle the classic Universal movie monsters. Players win or lose together. Players win when all Monsters are defeated but will lose if the Terror track reaches the skull space OR the Monster deck is empty when a card is needing to be drawn.
On a player’s turn, they will do their Hero phase actions. Then the Monsters act in the Monster phase. Event cards determine which monster is in play.
Horrified includes high-quality sculpted miniatures (Frankenstein, The Bride of Frankenstein, The Wolf Man, Dracula, The Mummy, The Invisible Man, Creature from the Black Lagoon). Its innovative, easy-to-learn, cooperative gameplay has players working together against the monsters with varying levels of difficulty. Just as each monster is unique, they require different strategies and tactics to be defeated.
—description from the publisher
</t>
  </si>
  <si>
    <t>["Prospero Hall", "Peter Lee"]</t>
  </si>
  <si>
    <t>["Action Points", "Cooperative Game", "Dice Rolling", "Pick-up and Deliver", "Point to Point Movement", "Solo / Solitaire Game", "Variable Player Powers", "Variable Set-up"]</t>
  </si>
  <si>
    <t>["Prospero Hall"]</t>
  </si>
  <si>
    <t>American West, Card Game, Party Game, Real-time</t>
  </si>
  <si>
    <t>/thumbs/100-infernal-wagon.jpg</t>
  </si>
  <si>
    <t>2025-09-16T22:48:20.356629</t>
  </si>
  <si>
    <t>100-infernal-wagon.jpg</t>
  </si>
  <si>
    <t xml:space="preserve">Oh no, the mine is collapsing!
Hurry, get in the wagon and head towards the exit!
Infernal Wagon is an intensely fun cooperative game in which players must work together to create a path to the exit… before time runs out! But be careful: each card played has a high chance of triggering devastating effects!
A game of Infernal Wagon plays in 7 minutes at most, until one of the end game conditions is met. In this cooperative game, all players win or lose together.
At the start of the game, place the 3 starting cards and the wagon on the last one. There is no turn order: when the time is right, the player with the best card plays and activates its effect. They draw a card and any other player can take a turn (in the  2 players variant, you can play 2 cards consecutively). Once a card is played, move the wagon onto it. Place the exit card in the 7 minutes time span to win the game!
—description from the publisher
</t>
  </si>
  <si>
    <t>["Alexandre Emerit", "Florian Fay"]</t>
  </si>
  <si>
    <t>["IELLO", "TCG Factory"]</t>
  </si>
  <si>
    <t>["Cooperative Game", "Race", "Real-Time", "Speed Matching", "Tile Placement"]</t>
  </si>
  <si>
    <t>["Thomas Brissot"]</t>
  </si>
  <si>
    <t>Arabian, Card Game, Economic</t>
  </si>
  <si>
    <t>/thumbs/101-jaipur.jpg</t>
  </si>
  <si>
    <t>2025-09-16T22:48:20.838831</t>
  </si>
  <si>
    <t>101-jaipur.jpg</t>
  </si>
  <si>
    <t xml:space="preserve">You are one of the two most powerful traders in the city of Jaipur, the capital of Rajasthan, but that's not enough for you because only the merchant with two "seals of excellence" will have the privilege of being invited to the Maharaja's court. You are therefore going to have to do better than your direct competitor by buying, exchanging, and selling at better prices, all while keeping an eye on both your camel herds.
Jaipur is a fast-paced card game, a blend of tactics, risk and luck. On your turn, you can either take or sell cards. If you take cards, you have to choose between taking all the camels, taking one card from the market, or swapping 2-5 cards between the market and your cards.
If you sell cards, you get to sell only one type of good, and you receive as many chips for that good as the number of cards you sold. The chips' values decrease as the game progresses, so you'd better hurry! On the other hand, you receive increasingly high rewards for selling three, four, or five cards of the same good at a time, so you'd better wait!
You can't sell camels, but they're paramount for trading and they're also worth a little something at the end of the round, enough sometimes to secure the win, so you have to use them smartly.
</t>
  </si>
  <si>
    <t>["S\u00e9bastien Pauchon"]</t>
  </si>
  <si>
    <t>["GameWorks S\u00e0RL", "Space Cowboys", "ADC Blackfire Entertainment", "Boardgame Space", "cutia.ro", "Esdevium", "Gal\u00e1pagos Jogos", "G\u00e9m Klub Kft.", "Hobby Japan", "KADABRA", "Kaissa Chess &amp; Games", "Korea Boardgames", "Lord of Boards", "Rebel Sp. z o.o.", "Siam Board Games", "Yes Papa Games"]</t>
  </si>
  <si>
    <t>["End Game Bonuses", "Hand Management", "Hidden Victory Points", "Market", "Open Drafting", "Race", "Score-and-Reset Game", "Set Collection", "Sudden Death Ending", "Turn Order: Progressive", "Variable Set-up"]</t>
  </si>
  <si>
    <t>["Vincent Dutrait", "Alexandre Roche"]</t>
  </si>
  <si>
    <t>Action / Dexterity, Card Game, Party Game, Real-time</t>
  </si>
  <si>
    <t>/thumbs/102-jungle-speed.jpg</t>
  </si>
  <si>
    <t>2025-09-16T22:48:21.341290</t>
  </si>
  <si>
    <t>102-jungle-speed.jpg</t>
  </si>
  <si>
    <t xml:space="preserve">In Jungle Speed, you must rely on your keen sense of observation and quick reflexes. It requires a steady hand -- which can be hard to maintain during the many fits of maniacal laughter! The wooden Totem sits in the middle of the table, waiting for the player with the fastest reflexes to snatch it up and win the game.
Each player is dealt a hand of cards. In order to win you must be the first player to get rid of all of your cards. Each turn, all of the players reveal one of their cards. If two cards are identical, those players must make a grab for the Totem. The faster player then gives their cards to their unfortunate adversary.
To add to the difficulty, certain cards are almost identical, which can trick a hapless player into grabbing the Totem by mistake -- a grave error. Other cards force all players to make a grab at once, change the method of play, or otherwise add to the difficulty.
Jungle Jam, ÐœÐµÐ´Ð²ÐµÐ´, and Prawo DÅ¼ungli are unauthorized reproductions of Jungle Speed/Arriba!
</t>
  </si>
  <si>
    <t>["Thomas Vuarchex", "Pierrick Yakovenko"]</t>
  </si>
  <si>
    <t>["asmodee", "(Unknown)", "Asterion Press", "Boardgame Space", "Cr\u00f3mola", "FoxMind Israel", "Gal\u00e1pagos Jogos", "G\u00e9m Klub Kft.", "Gibsons", "Goldsieber Spiele", "Hobby Japan", "Inter Hobby Co., Ltd.", "KADABRA", "Kaissa Chess &amp; Games", "Korea Boardgames", "Lautapelit.fi", "Lifestyle Boardgames Ltd", "Nordic Games ehf", "Piatnik", "Ponva d.o.o.", "Rebel Sp. z o.o.", "Swan Panasia Co., Ltd.", "Tactic", "Top Toys", "Week End Games", "Y.E.S. A/S", "Zygomatic", "\u0406\u0433\u0440\u043e\u043c\u0430\u0433"]</t>
  </si>
  <si>
    <t>["Franz Vohwinkel", "Thomas Vuarchex", "Pierrick Yakovenko"]</t>
  </si>
  <si>
    <t>/thumbs/103-just-one.png</t>
  </si>
  <si>
    <t>2025-09-16T22:48:21.828365</t>
  </si>
  <si>
    <t>103-just-one.png</t>
  </si>
  <si>
    <t xml:space="preserve">Just One is a co-operative party game in which you all play together to get the best score! Your goal each round is to get one player — the active player — to guess a mystery word based on the clues given by teammates. Can you achieve a perfect score by guessing all the mystery words?
In more detail, everyone who is not the active player sees the mystery word, then each player independently writes a clue on their personal easel. Once everyone has finished, you reveal the clues to one another. All identical clues are removed from play, so try to be original!
After eliminating duplicate clues, reveal the remaining clues to the active player. If they correctly guess the mystery word, your team scores a point. If they decline to guess, you don't score the current card. If they guess wrong, you don't score the current card and you lose one of the points you had already scored. Thus, be original, but not so original that you don't help the active player guess correctly!
</t>
  </si>
  <si>
    <t>["Ludovic Roudy", "Bruno Sautter"]</t>
  </si>
  <si>
    <t>["Repos Production", "ADC Blackfire Entertainment", "Arclight Games", "Brain Games", "CoolPlay", "FoxMind Israel", "Fun Consortium", "Gal\u00e1pagos Jogos", "Geekach LLC", "G\u00e9m Klub Kft.", "GoKids \u73a9\u6a02\u5c0f\u5b50", "Happy Baobab", "Kaissa Chess &amp; Games", "Korea Boardgames", "Lifestyle Boardgames Ltd", "Mald\u00f3n", "Morapiaf", "Nordic Games ehf", "Rebel Sp. z o.o."]</t>
  </si>
  <si>
    <t>["Communication Limits", "Cooperative Game", "Deduction", "Score-and-Reset Game"]</t>
  </si>
  <si>
    <t>["\u00c9ric Azagury", "Florian Poullet"]</t>
  </si>
  <si>
    <t>Card Game, Word Game</t>
  </si>
  <si>
    <t>/thumbs/104-kiitos.png</t>
  </si>
  <si>
    <t>2025-09-16T22:48:37.966953</t>
  </si>
  <si>
    <t>104-kiitos.png</t>
  </si>
  <si>
    <t xml:space="preserve">Kiitos is a fast-tempo, card-based word game with novel, simple rules and deep, emergent game play. Can you make a word with the letters in your hand, and what letters that may or may not be in your opponents’?
Players start by playing one letter of a word and saying a target word. Then subsequent players build up the target word, either playing the next letter if they can, or by changing the target word dynamically if it can’t be continued. Can your word be finished for positive points, or can you trap your opponent into not being able to play and force them to pick up the unfinished word for negative points? Can you outwit your player with cleverness? If your opponent finishes your word for you say “Kiitos”, the Finnish word for thank-you.
The rules change dynamically as the game is played and the game play switches between two modes: Kiitos which builds up words from left to right, and Super-Kiitos which builds up words at either end. Dubious words can be challenged. Fake words are OK if you can get them past your opponent unchallenged. Kiitos edge-case tests the dictionary like no other game.
It’s a word game that feels somewhat like a trick-taking game, with a bit of deduction and bluffing. Lateral thinking and clever strategising are rewarded, sometimes. Luck can make or break your strategies. The target word can change 5 or more times just in the one hand.
—description from the designer
</t>
  </si>
  <si>
    <t>["Matthew Thredgold"]</t>
  </si>
  <si>
    <t>["Ludogix"]</t>
  </si>
  <si>
    <t>["Hand Management"]</t>
  </si>
  <si>
    <t>Abstract Strategy, Medieval, Puzzle, Territory Building</t>
  </si>
  <si>
    <t>/thumbs/105-kingdomino.png</t>
  </si>
  <si>
    <t>2025-09-16T22:48:38.483286</t>
  </si>
  <si>
    <t>105-kingdomino.png</t>
  </si>
  <si>
    <t xml:space="preserve">In Kingdomino, you are a lord seeking new lands in which to expand your kingdom. You must explore all the lands, including wheat fields, lakes, and mountains, in order to spot the best plots, while competing with other lords to acquire them first.
The game uses tiles with two sections, similar to Dominoes. Each turn, each player will select a new domino to connect to their existing kingdom, making sure at least one of its sides connects to a matching terrain type already in play. The order of who picks first depends on which tile was previously chosen, with better tiles forcing players to pick later in the next round. The game ends when each player has completed a 5x5 grid (or failed to do so), and points are counted based on number of connecting tiles and valuable crown symbols.
</t>
  </si>
  <si>
    <t>["Blue Orange (EU)", "Blue Orange Games", "(Unknown)", "Bur\u00f3", "Coiledspring Games", "Fantasmagoria", "Feelindigo", "FoxGames", "FoxMind Israel", "Games Factory Publishing", "G\u00e9m Klub Kft.", "Ghenos Games", "Le Grand Massif", "Happy Baobab", "KADABRA", "Kaissa Chess &amp; Games", "Lautapelit.fi", "Lifestyle Boardgames Ltd", "MEBO Games", "MINDOK", "MIPL", "Oliphante", "PaperGames (III)", "Pegasus Spiele", "Pridemage Games", "Swan Panasia Co., Ltd.", "\u30c6\u30f3\u30c7\u30a4\u30ba\u30b2\u30fc\u30e0\u30ba (TendaysGames)", "White Goblin Games"]</t>
  </si>
  <si>
    <t>["Enclosure", "Open Drafting", "Tile Placement", "Turn Order: Claim Action"]</t>
  </si>
  <si>
    <t>["Cyril Bouquet", "Pauline Detraz", "Hervine Galliou"]</t>
  </si>
  <si>
    <t>Dice, Medieval</t>
  </si>
  <si>
    <t>/thumbs/106-kingdomino-duel.jpg</t>
  </si>
  <si>
    <t>2025-09-16T22:48:38.976652</t>
  </si>
  <si>
    <t>106-kingdomino-duel.jpg</t>
  </si>
  <si>
    <t xml:space="preserve">Roll the dice, choose the ones you want, and put them together in pairs to create your dominoes. Domino by domino, fill in your map while entrusting the territories of your kingdom to loyal dignitaries. Gather favors from wizards in order to cast powerful spells that will allow you to rule without having to share.
Kingdomino Duel is a standalone game that preserves the essence of the acclaimed original Kingdomino. In this game, instead of adding dominoes to your kingdom, you will choose two dice to combine into a single "domino" that must then be drawn into your kingdom.
—description from the publisher
</t>
  </si>
  <si>
    <t>["Bruno Cathala", "Ludovic Maublanc"]</t>
  </si>
  <si>
    <t>["Blue Orange (EU)", "Blue Orange Games", "Coiledspring Games", "FoxGames", "Happy Baobab", "Lautapelit.fi", "Lifestyle Boardgames Ltd", "PaperGames (III)", "Spilbr\u00e6t.dk", "Swan Panasia Co., Ltd."]</t>
  </si>
  <si>
    <t>["Dice Rolling", "End Game Bonuses", "Paper-and-Pencil"]</t>
  </si>
  <si>
    <t>["Cyril Bouquet"]</t>
  </si>
  <si>
    <t>Animals, Math, Negotiation, Territory Building</t>
  </si>
  <si>
    <t>/thumbs/107-komodo.jpg</t>
  </si>
  <si>
    <t>2025-09-16T22:48:39.772173</t>
  </si>
  <si>
    <t>107-komodo.jpg</t>
  </si>
  <si>
    <t xml:space="preserve">In the strategic tile-laying game Komodo, players are zoologists attempting to build new habitats for Australasian animals imperilled by an incoming asteroid. Each player holds two animal cards stating the type and amount of terrain needed, five multi-terrain tiles, and wild cards. On a turn, they may lay up to three tiles, place one or both of their animals in free-form contiguous blocks of appropriate terrain, and use all or some of their wild cards. The starter tile has two blocks of each of the four terrain types: forest, grassland, desert and water. The number of blocks of terrain needed by an animal is equivalent to the number of points you can score by placing it. When the tile supply is exhausted, each player takes a final turn, then loses points for any unplaced animals still in hand. The player with the highest score wins.
Komodo can be played competitively in both basic or strategic mode. In the former, wild cards are obtained randomly; in the latter, players can choose their wild cards. Actions permitted by a wild card include: releasing animals to free up their terrain; bartering or stealing terrain tiles; remodeling tiles already placed; and forcing an exchange of animals.
In the cooperative version of Komodo, all 32 animals must be housed and each player must place at least one animal during their turn. The game is played open-handed, and the wild cards hinder the players.
</t>
  </si>
  <si>
    <t>["SchilMil Games, Ltd."]</t>
  </si>
  <si>
    <t>["Cooperative Game", "Hand Management", "Modular Board", "Open Drafting", "Tile Placement"]</t>
  </si>
  <si>
    <t>["Aaron Barron", "Amanda Milne", "Sam Turner"]</t>
  </si>
  <si>
    <t>Abstract Strategy</t>
  </si>
  <si>
    <t>/thumbs/108-lanterns-the-harvest-festival.png</t>
  </si>
  <si>
    <t>2025-09-16T22:48:40.314077</t>
  </si>
  <si>
    <t>108-lanterns-the-harvest-festival.png</t>
  </si>
  <si>
    <t xml:space="preserve">The harvest is in, and the artisans are hard at work preparing for the upcoming festival. Decorate the palace lake with floating lanterns and compete to become the most honored artisan when the festival begins.
In Lanterns: The Harvest Festival, players have a hand of tiles depicting various color arrangements of floating lanterns, as well as an inventory of individual lantern cards of specific colors. When you place a tile, all players (you and your opponents) receive a lantern card corresponding to the color on the side of the tile facing them. Place carefully to earn cards and other bonuses for yourself, while also looking to deny your opponents. Players gain honor by dedicating sets of lantern cards — three pairs, for example, or all seven colors — and the player with the most honor at the end of the game wins.
</t>
  </si>
  <si>
    <t>["Christopher Chung"]</t>
  </si>
  <si>
    <t>["Foxtrot Games", "Renegade Game Studios", "Broadway Toys LTD", "CrowD Games", "Devir", "Games Factory Publishing", "Korea Boardgames", "Lex Games", "Matagot", "Pegasus Spiele", "White Goblin Games"]</t>
  </si>
  <si>
    <t>["Hand Management", "Pattern Building", "Set Collection", "Tile Placement"]</t>
  </si>
  <si>
    <t>["Christopher Chung", "Alexey Kot", "Beth Sobel"]</t>
  </si>
  <si>
    <t>/thumbs/109-lindyhop.png</t>
  </si>
  <si>
    <t>2025-09-16T22:48:40.815424</t>
  </si>
  <si>
    <t>109-lindyhop.png</t>
  </si>
  <si>
    <t xml:space="preserve">In Lindyhop, a co-operative trick-taking game about swing dancing, players start by dealing out the music cards to create the song to which they will dance. Players then play tricks as dance moves to progress through the song, picking up points as they go. Some of the cards have powers, but these powers activate only on specific parts of the music — and you can't discuss what each player has in their hand. Try to beat your score each dance, but if you run out of dance cards before the music finishes, you score nothing!
—description from the publisher
</t>
  </si>
  <si>
    <t>["Mark Kaneko", "James Smeal"]</t>
  </si>
  <si>
    <t>["Flat Cap Games"]</t>
  </si>
  <si>
    <t>["Cooperative Game", "Trick-taking"]</t>
  </si>
  <si>
    <t>["Ben Corlett"]</t>
  </si>
  <si>
    <t>City Building, Medieval</t>
  </si>
  <si>
    <t>/thumbs/110-little-town.jpg</t>
  </si>
  <si>
    <t>2025-09-16T22:48:41.304913</t>
  </si>
  <si>
    <t>110-little-town.jpg</t>
  </si>
  <si>
    <t xml:space="preserve">In Little Town, you lead a team of architects and must dispatch workers to the town, collect resources and money, build buildings, and develop this little town.
In the game, which lasts four rounds, you can acquire resources such as wood, stones, fish, and wheat from the surrounding squares by putting workers on the board, with three workers being placed each round. When you place a worker, you acquire the resources available in all eight surrounding spaces. You can build buildings by using these resources, and you — or any other player — can gain the effect of the building when place a worker next to it; if you place next to a building owned by another, however, you must pay them a coin before you can collect those resources.
Players collect victory points by using the powers of buildings, by constructing buildings, and by achieving goals dealt to them at the beginning of the game. After four rounds, whoever has the most victory points wins.
—description from the publisher
</t>
  </si>
  <si>
    <t>["Shun Taguchi", "Aya Taguchi"]</t>
  </si>
  <si>
    <t>["Studio GG", "Arclight Games", "BoardBros", "Bur\u00f3", "GoKids \u73a9\u6a02\u5c0f\u5b50", "IELLO", "Korea Boardgames", "Lavka Games", "Mancalamaro", "Portal Games", "Reflexshop", "Siam Board Games", "Switch Games", "TCG Factory", "\u0406\u0433\u0440\u043e\u043c\u0430\u0433"]</t>
  </si>
  <si>
    <t>["Contracts", "Tile Placement", "Worker Placement"]</t>
  </si>
  <si>
    <t>["Sabrina Miramon", "Aya Taguchi", "\u305f\u304b\u307f\u307e\u3053\u3068 (Makoto Takami)"]</t>
  </si>
  <si>
    <t>Card Game, Deduction, Renaissance</t>
  </si>
  <si>
    <t>/thumbs/111-love-letter.png</t>
  </si>
  <si>
    <t>2025-09-16T22:48:41.809575</t>
  </si>
  <si>
    <t>111-love-letter.png</t>
  </si>
  <si>
    <t xml:space="preserve">The noble Princess is looking for an ideal partner and confidant to help with her royal duties when she one day assumes the throne. You must prove your worth and gain her trust by enlisting allies, friends, and family of the Princess to carry a letter of intent to her. Can you earn the Princess' trust and become her confidant?
Playing cards one at a time, players in Love Letter use the abilities of these key people in the Princess' life to outwit their opponents and successfully deliver their letter and gain her favor. Players must utilize each character's special skill to avoid being caught and successfully deliver their letter to the Princess. Once a set number of favor tokens are acquired, that player wins and becomes the Princess' confidant.
This 2019 edition of Love Letter features new artwork by Citadels artist Andrew Bosley, screen-printed tokens, and two new characters (five cards in total) that allow for games with up to six players. When played, the Chancellor (value 6) allows you to draw two new cards, add those to your hand, then place two cards of your choice on the bottom of the deck. The Spy (value 0) wins you a favor token if you were the only player to play or discard a spy during the round.
—description from the publisher
</t>
  </si>
  <si>
    <t>["Seiji Kanai", "Justin Kemppainen", "Alexandar Ortloff-Tang"]</t>
  </si>
  <si>
    <t>["Z-Man Games", "ADC Blackfire Entertainment", "asmodee", "Boardgame Space", "BoardM Factory", "Delta Vision Publishing", "FoxMind Israel", "Gal\u00e1pagos Jogos", "Hobby World", "Korea Boardgames", "Lord of Boards", "Popcorn Games", "Rebel Sp. z o.o.", "Siam Board Games"]</t>
  </si>
  <si>
    <t>["Deduction", "Hand Management", "Player Elimination", "Score-and-Reset Game", "Take That"]</t>
  </si>
  <si>
    <t>["Andrew Bosley", "Samuel R. Shimota"]</t>
  </si>
  <si>
    <t>Adventure, Exploration, Fantasy, Fighting</t>
  </si>
  <si>
    <t>/thumbs/112-mage-knight-board-game.jpg</t>
  </si>
  <si>
    <t>2025-09-16T22:48:53.309755</t>
  </si>
  <si>
    <t>112-mage-knight-board-game.jpg</t>
  </si>
  <si>
    <t xml:space="preserve">The Mage Knight board game puts you in control of one of four powerful Mage Knights as you explore (and conquer) a corner of the Mage Knight universe under the control of the Atlantean Empire. Build your army, fill your deck with powerful spells and actions, explore caves and dungeons, and eventually conquer powerful cities controlled by this once-great faction!  In competitive scenarios, opposing players may be powerful allies, but only one will be able to claim the land as their own.  In cooperative scenarios, the players win or lose as a group.  Solo rules are also included.
Combining elements of RPGs, deck-building, and traditional board games the Mage Knight board game captures the rich history of the Mage Knight universe in a self-contained gaming experience.
</t>
  </si>
  <si>
    <t>["WizKids (I)", "asmodee", "Giochi Uniti", "Intrafin Games", "Lacerta", "NECA", "Pegasus Spiele", "REXhry"]</t>
  </si>
  <si>
    <t>["Card Play Conflict Resolution", "Cooperative Game", "Deck, Bag, and Pool Building", "Dice Rolling", "Grid Movement", "Hand Management", "Hexagon Grid", "Modular Board", "Multi-Use Cards", "Open Drafting", "Role Playing", "Scenario / Mission / Campaign Game", "Solo / Solitaire Game", "Tags", "Turn Order: Claim Action", "Variable Player Powers"]</t>
  </si>
  <si>
    <t>["J. Lonnee", "Chris Raimo", "Milan Vavro\u0148"]</t>
  </si>
  <si>
    <t>Nautical, Pirates, Transportation</t>
  </si>
  <si>
    <t>/thumbs/113-manifest.jpg</t>
  </si>
  <si>
    <t>2025-09-16T22:48:53.802928</t>
  </si>
  <si>
    <t>113-manifest.jpg</t>
  </si>
  <si>
    <t xml:space="preserve">It's the roaring '20s and there's a fortune to be made steaming across the wild oceans. To succeed, you'll need a captain's steady nerve and the help of Lady Luck to land your cargo where it's needed. You have ships full of passengers and precious cargo, but can you outrun pirate robbers, terrifying storms and a stock market crash that might devalue your goods?
Manifest is a game of cargo ships, sea scoundrels, and nautical mayhem. Win points for your shipping company by completing Contracts. Pick up the required goods or passengers at their source, then navigate the high seas to deliver them to their destination. With a choice of private and public contracts and multi-purpose action cards, there are many paths to victory, and some "take that" options to make sure your opponents don't steal the limelight.
Manifest can be played in two ways: Standard and Expert. The Standard game is the introductory and family game. The Expert game builds on this, with a deck-buying and building mechanism replacing the blind card draw, thus adding another level of strategy that confident players may prefer.
</t>
  </si>
  <si>
    <t>["Deck, Bag, and Pool Building", "Dice Rolling", "Hand Management", "Pick-up and Deliver", "Point to Point Movement", "Take That"]</t>
  </si>
  <si>
    <t>["Amanda Milne", "Franz Vohwinkel"]</t>
  </si>
  <si>
    <t>Animals, Card Game, Environmental, Puzzle</t>
  </si>
  <si>
    <t>/thumbs/114-meadow.jpg</t>
  </si>
  <si>
    <t>2025-09-16T22:48:54.375867</t>
  </si>
  <si>
    <t>114-meadow.jpg</t>
  </si>
  <si>
    <t xml:space="preserve">Meadow is an engaging set collection game with over two hundred unique cards containing hand-painted watercolor illustrations. In the game, players take the role of explorers competing for the title of the most skilled nature observer. To win, they collect cards with the most valuable species, landscapes, and discoveries. Their journey is led by passion, a curiosity of the world, an inquiring mind, and a desire to discover the mysteries of nature. The competition continues at the bonfire where the players race to fulfill the goals of their adventures.
In this medium-weight board game for 1-4 players, you take turns placing path tokens on one of the two boards. Placing a token on the main board allows the player to get cards, but playing them requires meeting certain requirements. Playing a token on the bonfire board activates special actions (which helps to implement a chosen strategy) and gives the opportunity to achieve goals that provide additional points. Throughout the game, players collect cards in their meadow and surroundings area. At the end, the player with the most points on cards and on the bonfire board wins.
Meadow also includes envelopes with additional cards to open at specific moments...
</t>
  </si>
  <si>
    <t>["Klemens Kalicki"]</t>
  </si>
  <si>
    <t>["Rebel Studio", "ADC Blackfire Entertainment", "Arclight Games", "Gal\u00e1pagos Jogos", "Games4you", "G\u00e9m Klub Kft.", "Hobby Game Mall", "Hobby World", "Rebel Sp. z o.o.", "\u0406\u0433\u0440\u043e\u043c\u0430\u0433"]</t>
  </si>
  <si>
    <t>["Hand Management", "Layering", "Open Drafting", "Set Collection", "Solo / Solitaire Game", "Worker Placement, Different Worker Types"]</t>
  </si>
  <si>
    <t>["Karolina Kijak", "Katarzyna Fiebiger"]</t>
  </si>
  <si>
    <t>Action / Dexterity, Animals, Real-time</t>
  </si>
  <si>
    <t>/thumbs/115-meeple-circus.jpg</t>
  </si>
  <si>
    <t>2025-09-16T22:48:54.865911</t>
  </si>
  <si>
    <t>115-meeple-circus.jpg</t>
  </si>
  <si>
    <t xml:space="preserve">Let the show begin!
You have only one goal in Meeple Circus: Entertain the audience. The competition is tough, but you can create the most amazing circus by proposing incredible acts! Acrobats, horses, and many accessories are at your disposal. Be sure to undertake a good rehearsal, then with your remarkable dexterity, you can give them the show of their lifetime. Once the circus music starts, all eyes will be upon you!
In short, Meeple Circus is a dexterity game in which you do what all gamers do when setting up a game: Pile up your meeples!
</t>
  </si>
  <si>
    <t>["C\u00e9dric Millet"]</t>
  </si>
  <si>
    <t>["Matagot", "Arclight Games", "Ergo Ludo Editions", "Gemblo Company", "Gen-X Games", "Ghenos Games", "Hobby Game Mall", "Lavka Games", "Mandoo Games", "Pegasus Spiele", "Surfin' Meeple", "Tower Tactic Games"]</t>
  </si>
  <si>
    <t>["Open Drafting", "Pattern Building", "Push Your Luck", "Real-Time", "Stacking and Balancing"]</t>
  </si>
  <si>
    <t>["Angelina Costamagna", "Mathieu Leyssenne", "Sabrina Tobal"]</t>
  </si>
  <si>
    <t>Children's Game</t>
  </si>
  <si>
    <t>/thumbs/116-mermaid-island.jpg</t>
  </si>
  <si>
    <t>2025-09-16T22:48:55.362688</t>
  </si>
  <si>
    <t>116-mermaid-island.jpg</t>
  </si>
  <si>
    <t xml:space="preserve">Watch out, Mermaids! The Sea Witch is on the move! The object of the game is to move all 3 mermaids from start to Mermaid Island before the Sea Witch gets there. Because Mermaid Island is a cooperative game players play any of the mermaid tokens - no one player has a single mermaid she is trying to get back to the island. Players take turns spinning the spinner and moving a mermaid or the Sea Witch. Mermaids move 1 or 2 spaces at a time and can take the bridge short cuts. The Sea Witch moves only 1 space at a time and always goes the long way around. If the Sea Witch lands on a mermaid, the mermaid must go back to start. But mermaids can collect wand tokens which move the Sea Witch back one space. Players decide together when to use the wands and which mermaids to move to keep the mermaids going. Looks deceptively simple, but is a lively and strategic game of chase!
Components:
     1 game board
     3 mermaid  tokens
     1 sea witch with stand
     4 wand tokens
     1 spinner
</t>
  </si>
  <si>
    <t>["Magellan", "Peaceable Kingdom"]</t>
  </si>
  <si>
    <t>["Cooperative Game"]</t>
  </si>
  <si>
    <t>["Cynthia Jabar"]</t>
  </si>
  <si>
    <t>/thumbs/117-modern-art.png</t>
  </si>
  <si>
    <t>2025-09-16T22:48:55.865241</t>
  </si>
  <si>
    <t>117-modern-art.png</t>
  </si>
  <si>
    <t xml:space="preserve">Buying and selling paintings can be a very lucrative business.  Five different artists have produced a bunch of paintings, and it's the player's task to be both the buyer and the seller, hopefully making a profit in both roles.  He does this by putting a painting from his hand up for auction each turn.  He gets the money if some other player buys it, but must pay the bank if he buys it for himself.  After each round, paintings are valued by the number of paintings of that type that were sold.  The broker with the most cash after four rounds is the winner.
Part of the Knizia auction trilogy.
</t>
  </si>
  <si>
    <t>["Hans im Gl\u00fcck", "Arrakis Games", "CMON Global Limited", "DiceTree Games", "Drosselmeyer &amp; Co. Ltd.", "Fractal Juegos", "Gal\u00e1pagos Jogos", "GeGe Co. Ltd.", "Kaissa Chess &amp; Games", "Land of Beautiful Mind (\u0633\u0631\u0632\u0645\u06cc\u0646 \u0630\u0647\u0646 \u0632\u06cc\u0628\u0627)", "Lautapelit.fi", "Lavka Games", "Lighthouse Games", "Matagot", "Mayfair Games", "New Games Order, LLC", "Odysseia Jogos", "Oink Games", "Pegasus Spiele", "Phantasia Co., Ltd", "Rebel Sp. z o.o.", "Wargames Club Publishing", "WoodCat"]</t>
  </si>
  <si>
    <t>["Auction / Bidding", "Auction: English", "Auction: Once Around", "Auction: Sealed Bid", "Auction: Turn Order Until Pass", "Commodity Speculation", "Hand Management", "Victory Points as a Resource"]</t>
  </si>
  <si>
    <t>["Carole Carrion", "Manuel Carvalho", "Chen Cheng-po", "Mike Doyle (I)", "Pete Fenlon", "Gianfranco Giordano", "Paul Laane", "Ramon Martins", "Daniel Melim", "Rafael Silveira", "Sigrid Thaler", "Zeilbeck &amp; Natzeck Design Company"]</t>
  </si>
  <si>
    <t>Card Game, Children's Game, Farming</t>
  </si>
  <si>
    <t>/thumbs/118-my-first-bohnanza.jpg</t>
  </si>
  <si>
    <t>2025-09-16T22:48:56.371105</t>
  </si>
  <si>
    <t>118-my-first-bohnanza.jpg</t>
  </si>
  <si>
    <t>My First Bohnanza serves as both an introduction to Bohnanza and as a children's game in its own right, with the goal of the game being the same as its parent: Have the most Talers at the end of play.
As in the original Bohnanza, the game includes multiple types of beans, with each bean having a number on it to indicate how many copies are in the game as well as a "beanometer" at the bottom of the card to show you how many cards of this type you need to harvest in order to collect Talers. My First Bohnanza has simplified beanometers, with four types of beans having only a single exchange value — e.g., five Gemeine (common) beans get you one Taler — and six types of beans having two exchange values. Games with the youngest players (or newcomers to the Bohnanza universe) should use the single beanometer cards with the other cards forming a Taler stack.
To play, each player gets five cards, which they lay in a face-up row, and a beanfield tile that shows spots for two types of beans. On a turn, a player must plant the first (leftmost) card in one of her fields and she can choose to plant a second. Players try to group cards of the same type in the same field, but they can cover beans of different types, if needed. The player then reveals two cards from the deck and either keeps them or trades them (and cards from her hand, if desired) for cards held by other players; all traded cards must be planted. To end her turn, the player draws three cards and adds them to her row.
As soon as a player has the proper number of bean cards in order in one of her fields, she harvests them, placing these cards in the discard pile and collecting a Taler from the stack. If those cards covered beans of another type, she can then start building on those beans again. After going through the deck 1-3 times (depending on the number of players), the game ends and whoever has the most Talers wins.
Once players have played My First Bohnanza a few times, you can swap the single beanometer ca</t>
  </si>
  <si>
    <t>["Heike Kiefer", "Uwe Rosenberg", "Hayo Siemsen"]</t>
  </si>
  <si>
    <t>["AMIGO", "Rio Grande Games"]</t>
  </si>
  <si>
    <t>["Hand Management", "Trading"]</t>
  </si>
  <si>
    <t>["Bj\u00f6rn Pertoft"]</t>
  </si>
  <si>
    <t>Children's Game, Fantasy</t>
  </si>
  <si>
    <t>/thumbs/119-my-first-castle-panic.jpg</t>
  </si>
  <si>
    <t>2025-09-16T22:48:56.885207</t>
  </si>
  <si>
    <t>119-my-first-castle-panic.jpg</t>
  </si>
  <si>
    <t xml:space="preserve">My First Castle Panic, like its predecessor Castle Panic, is a co-operative game in which players work together to defend their castle, but this game removes the reading requirement of the earlier one and fosters the development of educational skills, such as identifying colors and shapes, problem solving, and turn taking.
In the game, monsters follow a single path toward a single, large, eye-catching castle, which is protected by one wall. Each step toward the castle is identified by a color and a shape. Players hold cards in their hands with cute defenders who also have a color and shape. When a card is played that matches the location of the monster, that monster is captured and thrown in the dungeon. Tension builds as more monsters are placed and move along the path toward the castle. If the castle is destroyed, the players lose; if it still stands when all the monsters are in the dungeon, the players win.
</t>
  </si>
  <si>
    <t>["Justin De Witt"]</t>
  </si>
  <si>
    <t>["Fireside Games", "64 Ounce Games", "ADC Blackfire Entertainment", "Gal\u00e1pagos Jogos", "Hobby World", "Space Cow"]</t>
  </si>
  <si>
    <t>["Cooperative Game", "Hand Management", "Matching", "Solo / Solitaire Game"]</t>
  </si>
  <si>
    <t>["Cam Kendell"]</t>
  </si>
  <si>
    <t>Children's Game, Memory, Prehistoric</t>
  </si>
  <si>
    <t>/thumbs/120-my-first-stone-age.jpg</t>
  </si>
  <si>
    <t>2025-09-16T22:48:57.381832</t>
  </si>
  <si>
    <t>120-my-first-stone-age.jpg</t>
  </si>
  <si>
    <t xml:space="preserve">Travel to the past with Jonon and Jada, two stone age children, to rediscover how the first humans settled the world around them.
In My First Stone Age, a children's version of the Stone Age family game, the players collect goods and build their own settlement.
Players first explore the location of forest tokens surrounding the village. Flipping a forest token over indicates the movement of the player's meeple to an action spot on the board. Gather or trade resources, visit the construction site or get a helper token for the kid's dog Guff who will fetch any resource when it's time to build a hut. The construction site is where huts can be build. Each requires a different set of resources. A visit the to construction site also resets the forest tokens: Flip the tokens back over and swap a couple of them to introduce some challenge.
Use your memory to find the fastest paths to gather resources and built 3 huts before everyone else to be the winner of My First Stone Age.
</t>
  </si>
  <si>
    <t>["Marco Teubner"]</t>
  </si>
  <si>
    <t>["Hans im Gl\u00fcck", "999 Games", "Bard Centrum Gier", "Devir", "Filosofia \u00c9ditions", "Giochi Uniti", "Hobby World", "Lautapelit.fi", "MINDOK", "Piatnik", "Swan Panasia Co., Ltd.", "Z-Man Games"]</t>
  </si>
  <si>
    <t>["Memory", "Set Collection"]</t>
  </si>
  <si>
    <t>Deduction, Murder / Mystery, Party Game</t>
  </si>
  <si>
    <t>/thumbs/121-mysterium-park.jpg</t>
  </si>
  <si>
    <t>2025-09-16T22:48:57.880655</t>
  </si>
  <si>
    <t>121-mysterium-park.jpg</t>
  </si>
  <si>
    <t xml:space="preserve">Welcome to Mysterium Park!
Its cotton candies, its circus, its dark secrets...
The park’s former director has disappeared, but the investigation came to nothing. Since that night, weird things are happening on the fairground. As psychics, you’re convinced that a ghost haunts this carnival... You’re now intent on giving it a chance to reveal the truth.
In this cooperative stand-alone game, the ghost sends visions with illustrated cards. The psychics try to interpret them in order to rule out certain suspects and locations. Then, they’ll seize their only chance to piece together what happened to the director. You have only six nights before the carnival leaves town... Open your minds and find the truth!
Set in the lights of a 1950's US fairground, Mysterium Park shares the same core mechanism with the famous award-winning game it reimplements, though bringing a different approach: it is smaller and faster, thanks to very quick setup and simplified rules.
Mysterium is a milestone in immersive and eye-catching experiences close to role-playing; with Mysterium Park, you can enjoy the heart of it in a more condensed way.
— description from the publisher
</t>
  </si>
  <si>
    <t>["Oleksandr Nevskiy", "Oleg Sidorenko"]</t>
  </si>
  <si>
    <t>["Libellud", "Gal\u00e1pagos Jogos", "G\u00e9m Klub Kft.", "Hobby Japan", "Rebel Sp. z o.o."]</t>
  </si>
  <si>
    <t>["Communication Limits", "Cooperative Game", "Pattern Recognition", "Roles with Asymmetric Information", "Storytelling"]</t>
  </si>
  <si>
    <t>["Xavier Collette", "Ma\u00ebva da Silva", "M81 Studio"]</t>
  </si>
  <si>
    <t>City Building, Dice, Fantasy, Video Game Theme</t>
  </si>
  <si>
    <t>/thumbs/122-ni-no-kuni-ii-the-board-game.jpg</t>
  </si>
  <si>
    <t>2025-09-16T22:48:58.368774</t>
  </si>
  <si>
    <t>122-ni-no-kuni-ii-the-board-game.jpg</t>
  </si>
  <si>
    <t xml:space="preserve">Welcome Higgledies and Heroes to Ni no Kuni II: The Board Game, a fun, cooperative kingdom-building game for 1-4 players. You must work together to go on quests, defeat monsters, and grow your kingdom before the forces of evil can overcome you.
Smart choices and a little luck will be needed to build the brightest kingdom possible to stand as a symbol of unity against evil. Can you build your kingdom well enough to overcome the darkness?
—description from the publisher
</t>
  </si>
  <si>
    <t>["Bryce Johnston", "Steve Margetson"]</t>
  </si>
  <si>
    <t>["Steamforged Games Ltd."]</t>
  </si>
  <si>
    <t>["Cooperative Game", "Dice Rolling"]</t>
  </si>
  <si>
    <t>["Hiroyuki Maeda", "Hiroshi Matsuyama", "Yoshiyuki Momose", "Nobuyuki Yanai"]</t>
  </si>
  <si>
    <t>Children's Game, Party Game</t>
  </si>
  <si>
    <t>/thumbs/123-no-mercy-for-monsters.jpg</t>
  </si>
  <si>
    <t>2025-09-16T22:48:58.912733</t>
  </si>
  <si>
    <t>123-no-mercy-for-monsters.jpg</t>
  </si>
  <si>
    <t xml:space="preserve">You are playing with your friends in a quiet and peaceful neighborhood when you catch monsters trying to break into a house! Fortunately, the family living there is absent, and you’re an expert at monster-kicking.
You don’t have your equipment but are determined to knock them out one by one using balls, socks, or buckets of water!
No Mercy for Monsters is a co-operative game in which players team up to knock down the monsters before all the hidden tokens run out.
</t>
  </si>
  <si>
    <t>["J\u00e9r\u00f4me Soleil", "Emilie Soleil"]</t>
  </si>
  <si>
    <t>["Helvetiq"]</t>
  </si>
  <si>
    <t>["Kasia Fryza"]</t>
  </si>
  <si>
    <t>/thumbs/124-no-thanks.png</t>
  </si>
  <si>
    <t>2025-09-16T22:49:10.222588</t>
  </si>
  <si>
    <t>124-no-thanks.png</t>
  </si>
  <si>
    <t xml:space="preserve">No Thanks! is a card game designed to be as simple as it is engaging.
The rules are simple.  Each turn, players have two options:
    play one of their chips to avoid picking up the current face-up card
    pick up the face-up card (along with any chips that have already been played on that card) and turn over the next card
However, the choices aren't so easy as players compete to have the lowest score at the end of the game.  The deck of cards is numbered from 3 to 35, with each card counting for a number of points equal to its face value.  Runs of two or more cards only count as the lowest value in the run - but nine cards are removed from the deck before starting, so be careful looking for connectors.  Each chip is worth -1 point, but they can be even more valuable by allowing you to avoid drawing that unwanted card.
The first versions of the game supported up to five players, but the German 2011 edition supports up to seven (simply by increasing the number of chips).
This game was originally published in Germany in 2004 by Amigo as Geschenkt ...ist noch zu teuer!, meaning Even given as a gift, it is still too expensive!.  Amigo's 2006 international edition, titled No Merci! (a delightful multi-lingual pun), had rules in several languages, including English. The game has subsequently been released in other countries under an assortment of names. The German 2024 edition includes additional cards to allow for play with variant rules.
</t>
  </si>
  <si>
    <t>["Thorsten Gimmler"]</t>
  </si>
  <si>
    <t>["AMIGO", "999 Games", "asmodee", "Boardgame Space", "Broadway Toys LTD", "Dal Negro", "Dr. Wood Challenge Centre", "Fractal Juegos", "G3", "Gigamic", "KADABRA", "Kaissa Chess &amp; Games", "Kikigagne?", "Korea Boardgames", "Lautapelit.fi", "Lifestyle Boardgames Ltd", "Mayfair Games", "Mercurio", "M\u00f6bius Games", "Morapiaf", "PaperGames (III)", "Piatnik", "Rebel Sp. z o.o.", "REXhry", "Shafir Games (\u05d4\u05de\u05e9\u05d7\u05e7\u05d9\u05dd \u05e9\u05dc \u05d7\u05d9\u05d9\u05dd \u05e9\u05e4\u05d9\u05e8)", "Studio Supernova", "Swan Panasia Co., Ltd.", "Venner\u00f8d Forlag AS", "VR Distribution", "Z-Man Games", "\u0406\u0433\u0440\u043e\u043c\u0430\u0433"]</t>
  </si>
  <si>
    <t>["Auction / Bidding", "Closed Economy Auction", "Push Your Luck", "Score-and-Reset Game", "Set Collection"]</t>
  </si>
  <si>
    <t>["Oliver Freudenreich", "Dennis Lohausen", "Atelier L\u00f6wentor"]</t>
  </si>
  <si>
    <t>Ancient, Prehistoric</t>
  </si>
  <si>
    <t>/thumbs/125-nunatak-temple-of-ice.jpg</t>
  </si>
  <si>
    <t>2025-09-16T22:49:10.712442</t>
  </si>
  <si>
    <t>125-nunatak-temple-of-ice.jpg</t>
  </si>
  <si>
    <t xml:space="preserve">In the three-dimensional construction game Nunatak: Temple of Ice, you build a step pyramid together in a mountain of ice — but this game isn't co-operative, so watch your step! (A "nunatak", by the way, is a hill or mountain completely surrounded by glacial ice.)
For each pillar stone placed, you receive cards with different values that will affect your score in the end. For every four pillars built in a square, a new level of the monument opens up, with the temple of ice growing step by step. Who can place their stones most wisely and rise to the icy challenge?
</t>
  </si>
  <si>
    <t>["Kane Klenko"]</t>
  </si>
  <si>
    <t>["KOSMOS", "999 Games", "IELLO", "Thames &amp; Kosmos"]</t>
  </si>
  <si>
    <t>["Area Majority / Influence", "Modular Board", "Multi-Use Cards", "Open Drafting", "Set Collection"]</t>
  </si>
  <si>
    <t>["Kwanchai Moriya"]</t>
  </si>
  <si>
    <t>Animals, Children's Game, Deduction, Dice</t>
  </si>
  <si>
    <t>/thumbs/126-outfoxed.jpg</t>
  </si>
  <si>
    <t>2025-09-16T22:49:11.322824</t>
  </si>
  <si>
    <t>126-outfoxed.jpg</t>
  </si>
  <si>
    <t xml:space="preserve">Game description from the publisher:
Mrs. Plumpert's prized pot pie has gone missing, and now it's a chicken chase to crack the case!
In Outfoxed, you move around the board to gather clues, then use the special evidence scanner to rule out suspects. You have to work together quickly because the guilty fox is high-tailing it towards the exit! Will you halt the hungry hooligan before it flies the coop — or will you be outfoxed?
</t>
  </si>
  <si>
    <t>["Colt Tipaton-Johnson", "Shanon Lyon", "Marisa Pe\u00f1a"]</t>
  </si>
  <si>
    <t>["Gamewright", "Atalia", "AURUM, Inc.", "Brain Games", "CreativaMente", "FoxMind Israel", "Game Factory", "Happy Color", "Kaissa Chess &amp; Games", "Kanga Games", "Lifestyle Boardgames Ltd", "L\u00fadilo", "MINDOK", "Nasza Ksi\u0119garnia", "Reflexshop"]</t>
  </si>
  <si>
    <t>["Cooperative Game", "Deduction", "Dice Rolling", "Die Icon Resolution", "Grid Movement", "Memory", "Square Grid"]</t>
  </si>
  <si>
    <t>["M\u00e9lanie Grandgirard"]</t>
  </si>
  <si>
    <t>Age of Reason, Card Game, Music</t>
  </si>
  <si>
    <t>/thumbs/127-ovation.png</t>
  </si>
  <si>
    <t>2025-09-16T22:49:11.820147</t>
  </si>
  <si>
    <t>127-ovation.png</t>
  </si>
  <si>
    <t xml:space="preserve">Become one of the greatest classical composers of all time! You'll use inspiration, seek fortune and hobnob with aristocrats to perform musical masterpieces and achieve your legacy in this engine building game. Get inspired by your rivals' performances to create your own works of genius as the game builds to a crescendo.
Each turn, players choose one of four actions: Seek Inspiration, Seek Fortune, Seek Patronage, or Perform. Inspiration is your primary resource and it comes in three tones - Joy, Passion and Sorrow. Seeking inspiration allows you to gain your resources while all of the other actions will have players spend inspiration to acquire cards.
Complete specific goals to gain Maestro cards and end the game. The player with the most points, wins.
Compose your masterpiece. Secure your legacy.
—description from the designer
</t>
  </si>
  <si>
    <t>["Kirsten Lunde"]</t>
  </si>
  <si>
    <t>["Looking Glass Workshop", "Grand Gamers Guild"]</t>
  </si>
  <si>
    <t>["Contracts", "End Game Bonuses", "Open Drafting", "Variable Player Powers"]</t>
  </si>
  <si>
    <t>["Ilsye \"Xubbles\" Hines", "Nivea Toliver"]</t>
  </si>
  <si>
    <t>Medical, Travel</t>
  </si>
  <si>
    <t>/thumbs/128-pandemic.jpg</t>
  </si>
  <si>
    <t>2025-09-16T22:49:12.318539</t>
  </si>
  <si>
    <t>128-pandemic.jpg</t>
  </si>
  <si>
    <t xml:space="preserve">In Pandemic, several virulent diseases have broken out simultaneously all over the world! The players are disease-fighting specialists whose mission is to treat disease hotspots while researching cures for each of four plagues before they get out of hand.
The game board depicts several major population centers on Earth. On each turn, a player can use up to four actions to travel between cities, treat infected populaces, discover a cure, or build a research station. A deck of cards provides the players with these abilities, but sprinkled throughout this deck are Epidemic! cards that accelerate and intensify the diseases' activity. A second, separate deck of cards controls the "normal" spread of the infections.
Taking a unique role within the team, players must plan their strategy to mesh with their specialists' strengths in order to conquer the diseases. For example, the Operations Expert can build research stations which are needed to find cures for the diseases and which allow for greater mobility between cities; the Scientist needs only four cards of a particular disease to cure it instead of the normal five—but the diseases are spreading quickly and time is running out. If one or more diseases spreads beyond recovery or if too much time elapses, the players all lose. If they cure the four diseases, they all win!
The 2013 edition of Pandemic includes two new characters—the Contingency Planner and the Quarantine Specialist—not available in earlier editions of the game.
Pandemic is the first game in the Pandemic series.
</t>
  </si>
  <si>
    <t>["Z-Man Games", "(Unknown)", "ADC Blackfire Entertainment", "Albi", "Asterion Press", "Boardgame Space", "Brain Games", "CoolPlay", "Devir", "Enigma (Bergsala Enigma)", "Filosofia \u00c9ditions", "Gal\u00e1pagos Jogos", "Game Harbor", "G\u00e9m Klub Kft.", "HaKubia", "Hobby Japan", "HomoLudicus", "Jolly Thinkers", "Kaissa Chess &amp; Games", "Korea Boardgames", "Lacerta", "Lautapelit.fi", "Lifestyle Boardgames Ltd", "MINDOK", "Nordic Games ehf", "Paladium Games", "Pegasus Spiele", "Quined White Goblin Games", "Rebel Sp. z o.o.", "Siam Board Games", "Stratelibri", "Wargames Club Publishing", "White Goblin Games", "Zhiyanjia", "\u0412\u0437\u0440\u043e\u0441\u043b\u044b\u0435 \u0434\u0435\u0442\u0438", "\u0406\u0433\u0440\u043e\u043c\u0430\u0433"]</t>
  </si>
  <si>
    <t>["Action Points", "Chaining", "Contracts", "Cooperative Game", "Events", "Hand Management", "Multi-Use Cards", "Point to Point Movement", "Set Collection", "Simulation", "Tags", "Trading", "Variable Player Powers", "Variable Set-up"]</t>
  </si>
  <si>
    <t>["Josh Cappel", "Christian Hanisch", "R\u00e9gis Moulun", "Chris Quilliams", "Tom Thiel"]</t>
  </si>
  <si>
    <t>Abstract Strategy, Economic, Puzzle</t>
  </si>
  <si>
    <t>/thumbs/129-patchwork.jpg</t>
  </si>
  <si>
    <t>2025-09-16T22:49:12.802828</t>
  </si>
  <si>
    <t>129-patchwork.jpg</t>
  </si>
  <si>
    <t>In Patchwork, two players compete to build the most aesthetic (and high-scoring) patchwork quilt on a personal 9x9 game board. To start play, lay out all of the patches at random in a circle and place a marker directly clockwise of the 2-1 patch. Each player takes five buttons — the currency/points in the game — and someone is chosen as the start player.
On a turn, a player either purchases one of the three patches standing clockwise of the spool or passes. To purchase a patch, you pay the cost in buttons shown on the patch, move the spool to that patch's location in the circle, add the patch to your game board, then advance your time token on the time track a number of spaces equal to the time shown on the patch. You're free to place the patch anywhere on your board that doesn't overlap other patches, but you probably want to fit things together as tightly as possible. If your time token is behind or on top of the other player's time token, then you take another turn; otherwise the opponent now goes. Instead of purchasing a patch, you can choose to pass; to do this, you move your time token to the space immediately in front of the opponent's time token, then take one button from the bank for each space you moved.
In addition to a button cost and time cost, each patch also features 0-3 buttons, and when you move your time token past a button on the time track, you earn "button income": sum the number of buttons depicted on your personal game board, then take this many buttons from the bank.
What's more, the time track depicts five 1x1 patches on it, and during set-up you place five actual 1x1 patches on these spaces. Whoever first passes a patch on the time track claims this patch and immediately places it on his game board.
Additionally, the first player to completely fill in a 7x7 square on his game board earns a bonus tile worth 7 extra points at the end of the game. (Of course, this doesn't happen in every game.)
When a player takes an action that moves his</t>
  </si>
  <si>
    <t>["Lookout Games", "999 Games", "asmodee", "Brain Games", "Compaya.hu: Gamer Caf\u00e9 Kft.", "CrowD Games", "Dragonfly Publishing", "Funforge", "Gal\u00e1pagos Jogos", "GeGe Co. Ltd.", "GoKids \u73a9\u6a02\u5c0f\u5b50", "Hobby Japan", "Kaissa Chess &amp; Games", "Kilogames", "Korea Boardgames", "Lacerta", "Lautapelit.fi", "Liam Games", "Lord of Boards", "Ludicus Games", "Ludofy Creative", "Maldito Games", "Mayfair Games", "MINDOK", "NeoTroy Games", "Rebel Sp. z o.o.", "Tower Tactic Games", "uplay.it edizioni", "\u041d\u0435\u0441\u043a\u0443\u0447\u043d\u044b\u0435 \u0438\u0433\u0440\u044b"]</t>
  </si>
  <si>
    <t>["Grid Coverage", "Income", "Open Drafting", "Rondel", "Square Grid", "Tile Placement", "Turn Order: Stat-Based", "Turn Order: Time Track", "Victory Points as a Resource"]</t>
  </si>
  <si>
    <t>/thumbs/130-pictionary-air.jpg</t>
  </si>
  <si>
    <t>2025-09-16T22:49:13.301290</t>
  </si>
  <si>
    <t>130-pictionary-air.jpg</t>
  </si>
  <si>
    <t xml:space="preserve">Playing Pictionary with paper is a thing of the past. Mattel has reinvented the classic quick-draw game with a twist, Pictionary Air. Pictionary Air takes your competitive sketching off the paper and puts it onto your phone, tablet or TV screen instead.
—description from the publisher
</t>
  </si>
  <si>
    <t>["Jeff Bazarko", "Damon Saddler"]</t>
  </si>
  <si>
    <t>["Cooperative Game", "Line Drawing", "Team-Based Game"]</t>
  </si>
  <si>
    <t>Environmental</t>
  </si>
  <si>
    <t>/thumbs/131-planted-a-game-of-nature--nurture.jpg</t>
  </si>
  <si>
    <t>2025-09-16T22:49:13.778470</t>
  </si>
  <si>
    <t>131-planted-a-game-of-nature--nurture.jpg</t>
  </si>
  <si>
    <t xml:space="preserve">In this game of nature &amp; nurture, make your house beautiful by caring for your very own collection of houseplants! In this easy-to-learn board game, collect your favorite plants and then try to feed them every round with the right combination of light, water, and plant food.
 Planted features 42 varieties of popular and exotic houseplants, each with their own requirements to grow. Discover various planting tools and decorations to help you raise beautiful, thriving plants, and score bonus points.  The player, or plant parent, that ends up scoring the most points from growing their plants is declared the game’s biggest green thumb - and winner!
Some features:
     Easy to learn mechanics for all ages strategy
     Collect resource tokens to care for your nursery (water drop, sun chip, plant food, etc.)
     Features 42 popular and various plant varieties for all levels of plant parents including the fiddle leaf fig, philodendron, ZZ plant, monstera, croton, and more!
     Created by famed game designer Phil Walker-Harding
—description from the publisher
</t>
  </si>
  <si>
    <t>["Phil Walker-Harding"]</t>
  </si>
  <si>
    <t>["Buffalo Games"]</t>
  </si>
  <si>
    <t>["Closed Drafting", "End Game Bonuses", "Hand Management", "Set Collection", "Simultaneous Action Selection"]</t>
  </si>
  <si>
    <t>["Hannah Bailey"]</t>
  </si>
  <si>
    <t>/thumbs/132-point-salad.png</t>
  </si>
  <si>
    <t>2025-09-16T22:49:14.256543</t>
  </si>
  <si>
    <t>132-point-salad.png</t>
  </si>
  <si>
    <t xml:space="preserve">Point Salad is a fast and fun card drafting game for the whole family. There are over 100 ways to score points. Players may use a variety of strategies and every game of Point Salad is unique!
Cards come in six different types of veggies, and the back of each card has a different scoring method. So for instance, one scoring method may award 2 points for every carrot you have, but deduct a point for every onion.  By drafting combinations of veggies and point cards that work for your strategy, you can amass the most points and win.
—description from the publisher
</t>
  </si>
  <si>
    <t>["Molly Johnson", "Robert Melvin", "Shawn Stankewich"]</t>
  </si>
  <si>
    <t>["Alderac Entertainment Group", "Arclight Games", "Bard Centrum Gier", "Black Sea Games", "Broadway Toys LTD", "Devir", "Gigamic", "HaKubia", "Hobby World", "IGAMES", "Kaissa Chess &amp; Games", "Lautapelit.fi", "Mandoo Games", "Meanbook Games", "MINDOK", "MIPL", "Pegasus Spiele", "Reflexshop", "Siam Board Games", "White Goblin Games", "Yes Papa Games"]</t>
  </si>
  <si>
    <t>["Open Drafting", "Set Collection"]</t>
  </si>
  <si>
    <t>["Dylan Mangini"]</t>
  </si>
  <si>
    <t>/thumbs/133-pylos.jpg</t>
  </si>
  <si>
    <t>2025-09-16T22:49:14.806101</t>
  </si>
  <si>
    <t>133-pylos.jpg</t>
  </si>
  <si>
    <t xml:space="preserve">In Pylos, you want to be one who places the final ball on top of the pyramid. Sounds simple enough, right?
At the start of the game, each player has fifteen balls, either light or dark, and they take turns placing them on a game board that has sixteen indentations on it in a 4x4 grid. Once four balls have been placed next to one another in a square, a ball can be placed on top of them, forming a second level of play. Players can then place balls on this second level, eventually allowing a ball to be placed on the third level – and once that level is full, which requires only four balls, a final ball can be placed on the fourth level, with that player winning the game.
If a player forms a square of his own color – that is, four balls placed next to one another on the same level – that player can remove one or two of his balls (that don't support anything) from anywhere on the board and place them in his reserve, thereby giving him more balls to place in the future. Whenever a player forms a square that's not entirely his own color, he can "stack" one of his pieces – that is, he can take any ball and place it on this square, locking some pieces in place and making a move without having to place a piece from his reserve.
The rules include a variant for children (that removes the square bonus) and one for experts (that allows a player to return 1-2 balls to his reserve when he creates a line of his color).
</t>
  </si>
  <si>
    <t>["David G. Royffe"]</t>
  </si>
  <si>
    <t>["Ericsson", "Fundex", "Gigamic", "Great American Trading Company", "Korea Boardgames", "Mitra", "Strat-O-Sphere Ltd"]</t>
  </si>
  <si>
    <t>["Hand Management", "Pattern Building", "Square Grid"]</t>
  </si>
  <si>
    <t>Animals, Economic</t>
  </si>
  <si>
    <t>/thumbs/134-raccoon-tycoon.jpg</t>
  </si>
  <si>
    <t>2025-09-16T22:49:15.388458</t>
  </si>
  <si>
    <t>134-raccoon-tycoon.jpg</t>
  </si>
  <si>
    <t xml:space="preserve">Astoria is a land bustling with productivity and growth! New towns, factories, and railroads are springing up across the land. A few savvy business tycoons (you and your opponents) are determined to make your fortunes on the crest of this wave. These tycoons start out as the producers of the key commodities: wheat to feed the growing towns and factories, wood and iron to build them, coal to fuel the trains and factories, and manufactured goods and luxuries to fill the insatiable demand of the animals of Astoria.
Cornering the market for the most valuable commodities can create small fortunes that can be invested in the new businesses, turning them into huge fortunes. The sky is the limit during this Gilded Age!
In Raccoon Tycoon, players try to produce the most valuable commodities in an ever-changing marketplace. They then use those commodities to build towns, or sell them at the best price to secure great profits that can be used to win auctions for the all-important railroads. The profits may also be used to buy powerful buildings that give the players power-ups or bonuses in production. Owning the best towns and railroads determines victory. There can be only one "top dog" in Astoria. Is it you?
</t>
  </si>
  <si>
    <t>["Glenn Drover"]</t>
  </si>
  <si>
    <t>["Forbidden Games", "Arrakis Games", "Pendragon Game Studio", "Piatnik", "Tavern Games"]</t>
  </si>
  <si>
    <t>["Auction / Bidding", "Auction: Turn Order Until Pass", "Commodity Speculation", "Market", "Set Collection"]</t>
  </si>
  <si>
    <t>["Jacoby O'Connor", "Annie Stegg"]</t>
  </si>
  <si>
    <t>Animals, Party Game, Racing, Real-time, Sports</t>
  </si>
  <si>
    <t>/thumbs/135-ready-set-bet.jpg</t>
  </si>
  <si>
    <t>2025-09-16T22:49:15.935606</t>
  </si>
  <si>
    <t>135-ready-set-bet.jpg</t>
  </si>
  <si>
    <t xml:space="preserve">In Ready Set Bet, you and your friends head to the races for a day of cheering, jeering, and betting on your favorite horses, whose fates hang on every roll of the dice.
Ready Set Bet is played over four rounds. Each round consists of a race followed by bet resolution. During each race, players freely place their bet tokens on the board while the race is going on. After each race, players win or lose money for each of their placed bet tokens, then receive a VIP Club Card to help them win more money in the following races. After four rounds, the player with the most money wins!
—description from the publisher
</t>
  </si>
  <si>
    <t>["John D. Clair"]</t>
  </si>
  <si>
    <t>["Alderac Entertainment Group", "Boardgame Mall", "Broadway Toys LTD", "Choo Choo Games", "CMON Global Limited", "Devir", "IELLO", "Lucky Duck Games", "Reflexshop", "Strohmann Games", "Sugorokuya", "TLAMA games", "Zito! \u038f\u03c1\u03b1 \u03b3\u03b9\u03b1 \u03c0\u03b1\u03b9\u03c7\u03bd\u03af\u03b4\u03b9"]</t>
  </si>
  <si>
    <t>["Betting and Bluffing", "Dice Rolling", "Real-Time", "Track Movement"]</t>
  </si>
  <si>
    <t>["Kirk W. Buckendorf", "Athena Cagle"]</t>
  </si>
  <si>
    <t>Card Game, Fantasy, Fighting</t>
  </si>
  <si>
    <t>/thumbs/136-regicide.jpg</t>
  </si>
  <si>
    <t>2025-09-16T22:49:16.465904</t>
  </si>
  <si>
    <t>136-regicide.jpg</t>
  </si>
  <si>
    <t xml:space="preserve">Regicide is a cooperative, fantasy card game for 1 to 4 players, played using a standard deck of cards.
Players work together to defeat 12 powerful enemies. On their turn a player plays a card to the table to attack the enemy and once enough damage is dealt, the enemy is defeated. The players win when the last King is defeated. But beware! Each turn the enemy strikes back. Players will discard cards to satisfy the damage and if they can't discard enough, everyone loses.
Rich with tactical decisions and a deep heuristic tree, Regicide is a huge challenge for anyone who is brave enough to take it on.
—description from the designer
For a dice-based, typo-inspired, April 1st-announced game from the same designers, try Regidice!
</t>
  </si>
  <si>
    <t>["Paul Abrahams", "Luke Badger", "Andy Richdale"]</t>
  </si>
  <si>
    <t>["Badgers from Mars", "BoardM Factory", "Devir", "Hobby Japan", "IELLO"]</t>
  </si>
  <si>
    <t>["Card Play Conflict Resolution", "Communication Limits", "Cooperative Game", "Hand Management", "Solo / Solitaire Game", "Variable Set-up"]</t>
  </si>
  <si>
    <t>["Sketchgoblin"]</t>
  </si>
  <si>
    <t>Card Game, City Building, Medieval, Territory Building</t>
  </si>
  <si>
    <t>/thumbs/137-rivals-for-catan.jpg</t>
  </si>
  <si>
    <t>2025-09-16T22:49:16.952879</t>
  </si>
  <si>
    <t>137-rivals-for-catan.jpg</t>
  </si>
  <si>
    <t>The Rivals for Catan is a reimplementation of Catan Card Game.
The Rivals for Catan was released in German in September of 2010, on the 15th anniversary of the original card game. An English edition was released in the fourth quarter of 2010. The designer of the game, Klaus Teuber, has stated that he completely reworked many of the original card game's mechanics to make it easier for newcomers to play the game.
Each player portrays a prince for Catan, developing their individual provinces and competing to build a more successful province than the other.  The basic mode of play is similar to the original Catan Card Game, where players expand their provinces by building settlements connected by roads.  Players may also build expansions in their settlements that aid them in various ways, or upgrade their settlements to cities to allow more expansions to be built.  They build these additions by using resources that they accumulate each turn, which are determined by the roll of a die.  Cards are drawn on each turn to replenish the players' hands.  The players may also use action cards that directly affect either their own province or their opponent's province.
The Rivals for Catan features a reduced pool of cards, without the more aggressive style of action cards found in the original Catan Card Game.  Therefore, all action cards will be able to be used from the beginning of the game unlike in the original card game.
Ways to Play:
The Introductory Game focuses on the basics of the card game, featuring gameplay that is more appropriate for newcomers.  This game is played to 7 victory points and includes 36 Expansion Cards in four stacks.  This play style should take beginner players 25 to 30 minutes to play.
Three Theme Games add more rules, expansions, and aggressive cards.  These Theme Games may be played individually or combined to play a variant called "The Duel of the Princes."  Each Theme Game adds 24 Expansion and Event Cards to the cards from the Introductory</t>
  </si>
  <si>
    <t>["KOSMOS", "999 Games", "Albi", "Catan Studio", "Devir", "Filosofia \u00c9ditions", "Giochi Uniti", "Hobby World", "Ideal Board Games", "Igroljub", "IntelliGames.BG", "Lautapelit.fi", "Mayfair Games", "Spilbr\u00e6t.dk"]</t>
  </si>
  <si>
    <t>["Dice Rolling", "Hand Management", "Open Drafting", "Race"]</t>
  </si>
  <si>
    <t>/thumbs/138-river-dragons.jpg</t>
  </si>
  <si>
    <t>2025-09-16T22:49:17.464892</t>
  </si>
  <si>
    <t>138-river-dragons.jpg</t>
  </si>
  <si>
    <t xml:space="preserve">In Dragon Delta, you want to move your pawn over a system of bridge-like planks to the other side of the board. An easy task! Or at least it would be if everyone were working together, but alas you're not. Instead you're all working on your own right next to one another, each convinced that your way is best.
In game terms, players simultaneously select five action cards to be performed from the nine actions available and lay them down in order they are to be played. The turn is then resolved one card at a time. The actions allow players to place plank foundations, place planks, move their pawns, cancel other players' actions, or remove planks or foundation stones. As can be expected for a design with simultaneous action selection, the game is rather chaotic.
The 2012 edition of the game, River Dragons, includes a double-sided game board not present in earlier editions, with one side of the board featuring rock piles on which you place stones (as in the original Dragon Delta), while the other side has a featureless river on which players can place stones in any location.
</t>
  </si>
  <si>
    <t>["Roberto Fraga"]</t>
  </si>
  <si>
    <t>["Matagot", "asmodee", "Asterion Press", "Bureau de Juegos", "Descartes Editeur", "Egmont Polska", "Eurogames", "Pegasus ToyKraft Pvt. Ltd.", "Redbox Editora (Redbox)", "RollinGames", "Surfin' Meeple China", "Swan Panasia Co., Ltd.", "Tower Tactic Games"]</t>
  </si>
  <si>
    <t>["Action Queue", "Point to Point Movement", "Simultaneous Action Selection"]</t>
  </si>
  <si>
    <t>["Pier\u00f4", "Guillaume Rohmer", "Cyril Saint Blancat"]</t>
  </si>
  <si>
    <t>/thumbs/139-roller-coaster-rush.png</t>
  </si>
  <si>
    <t>2025-09-16T22:49:28.841322</t>
  </si>
  <si>
    <t>139-roller-coaster-rush.png</t>
  </si>
  <si>
    <t xml:space="preserve">Welcome to Roller Coaster Rush, a coaster-building game with oodles of kinetic fun! Your goal is to design and construct the best roller coaster for your investors' theme park! At the start of each game, you design a model coaster using the blueprints you have available. During the game, you'll attempt to actually construct your model by winning auctions for the track pieces you used in your design.
If you lose an auction on one of your own blueprints, you'll have to take that track out of your coaster - but if you win someone else's blueprints you'll get to add a new track to make your coaster bigger and better. Along the way, you can demo your model coaster for investors to see how well it works and earn some extra money for auctions.
At the end of the game you get to unveil your fully constructed roller coaster and run it for the public. You earn victory points based on how far your marble makes it down the track. The player with the most points wins!
—description from the designer
</t>
  </si>
  <si>
    <t>["Scott Almes"]</t>
  </si>
  <si>
    <t>["Pandasaurus Games", "Broadway Toys LTD"]</t>
  </si>
  <si>
    <t>["Auction / Bidding", "Modular Board", "Open Drafting"]</t>
  </si>
  <si>
    <t>["Kristen Pauline"]</t>
  </si>
  <si>
    <t>Abstract Strategy, Card Game, Number</t>
  </si>
  <si>
    <t>/thumbs/140-rummikub.jpg</t>
  </si>
  <si>
    <t>2025-09-16T22:49:29.385543</t>
  </si>
  <si>
    <t>140-rummikub.jpg</t>
  </si>
  <si>
    <t xml:space="preserve">Rummikub is similar to several central European card games which are played with two decks of playing cards, including Machiavelli and Vatikan. Ephraim Hertzano invented the tile game Rummikub in the 1940s when card-playing was outlawed under the Communist regime. After World War II, Hertzano immigrated to British Mandate of Palestine (now Israel) and developed the first sets with his family. Over the years, the Hertzano family licensed it to other countries and Rummikub became Israel's best-selling export game.
Hertzano's Official Rummikub Book, published in 1978, describes three different versions of the game: American, Sabra, and International. Modern Rummikub sets include only the Sabra version rules, with no mention of the others, and there are variations in the rules between publishers.
In Turkey, the game is known as Okey and is widely played by families at gatherings or at local cafes.
Like Rummy that you play with cards, you try to get rid of all your tiles by forming numbers into runs of 3 tiles or more, or 3 to 4 of a kind. The colors of the numbers on the tiles are like card suits. This game may start rather uneventfully, but when the players start putting more and more tiles in play, the options for your upcoming turns can become more complex, challenging, and exciting (from areyougame.com).
</t>
  </si>
  <si>
    <t>["Ephraim Hertzano"]</t>
  </si>
  <si>
    <t>["(Unknown)", "Alga", "Aquamarine Games (COMPUDID)", "Arxon", "Bello Games New York, Inc.", "BGA Plus", "Boardgame Space", "Bookmark Verlag", "Brain Games Germany", "Brio AB", "Broadway Toys LTD", "Cadaco", "Cardinal", "Carlit", "Casper", "Cayro, The Games", "CBS Electronics", "Clementoni", "Coneways", "Crown &amp; Andrews Ltd.", "Dal Negro", "danspil", "Desyllas Games", "Dujardin", "Enigma (Bergsala Enigma)", "Espenlaub", "F.X. Schmid", "Falomir Juegos", "Fame Products", "Feelindigo", "Fjar\u00f0arfell", "Fortuna Games", "Fotorama de M\u00e9xico", "Fun Connection", "Game Design", "Goliath Games", "Grow Jogos e Brinquedos", "H. I. T. INDUSTRIES, LTD.", "Hansa Toy Co.", "Hasbro", "HEMA", "Hertzano Ltd.", "Ideal", "Intelli", "IRWIN Games", "John Adams (IDEAL)", "Joker", "Jumbo", "Kaissa Chess &amp; Games", "K\u00e4rnan", "Kawada, Co. Ltd", "Kingstone International", "Kirjalito", "Kod Kod", "Korea Boardgames", "Lamda Limited", "Lastentuotetukku KY", "Lemada Light Industries", "Lifestyle Boardgames Ltd", "Lifetime Educational Games", "M &amp; G Pacific Toys, Inc", "Mar L\u00fadico", "Masudaya Corp", "MB Jeux", "MB Juegos", "Nordic Games ehf", "Noris Spiele", "One Moment Games", "Orangutan Games", "Otto Maier Verlag", "Parker Brothers", "Pavilion", "Peri Spiele", "Perner Produktions GmbH", "Piatnik", "Playtoy Industries", "Pressman Toy Corp.", "Ravensburger", "Schmidt International", "Schmidt Spiele", "Selchow &amp; Righter", "Selecta Spel en Hobby", "Shelbud Products Corp.", "Spear's Games", "Spin Master Ltd.", "Sterling Games", "Studio100", "Sundry Products", "Tactic", "TM Toys", "TOMA Sp. z o.o.", "Tomy", "Toy Club", "Toy Place", "University Games", "Waddingtons", "Weico Produkte GmbH", "Western Publishing Company", "Wood Expressions", "Yangxin Industrial Company Limited", "\ub180\uc774\uc18d\uc758\uc138\uc0c1"]</t>
  </si>
  <si>
    <t>["Set Collection", "Tile Placement"]</t>
  </si>
  <si>
    <t>["Micha Hertzano", "Ephraim Hertzano", "Michael R\u00fcttinger", "S\u0142awek Wiechowski"]</t>
  </si>
  <si>
    <t>Bluffing, Card Game, Deduction, Exploration, Fantasy, Party Game</t>
  </si>
  <si>
    <t>/thumbs/141-saboteur.jpg</t>
  </si>
  <si>
    <t>2025-09-16T22:49:29.990068</t>
  </si>
  <si>
    <t>141-saboteur.jpg</t>
  </si>
  <si>
    <t>Players take on the role of dwarves. As miners, they are in a mine, hunting for gold. Suddenly, a pick axe swings down and shatters the mine lamp. The saboteur has struck. But which of the players are saboteurs? Will you find the gold, or will the fiendish actions of the saboteurs lead them to it first? After three rounds, the player with the most gold is the winner.
With the help of Dwarf Cards, the players are assigned their role: either miner or saboteur. The roles are kept secret- they are only revealed at the end of the round.
The Start Card and the three Goal Cards are placed onto the table, each seven cards away from the start and one card between each Goal Card. The Goal Cards are placed face-down. The gold is on one of the Goal Cards, but nobody knows which.
Players have cards in hand. On a player's turn, he must do one of three things: place a Path Card into the mine, play an Action Card in front of a player, or pass.
The Path Cards form paths leading to the Goal Cards. Path Cards must be played next to a already-played Path Card. All paths on the Path Card must match those on the already-played cards, and Path Cards may not be played sideways.
The miners are trying to build an uninterrupted path from the Start Card to a Goal Card, while the saboteurs are trying to prevent this. They shouldn't try and be too obvious about it, however, lest they be immediately discovered.
Action Cards can be placed in front of any player, including oneself. Action Cards let the players help or hinder one another, as well as obtain information about the Goal Cards.
Once a player places a Path Card that reaches the gold, the round is over. The miners have won and receive cards with gold pieces as their reward.
The round is also over if the gold could not be reached. In that case, the saboteurs have won and receive the gold pieces.
Once the Gold Cards have been distributed, the next round begins. The game is over at the end of the third round, with the player with the</t>
  </si>
  <si>
    <t>["Fr\u00e9deric Moyersoen"]</t>
  </si>
  <si>
    <t>["AMIGO", "999 Games", "Albi", "asmodee", "Boardgame Space", "Brain Games", "Bureau de Juegos", "Bur\u00f3", "Corfix", "Dal Negro", "Dr. Wood Challenge Centre", "Fractal Juegos", "G3", "Gigamic", "Giochi Uniti", "HaKubia", "Igroljub", "Kaissa Chess &amp; Games", "Kikigagne?", "Korea Boardgames", "Land of Beautiful Mind (\u0633\u0631\u0632\u0645\u06cc\u0646 \u0630\u0647\u0646 \u0632\u06cc\u0628\u0627)", "Lautapelit.fi", "Lifestyle Boardgames Ltd", "Mayfair Games", "Meeples Cafe", "Mercurio", "MIPL", "M\u00f6bius Games", "PaperGames (III)", "Paradigm Infinitum Pte Ltd", "Piatnik", "Rebel Sp. z o.o.", "Sun Team Day Hobby Company", "Swan Panasia Co., Ltd.", "VR Distribution", "Z-Man Games", "\u0412\u0437\u0440\u043e\u0441\u043b\u044b\u0435 \u0434\u0435\u0442\u0438", "\u0406\u0433\u0440\u043e\u043c\u0430\u0433"]</t>
  </si>
  <si>
    <t>["Hand Management", "Hidden Roles", "Hidden Victory Points", "Map Addition", "Network and Route Building", "Score-and-Reset Game", "Take That", "Traitor Game"]</t>
  </si>
  <si>
    <t>["Andrea Boekhoff", "Alexander Jung", "Fr\u00e9deric Moyersoen"]</t>
  </si>
  <si>
    <t>Economic, Fighting, Science Fiction, Territory Building</t>
  </si>
  <si>
    <t>/thumbs/142-scythe.jpg</t>
  </si>
  <si>
    <t>2025-09-16T22:49:30.476156</t>
  </si>
  <si>
    <t>142-scythe.jpg</t>
  </si>
  <si>
    <t>It is a time of unrest in 1920s Europa. The ashes from the first great war still darken the snow. The capitalistic city-state known simply as “The Factory”, which fueled the war with heavily armored mechs, has closed its doors, drawing the attention of several nearby countries.
Scythe is an engine-building game set in a 1920s era, alternate-history. It is a time of farming and war, broken hearts and rusted gears, innovation and valor. In Scythe, each player controls one of five factions of Eastern Europe, all of which are attempting to earn their fortunes and claim their stakes in the land around the mysterious Factory. Players conquer territory, enlist new recruits, reap resources, gain villagers, build structures, and activate monstrous mechs.
Each player begins the game with different resources (power, coins, combat acumen, and popularity), a different starting location, and a hidden goal. Starting positions are specially calibrated to contribute to each faction’s uniqueness and the asymmetrical nature of the game (each faction always starts in the same place). Scythe uses a streamlined action-selection mechanism (no rounds or phases) to keep gameplay moving at a brisk pace and reduce downtime between turns. While there is plenty of direct conflict for players who seek it, there is no player elimination.
Scythe gives players almost complete control over their fate. Other than each player’s individual hidden objective card, the only elements of luck or variability are “encounter” cards that players will draw as they interact with the citizens of newly explored lands. Each encounter card provides the player with several options, allowing them to mitigate the luck of the draw through their selection. Combat is also driven by choices, not luck or randomness. Every part of Scythe has an aspect of engine-building to it. Players can upgrade actions to become more efficient, build structures that improve their position on the map, enlist new recruits to enhance charac</t>
  </si>
  <si>
    <t>["Jamey Stegmaier"]</t>
  </si>
  <si>
    <t>["Stonemaier Games", "Albi", "Angry Lion Games", "Arclight Games", "CrowD Games", "Delta Vision Publishing", "Feuerland Spiele", "Fire on Board Jogos", "Gal\u00e1pagos Jogos", "Geekach LLC", "Ghenos Games", "Korea Boardgames", "Ludofy Creative", "Maldito Games", "Matagot", "Morning", "PHALANX", "Planeta Igor", "Playfun Games", "Surfin' Meeple China"]</t>
  </si>
  <si>
    <t>["Area Majority / Influence", "Card Play Conflict Resolution", "Contracts", "End Game Bonuses", "Force Commitment", "Grid Movement", "Hexagon Grid", "King of the Hill", "Movement Points", "Narrative Choice / Paragraph", "Solo / Solitaire Game", "Take That", "Tech Trees / Tech Tracks", "Variable Player Powers", "Variable Set-up", "Victory Points as a Resource", "Zone of Control"]</t>
  </si>
  <si>
    <t>["Jakub Rozalski"]</t>
  </si>
  <si>
    <t>/thumbs/143-sea-salt--paper.jpg</t>
  </si>
  <si>
    <t>2025-09-16T22:49:30.966352</t>
  </si>
  <si>
    <t>143-sea-salt--paper.jpg</t>
  </si>
  <si>
    <t xml:space="preserve">During your turn, you assemble your hand, maybe place cards for their effect, and decide if you want to end the round. But do you think you are the one with the most points in hand?
You will have to choose: stop the round immediately or give the others an extra turn to try to extend the gap? Is it worth taking the risk? 
The game ends when you reach 30/35/40 points (4/3/2 players).
The excitement of ending the round to catch your opponents off guard
The pleasure of playing your effect cards and making combos
It's a set collection card game like Rummy. The origami created especially for the game is just the illustrations on the cards.
</t>
  </si>
  <si>
    <t>["Bruno Cathala", "Th\u00e9o Rivi\u00e8re"]</t>
  </si>
  <si>
    <t>["Bombyx", "Bur\u00f3", "CMON Global Limited", "Cranio Creations", "Dice&amp;Bones", "Fabrika Igr", "Gal\u00e1pagos Jogos", "Gam'inBIZ", "HANALL M&amp;C", "Hobby Japan", "IGAMES", "Kaissa Chess &amp; Games", "MINDOK", "MIPL", "MM-Spiele", "Pandasaurus Games", "Reflexshop", "Salta da Caixa", "Surfin' Meeple China", "Tower Tactic Games", "Tranjis Games"]</t>
  </si>
  <si>
    <t>["Hand Management", "Open Drafting", "Push Your Luck", "Score-and-Reset Game", "Set Collection", "Sudden Death Ending"]</t>
  </si>
  <si>
    <t>["Lucien Derainne", "Pierre-Yves Gallard"]</t>
  </si>
  <si>
    <t>Abstract Strategy, Card Game</t>
  </si>
  <si>
    <t>/thumbs/144-sequence.jpg</t>
  </si>
  <si>
    <t>2025-09-16T22:49:31.455790</t>
  </si>
  <si>
    <t>144-sequence.jpg</t>
  </si>
  <si>
    <t xml:space="preserve">Sequence is a board and card game. The board shows all the cards (except for the Jacks) of two (2) standard 52-card decks, laid in a 10 x 10 pattern. The four corners are free spaces and count for all players equally.
The players compete to create rows, columns or diagonals of 5 connected checkers placed on the cards that the player has laid down. Two-eyed Jacks are wild, while one-eyed Jacks allow an opponent's checker to be removed. The game ends when someone has reached a specified number of connections.
</t>
  </si>
  <si>
    <t>["Doug Reuter"]</t>
  </si>
  <si>
    <t>["Jax, Ltd.", "(Unknown)", "asmodee", "Broadway Toys LTD", "Copag Cards (Copag)", "Dino Toys s. r. o.", "Enigma (Bergsala Enigma)", "Eskifell hf.", "Goliath Games", "Happy Baobab", "Hasbro", "I on U", "Mar L\u00fadico", "Milton Bradley", "Nordic Games ehf", "Parker Brothers", "Parker Spiele", "Pressman Toy Corp.", "Ventura Games", "Winning Moves France", "Winning Moves Germany", "Winning Moves UK Ltd."]</t>
  </si>
  <si>
    <t>["Hand Management", "Pattern Building", "Take That", "Team-Based Game"]</t>
  </si>
  <si>
    <t>["Zetor"]</t>
  </si>
  <si>
    <t>Bluffing, Card Game, Humor, Medieval, Negotiation, Novel-based, Party Game</t>
  </si>
  <si>
    <t>/thumbs/145-sheriff-of-nottingham-2nd-edition.jpg</t>
  </si>
  <si>
    <t>2025-09-16T22:49:32.014815</t>
  </si>
  <si>
    <t>145-sheriff-of-nottingham-2nd-edition.jpg</t>
  </si>
  <si>
    <t xml:space="preserve">Will the Merchants get their goods past the Sheriff?
The bustling market in Nottingham is filled with goods from all over the kingdom. Most of it is entirely legal, however, Prince John is looking to make sure no contraband gets sold. He’s tasked the Sheriff to inspect Merchant’s wares, looking for any illicit goods. The Sheriff’s shrewd, but not above taking a bribe to look the other way. Which Merchant will end up getting the best goods through and make the largest profits in the market stalls?
In Sheriff of Nottingham 2nd Edition, players take turns playing the Sheriff, looking for contraband goods, and the Merchants trying to stock their Stall with the best goods. The Sheriff can inspect any bag they want, but they must be careful, as they’ll have to pay a penalty if they find the Merchants were telling the truth. This new edition includes updated rules, as well as expansions such as the 6th Merchant, Black Market, and Sheriff’s Deputies.
The game box contains 110 Gold Coins, 216 Goods cards, 6 Deputy cards, 6 Black Market cards, 2 Deputy standees, 6 Merchant stands, 6 Merchant bags, a Sheriff standee, a Booty tile, and a rulebook
</t>
  </si>
  <si>
    <t>["S\u00e9rgio Halaban", "Andr\u00e9 Zatz"]</t>
  </si>
  <si>
    <t>["CMON Global Limited", "BoardM Factory", "Broadway Toys LTD", "Edge Entertainment", "Funforge", "Gal\u00e1pagos Jogos", "Games7Days", "Lavka Games", "MIPL", "Reflexshop", "SuperHeated Neurons", "Yes Papa Games"]</t>
  </si>
  <si>
    <t>["Bribery", "Hand Management", "Open Drafting", "Role Playing", "Set Collection"]</t>
  </si>
  <si>
    <t>["Davide Tosello"]</t>
  </si>
  <si>
    <t>Bluffing, Card Game, Party Game</t>
  </si>
  <si>
    <t>/thumbs/146-skull.jpg</t>
  </si>
  <si>
    <t>2025-09-16T22:49:32.598081</t>
  </si>
  <si>
    <t>146-skull.jpg</t>
  </si>
  <si>
    <t xml:space="preserve">Edited description from Bruno Faidutti's write-up of the game in his Ideal Game Library:
Skull &amp; Roses is the quintessence of bluffing, a game in which everything is played in the players' heads. Each player plays a face-down card, then each player in turn adds one more card – until someone feels safe enough to state that they can turn a number of cards face up and get only roses. Other players can then overbid them, saying they can turn even more cards face up. The highest bidder must then turn that number of cards face up, starting with their own. If they show only roses, they win; if they reveal a skull, they lose, placing one of their cards out of play. Two successful challenges wins the game. Skull &amp; Roses is not a game of luck; it's a game of poker face and meeting eyes.
Skull &amp; Roses Red features the same gameplay as Skull &amp; Roses, with the only change being alternate rules that allow each player to control two biker gangs. Both Skull &amp; Roses Red and Skull are playable on their own, with each game containing six different biker gangs. Each Skull or Skull &amp; Roses set can be combined with another to allow for games with more than six players.
</t>
  </si>
  <si>
    <t>["Herv\u00e9 Marly"]</t>
  </si>
  <si>
    <t>["Lui-m\u00eame", "Boardgame Space", "Brain Games", "DiceTree Games", "Gal\u00e1pagos Jogos", "Geekach LLC", "G\u00e9m Klub Kft.", "Granna", "Hobby Japan", "Korea Boardgames", "Rebel Sp. z o.o.", "Reflexshop", "Siam Board Games", "Space Cowboys"]</t>
  </si>
  <si>
    <t>["Auction / Bidding", "Bids As Wagers", "Hand Management", "Player Elimination", "Predictive Bid"]</t>
  </si>
  <si>
    <t>["Rose Kipik", "Thomas Vuarchex"]</t>
  </si>
  <si>
    <t>Aviation / Flight, Dice</t>
  </si>
  <si>
    <t>/thumbs/147-sky-team.jpg</t>
  </si>
  <si>
    <t>2025-09-16T22:49:33.111659</t>
  </si>
  <si>
    <t>147-sky-team.jpg</t>
  </si>
  <si>
    <t xml:space="preserve">Sky Team is a co-operative game, exclusively for two players, in which you play a pilot and co-pilot at the controls of an airliner. Your goal is to work together as a team to land your airplane in different airports around the world.
To land your plane, you need to silently assign your dice to the correct spaces in your cockpit to balance the axis of your plane, control its speed, deploy the flaps, extend the landing gear, contact the control tower to clear your path, and even have a little coffee to improve your concentration enough to change the value of your dice.
If the aircraft tilts too much and stalls, overshoots the airport, or collides with another aircraft, you lose the game...and your pilot's license...and probably your life.
From Montreal to Tokyo, each airport offers its own set of challenges. Watch out for the turbulence as this could end up being a bumpy ride!
—description from the publisher
</t>
  </si>
  <si>
    <t>["Luc R\u00e9mond"]</t>
  </si>
  <si>
    <t>["Scorpion Masqu\u00e9", "999 Games", "ADC Blackfire Entertainment", "asmodee", "Br\u00e4dspel.se", "Gal\u00e1pagos Jogos", "Games4you", "Geekach LLC", "Hachette Boardgames USA", "Kaissa Chess &amp; Games", "KOSMOS", "Lautapelit.fi", "Lavka Games", "Lucky Duck Games", "Reflexshop", "Regatul Jocurilor", "Salta da Caixa", "Sugorokuya", "Tabletop KZ", "YOKA Games"]</t>
  </si>
  <si>
    <t>["Communication Limits", "Cooperative Game", "Dice Rolling", "Scenario / Mission / Campaign Game", "Turn Order: Progressive", "Variable Player Powers", "Variable Set-up", "Worker Placement with Dice Workers"]</t>
  </si>
  <si>
    <t>["Eric Hibbeler", "Adrien Rives"]</t>
  </si>
  <si>
    <t>Adventure, Card Game, Fantasy, Fighting, Video Game Theme</t>
  </si>
  <si>
    <t>/thumbs/148-slay-the-spire-the-board-game.png</t>
  </si>
  <si>
    <t>2025-09-16T22:49:33.652950</t>
  </si>
  <si>
    <t>148-slay-the-spire-the-board-game.png</t>
  </si>
  <si>
    <t xml:space="preserve">Slay the Spire: The Board Game is a co-operative deck-building, dungeon-crawling adventure. Craft a unique deck, encounter bizarre creatures, discover relics of immense power, and finally become strong enough to slay the Spire!
Each player starts with a character with unique abilities and a simple deck of cards that they can improve by adding and removing cards during the game. Slay the Spire is also a rogue-like. That means that when you die (and you will die!), start over from the beginning. Take the lessons you learned and try again!
The game is divided into Acts. At the end of an Act you can continue, stop and end the adventure there, or save and continue another time!
If players defeat the final Boss, they win the game! Which Boss you consider to be final depends on how many Acts you want to play. You can stop playing at the end of any Act! When a player’s HP is reduced to 0, they are dead and the party loses the game.
</t>
  </si>
  <si>
    <t>["Gary Dworetsky", "Anthony Giovannetti", "Casey Yano"]</t>
  </si>
  <si>
    <t>["Contention Games", "Ediciones MasQueOca", "Grok Games", "Korea Boardgames", "Lavka Games", "Matagot", "MINDOK", "Nice Game Publishing", "Portal Games", "Yayoi The Dreamer", "YOKA Games"]</t>
  </si>
  <si>
    <t>["Cooperative Game", "Deck, Bag, and Pool Building", "Dice Rolling", "Hand Management", "Simultaneous Action Selection", "Solo / Solitaire Game"]</t>
  </si>
  <si>
    <t>["Bruce Brenneise", "Jose David Lanza Cebrian", "Anailis Dorta"]</t>
  </si>
  <si>
    <t>Card Game, Children's Game, Educational, Party Game, Real-time, Sports</t>
  </si>
  <si>
    <t>/thumbs/149-spot-it.png</t>
  </si>
  <si>
    <t>2025-09-16T22:49:34.142089</t>
  </si>
  <si>
    <t>149-spot-it.png</t>
  </si>
  <si>
    <t xml:space="preserve">Spot it!, a.k.a. Dobble, is a simple pattern recognition game in which players try to find an image shown on two cards.
Each card in original Spot it! features eight different symbols, with the symbols varying in size from one card to the next. Any two cards have exactly one symbol in common. For the basic Spot it! game, reveal one card, then another. Whoever spots the symbol in common on both cards claims the first card, then another card is revealed for players to search, and so on. Whoever has collected the most cards when the 55-card deck runs out wins!
Rules for different games – each an observation game with a speed element – are included with Spot it!, with the first player to find a match either gaining or getting rid of a card. Multiple versions of Spot it! have been published, with images in each version ranging from Halloween to hockey to baseball to San Francisco.
The game is sold as Spot it! in the USA and Dobble in Europe, with slight differences between the two editions.
Note: some versions have fewer cards and fewer symbols per card. (E.g. 30 cards with 6 symbols each.): Spot it! 1,2,3
</t>
  </si>
  <si>
    <t>["Denis Blanchot", "Jacques Cottereau", "Guillaume Gille-Naves", "Igor Polouchine"]</t>
  </si>
  <si>
    <t>["Blue Orange Games", "Zygomatic", "ADC Blackfire Entertainment", "asmodee", "Asterion Press", "Boardgame Space", "Broadway Toys LTD", "CoolPlay", "CSE Games", "Enigma (Bergsala Enigma)", "Ensky", "Esdevium", "Flying Tiger Copenhagen", "FoxMind", "FoxMind Israel", "Fractal Juegos", "Gal\u00e1pagos Jogos", "G\u00e9m Klub Kft.", "GoKids \u73a9\u6a02\u5c0f\u5b50", "Happy Baobab", "Hobby Japan", "KADABRA", "Kaissa Chess &amp; Games", "Korea Boardgames", "Lautapelit.fi", "Lifestyle Boardgames Ltd", "Louvre Editions", "MasterPieces Inc.", "Nordic Games ehf", "The Op Games", "OTAVIUS", "Play Factory", "Ponva d.o.o.", "Rab\u00e9n &amp; Sj\u00f6gren", "Rebel Sp. z o.o.", "Siam Board Games", "Super Impulse", "Top Toys", "\u0406\u0433\u0440\u043e\u043c\u0430\u0433"]</t>
  </si>
  <si>
    <t>["Hot Potato", "Pattern Recognition", "Speed Matching"]</t>
  </si>
  <si>
    <t>["(Uncredited)", "Ren\u00e9 Goscinny", "Laura Mena", "Mikmak Studio", "Ingrid Vang Nyman", "Peyo", "Albert Uderzo"]</t>
  </si>
  <si>
    <t>/thumbs/150-sushi-go-party.jpg</t>
  </si>
  <si>
    <t>2025-09-16T22:49:34.628220</t>
  </si>
  <si>
    <t>150-sushi-go-party.jpg</t>
  </si>
  <si>
    <t xml:space="preserve">Sushi Go Party! expands Sushi Go! with a party platter of mega maki, super sashimi, and endless edamame. You still earn points by picking winning sushi combos, but now you can customize each game by choosing à la carte from a menu of more than twenty delectable dishes. What's more, up to eight players can join in on the sushi-feast. Let the good times roll!
—description from the publisher
</t>
  </si>
  <si>
    <t>["Gamewright", "AURUM, Inc.", "Cocktail Games", "Devir", "Hemz Universal Games Co. Ltd.", "Rebel Sp. z o.o.", "Reflexshop", "uplay.it edizioni", "White Goblin Games", "Zoch Verlag"]</t>
  </si>
  <si>
    <t>["Closed Drafting", "End Game Bonuses", "Hand Management", "Set Collection", "Simultaneous Action Selection", "Variable Set-up"]</t>
  </si>
  <si>
    <t>["Nan Rangsima"]</t>
  </si>
  <si>
    <t>Humor, Party Game, Racing, Real-time</t>
  </si>
  <si>
    <t>/thumbs/151-telestrations-upside-drawn.jpg</t>
  </si>
  <si>
    <t>2025-09-16T22:49:35.129132</t>
  </si>
  <si>
    <t>151-telestrations-upside-drawn.jpg</t>
  </si>
  <si>
    <t xml:space="preserve">It’s Telestrations, but Upside Down! This take on the award winning Telestrations game gives a whole new meaning to laugh out loud miscommunication. Telestrations: Upside Drawn puts a teamwork spin on “The Telephone Game Sketched Out” by putting the pen in one person’s hand, and control of the board in another’s! Only through “Up” or “Down” directives can the team put the pen and board together to guess the clue first! The team to reach 10 points wins!
Components:
4 sketch boards
4 dry-erase markers
1 category die
100 cards – includes 1000 words and phrases
60 scoring chips
Instructions
-description from publisher
</t>
  </si>
  <si>
    <t>["The Op Games"]</t>
  </si>
  <si>
    <t>["Line Drawing", "Paper-and-Pencil"]</t>
  </si>
  <si>
    <t>Dice, Number</t>
  </si>
  <si>
    <t>/thumbs/152-thats-pretty-clever.jpg</t>
  </si>
  <si>
    <t>2025-09-16T22:49:45.535998</t>
  </si>
  <si>
    <t>152-thats-pretty-clever.jpg</t>
  </si>
  <si>
    <t xml:space="preserve">Choose your dice cleverly in Ganz schön clever (German for "That's Pretty Clever") to enter them into the matching colored areas on your score sheet, putting together tricky chain-scoring opportunities, and racking up the points! The dice you don't use are as important as those you do, because every die with a lower value than the chosen one can be used by the other players, keeping everyone in the game at all times.
</t>
  </si>
  <si>
    <t>["Wolfgang Warsch"]</t>
  </si>
  <si>
    <t>["Schmidt Spiele", "999 Games", "Arclight Games", "Brain Games", "CMYK", "Compaya.hu: Gamer Caf\u00e9 Kft.", "Devir", "G3", "Kaissa Chess &amp; Games", "Korea Boardgames", "Lautapelit.fi", "Lavka Games", "Stronghold Games", "Swan Panasia Co., Ltd.", "Venner\u00f8d Forlag AS", "YellowBOX"]</t>
  </si>
  <si>
    <t>["Dice Rolling", "Paper-and-Pencil", "Re-rolling and Locking", "Solo / Solitaire Game"]</t>
  </si>
  <si>
    <t>["Leon Schiffer"]</t>
  </si>
  <si>
    <t>Adventure, Card Game, Exploration, Fantasy</t>
  </si>
  <si>
    <t>/thumbs/153-the-7th-citadel.png</t>
  </si>
  <si>
    <t>2025-09-16T22:49:46.022602</t>
  </si>
  <si>
    <t>153-the-7th-citadel.png</t>
  </si>
  <si>
    <t xml:space="preserve">The 7th Citadel is an all-new cooperative exploration and adventure game from the creators of The 7th Continent.
In this post-apocalyptic medieval fantasy world, you play as a “slave-gardener” who escapes from the Citadel of Necrodruid Ninidazir’, only to find yourself confronted by an even greater Threat!
Explore the Collapsing Lands freely by gradually unveiling the board using numbered terrain and event cards. Interact with your environment, converse with its inhabitants, and build a city that will signal the renewal of this desolate world....
As the scenarios unfold, your choices, for better or worse, will lead you inexorably to the epic finale against the Threat!
</t>
  </si>
  <si>
    <t>["Serious Poulp"]</t>
  </si>
  <si>
    <t>["Cooperative Game", "Grid Movement", "Hand Management", "Modular Board", "Scenario / Mission / Campaign Game", "Solo / Solitaire Game"]</t>
  </si>
  <si>
    <t>["Ludovic Roudy"]</t>
  </si>
  <si>
    <t>Adventure, Card Game, Exploration, Science Fiction</t>
  </si>
  <si>
    <t>/thumbs/154-the-7th-continent.jpg</t>
  </si>
  <si>
    <t>2025-09-16T22:49:46.515624</t>
  </si>
  <si>
    <t>154-the-7th-continent.jpg</t>
  </si>
  <si>
    <t xml:space="preserve">It's the early 20th century. You have decided to sail back to the newly discovered seventh continent to attempt to lift the terrible curse that has struck you since your return from the previous expedition.
In The 7th Continent, a solo or cooperative "choose-your-own-adventure" exploration board game, you choose a character and begin your adventure on your own or with a team of other explorers. Inspired by the Fighting Fantasy book series, you will discover the extent of this wild new land through a variety of terrain and event cards. In a land fraught with danger and wonders, you have to use every ounce of wit and cunning to survive, crafting tools, weapons, and shelter to ensure your survival.
Unlike most board games, it will take you many, MANY hours of exploring and searching the seventh continent until you eventually discover how to remove the curse(s)...or die trying.
The 7th Continent features an easy saving system so that you can stop playing at any time and resume your adventure later on, just like in a video game!
</t>
  </si>
  <si>
    <t>["Area Movement", "Cooperative Game", "Hand Management", "Map Addition", "Modular Board", "Narrative Choice / Paragraph", "Scenario / Mission / Campaign Game", "Solo / Solitaire Game", "Storytelling", "Variable Player Powers"]</t>
  </si>
  <si>
    <t>Adventure, Card Game, Fantasy, Novel-based</t>
  </si>
  <si>
    <t>/thumbs/155-the-fellowship-of-the-ring-trick-taking-game.png</t>
  </si>
  <si>
    <t>2025-09-16T22:49:47.003773</t>
  </si>
  <si>
    <t>155-the-fellowship-of-the-ring-trick-taking-game.png</t>
  </si>
  <si>
    <t xml:space="preserve">The Fellowship of the Ring: Trick-Taking Game is a co-operative card game that plays out over eighteen chapters that lead players through the events of the novel The Fellowship of the Ring. The chapters can be played in any order, but ideally you play them in sequence.
In each chapter, each player takes a different character role — Frodo, Gandalf, Sam, Pippin, Farmer Maggot, etc. — and each character has a condition that must be met in order to pass the chapter and advance in the story. Frodo needs to capture ring cards, for example, while Pippin wants to take as few tricks as possible. As you advance through the chapters, new characters, items, and challenges are introduced to the game.
The deck consists of 37 cards, with one card being set aside as "lost" each hand. Whoever is dealt the One Ring becomes Frodo, then other players choose from the available characters based on their hand. The One Ring is the game's only trump card, but initially rings can't be led until someone plays one off-suit.
In the two-player game, one hand of cards is dealt to a dummy player, with some cards being face up and others face down. This dummy is assigned a character, and one of the human players will play cards for it based on which cards are free to be played.
In the solitaire game, one player plays four hands of face-up cards, with each hand being assigned a character and only a few cards being available at a time. After you play a trick, deal each hand a new card.
</t>
  </si>
  <si>
    <t>["Bryan Bornmueller"]</t>
  </si>
  <si>
    <t>["Office Dog", "Gal\u00e1pagos Jogos", "Gameology (Gameology Romania)", "Geekach LLC", "G\u00e9m Klub Kft.", "Rebel Sp. z o.o."]</t>
  </si>
  <si>
    <t>["Communication Limits", "Cooperative Game", "Scenario / Mission / Campaign Game", "Trick-taking"]</t>
  </si>
  <si>
    <t>["Elaine Ryan", "Samuel R. Shimota"]</t>
  </si>
  <si>
    <t>/thumbs/156-the-fox-in-the-forest-duet.jpg</t>
  </si>
  <si>
    <t>2025-09-16T22:49:47.488460</t>
  </si>
  <si>
    <t>156-the-fox-in-the-forest-duet.jpg</t>
  </si>
  <si>
    <t xml:space="preserve">In the two-player, co-operative trick-taking game The Fox in the Forest Duet, players team up, helping each other move through the forest. Collect all the gems before the end of three rounds of play, and you win!
To set up the game, place gem tokens on the designated spaces of the game board and the team tracker token in the center of the movement path. At the start of each round, shuffle the deck of thirty cards — which contains three suits, each numbered 1-10 — and deal each player a hand of eleven cards. Reveal one card as the "decree" card to determine the trump suit. For each trick, one player leads a card, and the other must follow suit, if possible. The winner of the trick moves the team tracker toward them a number of spaces equal to the number of fox footprints on the cards played. If the tracker lands on a space next to a gem, the players collect one gem. If the tracker would move off the end of the path, return the tracker to the center of the path, then add a forest token to one end of the path, reducing the number of spaces upon which you can move (with you sliding gems next to this covered space next to the new end of the path).
The odd-numbered character cards have special abilities when played, allowing the trick winner to move the tracker in the direction of their choice or to ignore the footprints on one of the played cards so that you can land on just the right spot. One character allows players to exchange one card with each other, while another allows a player to change the decree card.
At the end of a round, you add five gems to designated spaces, add a forest space to shorten the path, then receive a new hand of eleven cards from a freshly shuffled deck. Collect all 22 gem tokens, and you win. Run out of time or head off the end of the path with no forest spaces in reserve, then you can just keep running in defeat or shuffle the cards and start the game anew.
</t>
  </si>
  <si>
    <t>["Foxtrot Games", "Renegade Game Studios", "Banana Games", "Hobby Game Mall", "MINDOK", "Origames", "Reflexshop", "Schwerkraft-Verlag", "SUNNY BIRD", "White Goblin Games", "WoodCat"]</t>
  </si>
  <si>
    <t>["Communication Limits", "Cooperative Game", "Hand Management", "Map Reduction", "Trick-taking", "Variable Set-up"]</t>
  </si>
  <si>
    <t>["Adrienne Ezell", "Jason D. Kingsley", "Roanna Peroz", "John Shulters"]</t>
  </si>
  <si>
    <t>Children's Game, Economic</t>
  </si>
  <si>
    <t>/thumbs/157-the-game-of-life-2013--editions.jpg</t>
  </si>
  <si>
    <t>2025-09-16T22:49:47.970826</t>
  </si>
  <si>
    <t>157-the-game-of-life-2013--editions.jpg</t>
  </si>
  <si>
    <t xml:space="preserve">This game attempts to mirror life events many people go through from going to college, raising a family, buying a home, working and retiring.
The intent of the game is to have the most assets at the end of the game.  Assets are earned primarily by passing Payday spots on the game board.  Money is also earned (and sometimes lost) by drawing Action cards, which assign set amounts or multiples of the wheel spin.
There is a very linear board that you move along by spinning a wheel.  There are a handful of intersections where you can choose to go one direction or another but they ultimately have similar spaces and meet back up quickly.  The first one is a decision to either attend college (payment due and a longer track), or not - with different career cards drawn as a result of that decision.  There are a handful of choices regarding house speculation, but for the most part it is a game of luck.
This game makes a number of updates to older games in the game family.  The maximum number of players has been reduced from 6 to 4, and a number of new cards and concepts have been introduced, increasing the randomness of asset collection.
</t>
  </si>
  <si>
    <t>["Hasbro"]</t>
  </si>
  <si>
    <t>["Roll / Spin and Move", "Simulation"]</t>
  </si>
  <si>
    <t>Book, Movies / TV / Radio theme, Novel-based</t>
  </si>
  <si>
    <t>/thumbs/158-the-hobbit-an-unexpected-party.png</t>
  </si>
  <si>
    <t>2025-09-16T22:49:48.450009</t>
  </si>
  <si>
    <t>158-the-hobbit-an-unexpected-party.png</t>
  </si>
  <si>
    <t xml:space="preserve">Blunt the knives, bend the forks; Smash the bottles and burn the corks; Chip the glasses and crack the plates; That’s what Bilbo Baggins hates!
An Unexpected Party is a fast, fun, action-based tabletop game for 2-4 players, set in the opening scenes of The Hobbit: An Unexpected Journey – when the thirteen Dwarves arrive unannounced at Bag End, much to Bilbo’s dismay! Mischief ensues as the dwarves cheerfully jest with Bilbo under the watchful eye of Gandalf.
Step into the Dwarves shoes and earn points by performing lines of the song, “The Things Bilbo Hates.” As you move around Bag End you will sing loudly, gather items and generally make a mess of the place. While Bilbo might be curious about the antics of his uninvited guests at first, be careful not to push the poor hobbit too far or you will be sitting in the Dining Hall with no dinner!
The game ends either when all 15 lines of the song are completed, or with the momentous arrival of Thorin. The player with the most points – who did the best job arousing Bilbo’s curiosity and shaking up his sheltered life – will win!
An Unexpected Party is perfect for families and features fun artwork by Weta Workshop senior concept artist, Daniel Falconer. Spend an hour inside Bag End and host your own Unexpected Party!
-description from publisher
</t>
  </si>
  <si>
    <t>["Jarratt Gray", "Ian Luxmoore"]</t>
  </si>
  <si>
    <t>["Weta Workshop"]</t>
  </si>
  <si>
    <t>["Pick-up and Deliver", "Push Your Luck", "Set Collection", "Variable Player Powers", "Worker Placement"]</t>
  </si>
  <si>
    <t>["Dan Falconer"]</t>
  </si>
  <si>
    <t>Card Game, Number</t>
  </si>
  <si>
    <t>/thumbs/159-the-mind.png</t>
  </si>
  <si>
    <t>2025-09-16T22:49:48.946414</t>
  </si>
  <si>
    <t>159-the-mind.png</t>
  </si>
  <si>
    <t xml:space="preserve">The Mind is more than just a game. It's an experiment, a journey, a team experience in which you can't exchange information, yet will become one to defeat all the levels of the game.
In more detail, the deck contains cards numbered 1-100, and during the game you try to complete 12, 10, or 8 levels of play with 2, 3, or 4 players. In a level, each player receives a hand of cards equal to the number of the level: one card in level 1, two cards in level 2, etc. Collectively you must play these cards into the center of the table on a single discard pile in ascending order but you cannot communicate with one another in any way as to which cards you hold. You simply stare into one another's eyes, and when you feel the time is right, you play your lowest card. If no one holds a card lower than what you played, great, the game continues! If someone did, all players discard face up all cards lower than what you played, and you lose one life.
You start the game with a number of lives equal to the number of players. Lose all your lives, and you lose the game. You start with one shuriken as well, and if everyone wants to use a shuriken, each player discards their lowest card face up, giving everyone information and getting you closer to completing the level. As you complete levels, you might receive a reward of a shuriken or an extra life. Complete all the levels, and you win!
For an extra challenge, play The Mind in extreme mode with all played cards going onto the stack face down. You don't look at the cards played until the end of a level, losing lives at that time for cards played out of order.
</t>
  </si>
  <si>
    <t>["N\u00fcrnberger-Spielkarten-Verlag", "Arclight Games", "Brain Games", "Coiledspring Games", "DV Games", "FoxGames", "Fractal Juegos", "GaGa Games", "Gal\u00e1pagos Jogos", "Game Factory", "G\u00e9m Klub Kft.", "Ideal Board Games", "Kaissa Chess &amp; Games", "Lanlalen", "Lautapelit.fi", "Mald\u00f3n", "Mar L\u00fadico", "Mercurio", "Oya", "Pandasaurus Games", "Popcorn Games", "Pravi Junak", "REXhry", "Swan Panasia Co., Ltd.", "Venner\u00f8d Forlag AS", "White Goblin Games", "YellowBOX"]</t>
  </si>
  <si>
    <t>["Communication Limits", "Cooperative Game", "Hand Management"]</t>
  </si>
  <si>
    <t>["Oliver Freudenreich"]</t>
  </si>
  <si>
    <t>/thumbs/160-three-arrows.jpg</t>
  </si>
  <si>
    <t>2025-09-16T22:49:49.486823</t>
  </si>
  <si>
    <t>160-three-arrows.jpg</t>
  </si>
  <si>
    <t xml:space="preserve">Three Arrows can be played by 2, 3, or 4 players. The object of the game is to capture as many of your opponents' Arrow Pieces as possible.
The board is a 6x6 grid.  A player's basic pieces have arrows on them. Players place their pieces on the board or attack with those pieces.  A player's first piece can be played on the edge but not the corners of the board.  Subsequent pieces are placed adjacent to the player's existing pieces on one of the squares pointed to by their arrows.
The attack strength of a piece, or line of pieces, is the number of arrows pointing at the target piece.  To make an attack, nominate a target, add your base attack strength to a die roll (-1,0,+1) and compare it to the defence strength.  The losing piece is removed.  If the attacker wins they may move the attacking piece into the now empty space, rotating it if they wish.
Pieces may be placed with shields to delay an attack and/or covers to hide their type and strength.
</t>
  </si>
  <si>
    <t>["Archer Entertainment (NZ) Ltd"]</t>
  </si>
  <si>
    <t>["Dice Rolling", "Grid Movement", "Secret Unit Deployment", "Square Grid", "Static Capture"]</t>
  </si>
  <si>
    <t>Abstract Strategy, Animals, Arabian</t>
  </si>
  <si>
    <t>/thumbs/161-through-the-desert.jpg</t>
  </si>
  <si>
    <t>2025-09-16T22:49:57.743381</t>
  </si>
  <si>
    <t>161-through-the-desert.jpg</t>
  </si>
  <si>
    <t xml:space="preserve">Each player attempts to score the most points by snaking caravan routes through the desert, trying to reach oases and blocking off sections of the desert. Many people feel that it is reminiscent of Go.
Publisher's Description
From the award-winning game designer Reiner Knizia comes a game of strategy, patience, and cool plastic camels! The desert is still treacherous, mysterious, and without mercy. But for those willing to risk the dangers of the shifting, sun-baked sands, the desert holds riches beyond compare.
 In Through the Desert, two to five players each control a tribe of nomads vying for control of the desert. By establishing caravans and taking over oases, the players gain points as their tribes increase in power.
 Strategy is essential in deciding how and where to build your tribe's caravans. There are multiple ways to gain points and several ways to win. Should you try to build the longest caravan? Or should you dominate the desert's oases? Don't forget to keep an eye on your opponents' caravans, or you may find your own tribe cut off from valuable water holes.
Through the Desert is part of the so called Knizia tile-laying trilogy.
</t>
  </si>
  <si>
    <t>["KOSMOS", "Allplay", "Delta Vision Publishing", "Edge Entertainment", "Fantasy Flight Games", "Galakta", "Hobby Japan", "Lautapelit.fi", "PS-Games", "Silver Stars Publishing", "Wargames Club Publishing", "Z-Man Games"]</t>
  </si>
  <si>
    <t>["Chaining", "Connections", "Enclosure", "Hexagon Grid", "Network and Route Building"]</t>
  </si>
  <si>
    <t>["John Gravato", "Atha Kanaani", "Damien Mammoliti", "Scott Nicely", "Brian Schomburg", "Claus Stephan"]</t>
  </si>
  <si>
    <t>Children's Game, Trains</t>
  </si>
  <si>
    <t>/thumbs/162-ticket-to-ride-first-journey-us.jpg</t>
  </si>
  <si>
    <t>2025-09-16T22:49:58.278197</t>
  </si>
  <si>
    <t>162-ticket-to-ride-first-journey-us.jpg</t>
  </si>
  <si>
    <t xml:space="preserve">Ticket to Ride: First Journey takes the gameplay of the Ticket to Ride series and scales it down for a younger audience.
In general, players collect train cards, claim routes on the map, and try to connect the cities shown on their tickets. In more detail, the game board shows a map of the United States with certain cities being connected by colored paths. Each player starts with four colored train cards in hand and two tickets; each ticket shows two cities, and you're trying to connect those two cities with a contiguous path of your trains in order to complete the ticket.
On a turn, you either draw two train cards from the deck or discard train cards to claim a route between two cities; for this latter option, you must discard cards matching the color and number of spaces on that route (e.g., two yellow cards for a yellow route that's two spaces long). If you connect the two cities shown on a ticket with a path of your trains, reveal the ticket, place it face up in front of you, then draw a new ticket. (If you can't connect cities on either ticket because the paths are blocked, you can take your entire turn to discard those tickets and draw two new ones.)
If you connect one of the West Coast cities to one of the East Coast cities with a path of your trains, you immediately claim a Coast-to-Coast ticket.
The first player to complete six tickets wins! Alternatively, if someone has placed all twenty of their trains on the game board, then whoever has completed the most tickets wins!
Part of Ticket to Ride series.
</t>
  </si>
  <si>
    <t>["Days of Wonder"]</t>
  </si>
  <si>
    <t>["Hand Management", "Network and Route Building", "Set Collection"]</t>
  </si>
  <si>
    <t>["Cyrille Daujean", "Jean-Baptiste Reynaud"]</t>
  </si>
  <si>
    <t>/thumbs/163-tsuro.jpg</t>
  </si>
  <si>
    <t>2025-09-16T22:49:58.757485</t>
  </si>
  <si>
    <t>163-tsuro.jpg</t>
  </si>
  <si>
    <t xml:space="preserve">Tsuro is a beautifully simple game of laying a tile before your own token to continue its path on each turn.  The goal is to keep your token on the board longer than anyone else's, but as the board fills up this becomes harder because there are fewer empty spaces left and another player's tile may also extend your own path in a direction you'd rather not go.  Easy to introduce to new players,  lasts a mere 15 minutes.
Tsuro has an Asian spiritual theme - the lines representing the "many roads that lead to divine wisdom", and the game as a whole representing "the classic quest for enlightenment". This theme is very light and the game essentially plays as an abstract strategy game.
The game consists of tiles with twisting lines on them, a 6x6 grid on which to lay these tiles and a token for each player. Each player has a hand of tiles. On your turn you do two things: place a tile from your hand onto the board next to your token and move your token as far as it can go along the line it is currently on, until it is stopped by an empty space with no tile in (yet), the edge of the board or colliding with another player's token. If your token reaches the edge of the board or collides with another player's token, you are out of the game. The aim of the game is to be the last player left with a token on the board. Strategy therefore consists of trying to drive your opponents either into each other or off the board whilst extending your own route in directions that will make it difficult for your opponents to do the same.
--description from publisher
</t>
  </si>
  <si>
    <t>["Tom McMurchie"]</t>
  </si>
  <si>
    <t>["Calliope Games", "WizKids (I)", "64 Ounce Games", "Abysse Corp.", "DV Games", "Enigma (Bergsala Enigma)", "Flick Game Studio", "Kaissa Chess &amp; Games", "KOSMOS", "Matagot"]</t>
  </si>
  <si>
    <t>["Hand Management", "Network and Route Building", "Player Elimination", "Tile Placement"]</t>
  </si>
  <si>
    <t>["Cathy Brigg", "Andrew Hepworth", "Shane Small", "Imelda Vohwinkel", "Franz Vohwinkel"]</t>
  </si>
  <si>
    <t>Civilization, Economic, Exploration, Negotiation, Political, Science Fiction, Space Exploration, Territory Building, Wargame</t>
  </si>
  <si>
    <t>/thumbs/164-twilight-imperium-fourth-edition.jpg</t>
  </si>
  <si>
    <t>2025-09-16T22:49:59.266801</t>
  </si>
  <si>
    <t>164-twilight-imperium-fourth-edition.jpg</t>
  </si>
  <si>
    <t>Twilight Imperium (Fourth Edition) is a game of galactic conquest in which three to six players each take on the role of one of seventeen factions vying for galactic domination through military might, political maneuvering, and economic bargaining. Every faction offers a completely different play experience, from the wormhole-hopping Ghosts of Creuss to the Emirates of Hacan, masters of trade and economics. These seventeen races are offered many paths to victory, but only one may sit upon the throne of Mecatol Rex as the new masters of the galaxy.
No two games of Twilight Imperium are ever identical. At the start of each galactic age, the game board is uniquely and strategically constructed from among 51 galaxy tiles that feature everything from lush new planets and supernovas to asteroid fields and gravity rifts. Players are dealt a hand of these tiles and take turns creating the galaxy around Mecatol Rex, the capital planet seated in the center of the board. An ion storm may block your race from progressing through the galaxy while a fortuitously placed gravity rift may protect you from your closest foes. The galaxy is yours to both craft and dominate.
A round of Twilight Imperium begins with players selecting one of eight strategy cards that both determine player order and give their owner a unique strategic action for that round. These may do anything from providing additional command tokens to allowing a player to control trade throughout the galaxy. After these strategies are selected, players take turns moving their fleets from system to system, claiming new planets for their empires, and engaging in warfare and trade with other factions. At the end of a turn, players gather in a grand council to pass new laws and agendas, shaking up the game in unpredictable ways.
After every player has passed their turn, players move up the victory track by checking to see whether they have completed any objectives throughout the turn and scoring them. Objectives are det</t>
  </si>
  <si>
    <t>["Dane Beltrami", "Corey Konieczka", "Christian T. Petersen"]</t>
  </si>
  <si>
    <t>["Fantasy Flight Games", "ADC Blackfire Entertainment", "Arclight Games", "Asterion Press", "Delta Vision Publishing", "Edge Entertainment", "Galakta", "Gal\u00e1pagos Jogos", "Geekach LLC", "Hobby World", "Playfun Games", "sternenschimmermeer"]</t>
  </si>
  <si>
    <t>["Action Drafting", "Area-Impulse", "Dice Rolling", "Follow", "Grid Movement", "Hexagon Grid", "Increase Value of Unchosen Resources", "King of the Hill", "Modular Board", "Movement Points", "Race", "Tech Trees / Tech Tracks", "Trading", "Variable Phase Order", "Variable Player Powers", "Variable Set-up", "Voting"]</t>
  </si>
  <si>
    <t>["Scott Schomburg"]</t>
  </si>
  <si>
    <t>Modern Warfare, Political, Wargame</t>
  </si>
  <si>
    <t>/thumbs/165-twilight-struggle.jpg</t>
  </si>
  <si>
    <t>2025-09-16T22:49:59.802424</t>
  </si>
  <si>
    <t>165-twilight-struggle.jpg</t>
  </si>
  <si>
    <t>Now the trumpet summons us again, not as a call to bear arms, though arms we need; not as a call to battle, though embattled we are – but a call to bear the burden of a long twilight struggle. – John F. Kennedy
In 1945, unlikely allies toppled Hitler's war machine, while humanity's most devastating weapons forced the Japanese Empire to its knees in a storm of fire. Where once there stood many great powers, there then stood only two. The world had scant months to sigh its collective relief before a new conflict threatened. Unlike the titanic struggles of the preceding decades, this conflict would be waged not primarily by soldiers and tanks, but by spies and politicians, scientists and intellectuals, artists and traitors.
Twilight Struggle is a two-player game simulating the forty-five year dance of intrigue, prestige, and occasional flares of warfare between the Soviet Union and the United States. The entire world is the stage on which these two titans fight to make the world safe for their own ideologies and ways of life. The game begins amidst the ruins of Europe as the two new "superpowers" scramble over the wreckage of the Second World War, and ends in 1989, when only the United States remained standing.
Twilight Struggle inherits its fundamental systems from the card-driven classics We the People and Hannibal: Rome vs. Carthage. It is a quick-playing, low-complexity game in that tradition. The game map is a world map of the period, whereon players move units and exert influence in attempts to gain allies and control for their superpower. As with GMT's other card-driven games, decision-making is a challenge; how to best use one's cards and units given consistently limited resources? Event cards add detail and flavor to the game. They cover a vast array of historical happenings, from the Arab-Israeli conflicts of 1948 and 1967, to Vietnam and the U.S. peace movement, to the Cuban Missile Crisis and other such incidents that brought the world to the brink of nu</t>
  </si>
  <si>
    <t>["Ananda Gupta", "Jason Matthews"]</t>
  </si>
  <si>
    <t>["GMT Games", "Asterion Press", "Bard Centrum Gier", "Chrononauts Games", "Devir", "DiceTree Games", "GaGa Games", "MINDOK", "PHALANX", "Pixie Games", "Udo Grebe Gamedesign", "Wargames Club Publishing"]</t>
  </si>
  <si>
    <t>["Action / Event", "Advantage Token", "Area Majority / Influence", "Campaign / Battle Card Driven", "Dice Rolling", "Events", "Hand Management", "Simulation", "Simultaneous Action Selection", "Sudden Death Ending", "Tug of War", "Variable Set-up"]</t>
  </si>
  <si>
    <t>["Viktor Csete", "Rodger B. MacGowan", "Chechu Nieto", "Guillaume Ries", "Mark Simonitch"]</t>
  </si>
  <si>
    <t>/thumbs/166-ulterior-design.png</t>
  </si>
  <si>
    <t>2025-09-16T22:50:00.348792</t>
  </si>
  <si>
    <t>166-ulterior-design.png</t>
  </si>
  <si>
    <t xml:space="preserve">You always try to keep up with the latest home-decorating trends, and now that might pay off if your home catches the eye of a judge from Decor Rate magazine. You could win a prize and have your home featured in their publication.
Players start Ulterior Design by revealing one current trend card face up in a central area, then they place one card from their hand face up in their area. On each turn after that, a player plays one of their three hand cards to add to their own house (redecorate), to influence what is trending (by adding a card to the central area), or to sabotage a rival (by adding their card to an opponent's house). Cards are split down the middle with some combination of interior decorations (houseplants, paintings and lamps) on each half, and they must be played so that they overlap at least one half of an already played card.
To end their turn, they refill their hand, then reveal an event card, which may be a judge, a reshuffle, or crickets. Judges are looking for the right number of plants, portraits, or lamps. The player who most closely matches the total number of items in the current trend receives an award; in a tie, the award goes to whoever played least recently as they were trending before it was cool.
The first player to collect three awards wins.
</t>
  </si>
  <si>
    <t>["Andy Bell"]</t>
  </si>
  <si>
    <t>["Hand Management", "Layering"]</t>
  </si>
  <si>
    <t>Card Game, Puzzle, Real-time</t>
  </si>
  <si>
    <t>/thumbs/167-unlock-short-adventures--red-mask.jpg</t>
  </si>
  <si>
    <t>2025-09-16T22:50:00.832151</t>
  </si>
  <si>
    <t>167-unlock-short-adventures--red-mask.jpg</t>
  </si>
  <si>
    <t>Unlock! Short Adventures: it's Unlock, only shorter!
Unlock Short Adventures are 30 to 45 minute Unlocks in a small format, ideal for pocketing or giving as a gift. Unlock! is a cooperative card game inspired by escape rooms.  Unlock! brings these experiences into your home, around a table. After familiarizing yourself with the context of the scenario, you begin your adventure in a room (a location map showing various numbers). Search the room for objects! Beware: some may be hidden! Visual and audio puzzles slow your progress. It's up to you to cooperate with your partners to advance and finish on time.
Unlock!, an interactive game combining traditional hardware and mobile application
To play, you need the free Unlock! app, compatible with Android and iOS phones and tablets. It allows you to obtain clues, locate hidden objects and enter the codes you discover. The app makes the game very real. It adds to the atmosphere, with music dedicated to each adventure, audio puzzles, terrible penalties and a fatal countdown.
Unlock ! Short Adventures : Red Mask !
An Escape room in your living room!
The app sets the pace and mood for 30-minute games. The puzzles, the app, the clues, the timer - all from Unlock!
Unlock ! Short Adventures : c'est Unlock mais en plus court !
Unlock Short Adventures, ce sont des Unlock de 30 à 45 minutes en petit format, pratique à mettre dans la poche ou à offrir pour faire découvrir le jeu. Unlock ! est un jeu de carte coopératif inspiré des escape rooms.  Unlock! vous fait vivre ces expériences chez vous, autour d'une table. Après avoir pris connaissance du contexte du scénario, vous commencez votre aventure dans une pièce (une carte de lieu qui indique divers numéros). Fouillez-la pour trouver des objets ! Attention : certains peuvent être cachés ! Des énigmes visuelles ou audio ralentissent votre progression. À vous de coopérer avec vos partenaires pour avancer et terminer dans les temps.
Unlock !, un jeu interactif qui combine matériel t</t>
  </si>
  <si>
    <t>["Cyril Demaegd"]</t>
  </si>
  <si>
    <t>["Space Cowboys", "G\u00e9m Klub Kft."]</t>
  </si>
  <si>
    <t>["Cooperative Game", "Real-Time"]</t>
  </si>
  <si>
    <t>["Neriac"]</t>
  </si>
  <si>
    <t>Card Game, Children's Game, Comic Book / Strip, Movies / TV / Radio theme, Number</t>
  </si>
  <si>
    <t>/thumbs/168-uno.jpg</t>
  </si>
  <si>
    <t>2025-09-16T22:50:01.375961</t>
  </si>
  <si>
    <t>168-uno.jpg</t>
  </si>
  <si>
    <t xml:space="preserve">Players race to empty their hands and catch opposing players with cards left in theirs, which score points. In turns, players attempt to play a card by matching its color, number, or word to the topmost card on the discard pile. If unable to play, players draw a card from the draw pile, and if still unable to play, they pass their turn. Wild and special cards spice things up a bit.
UNO is a commercial version of Crazy Eights, a public domain card game played with a standard deck of playing cards.
This entry includes all themed versions of UNO that do not include new cards.
</t>
  </si>
  <si>
    <t>["Merle Robbins"]</t>
  </si>
  <si>
    <t>["(Unknown)", "AMIGO", "AS Manufacturas", "ASS Altenburger Spielkarten", "Borras Plana S.A.", "Canada Games Company Lmt.", "Clipper", "Desyllas Games", "Ensky", "Fundex", "Gebr. Ludwigs oHG", "Gibsons", "El Greco", "Grow Jogos e Brinquedos", "Homax", "International Games", "Korea Boardgames", "Mattel, Inc.", "N.W. Damm &amp; S\u00f8n (Damm)", "Nilco S.A.", "\u00d6sterreichische Post", "Royal National Institute of Blind People", "Ruibal Hermanos S.A.", "Sababa Toys, Inc.", "Spear's Games", "Super Impulse", "Waddingtons"]</t>
  </si>
  <si>
    <t>["Hand Management", "Lose a Turn", "Matching", "Take That"]</t>
  </si>
  <si>
    <t>["Shepard Fairey", "Keith Haring", "Kinetic", "Jeff Kinney", "Takashi Murakami", "Warleson Oliveira", "Merle Robbins", "Orlando Villagran"]</t>
  </si>
  <si>
    <t>Adventure, American West</t>
  </si>
  <si>
    <t>/thumbs/169-western-legends.png</t>
  </si>
  <si>
    <t>2025-09-16T22:50:01.865406</t>
  </si>
  <si>
    <t>169-western-legends.png</t>
  </si>
  <si>
    <t xml:space="preserve">Historic characters from the American Wild West face off and write new legends across the face of history! Gather your gun, your mount, and your grit as you forge your path into the history books.
Western Legends is an open-world sandbox tabletop adventure for 2-6 players set in the American Wild West. Players assume the roles of historical figures of the era, earning their legendary status in a variety of ways: gamble, drive cattle, prospect for gold, rob the bank, fight bandits, pursue stories, become an outlaw, keep the peace. The possibilities are darn near endless.
Each player's turn starts with drawing poker cards and/or gaining cash. Then they choose three actions. Possible actions include: move on the map (how far depends on whether they have a mount), doing a location-specific action (such as mine for gold if they are at a gold mine, gamble if they're in a saloon, etc.), fight other players at the same location (either duel them, rob them, or arrest them if they're wanted), play poker cards that have action abilities, etc. Legendary Points (LPs) are earned based on the outcomes of many of these actions, and the winner is whoever has the most LPs at the end of the game.
Key Points
- Award-winning gaming experience set in the American West!
- Beautiful artwork, and presentation brings this highly thematic game to life.
- Intuitive gameplay and choices lets you write your own legend every game!
Note: The Russian edition of Western Legends contains two expansions packaged inside the box and thus has its own entry here: Ð›ÐµÐ³ÐµÐ½Ð´Ñ‹ Ð”Ð¸ÐºÐ¾Ð³Ð¾ Ð—Ð°Ð¿Ð°Ð´Ð° (Western Legends)
</t>
  </si>
  <si>
    <t>["Herv\u00e9 Lema\u00eetre"]</t>
  </si>
  <si>
    <t>["Kolossal Games", "Board Game Box", "Conclave Editora", "Corax Games", "Funiverse", "G\u00e9m Klub Kft.", "Maldito Games", "Matagot", "MINDOK", "MS Edizioni", "Surfin' Meeple China", "WoodCat"]</t>
  </si>
  <si>
    <t>["Action Points", "Area Movement", "Betting and Bluffing", "Card Play Conflict Resolution", "Dice Rolling", "End Game Bonuses", "Hand Management", "Pick-up and Deliver", "Take That", "Variable Player Powers"]</t>
  </si>
  <si>
    <t>["Roland MacDonald"]</t>
  </si>
  <si>
    <t>Animals, Economic, Educational</t>
  </si>
  <si>
    <t>/thumbs/170-wingspan-asia.jpg</t>
  </si>
  <si>
    <t>2025-09-16T22:50:02.342089</t>
  </si>
  <si>
    <t>170-wingspan-asia.jpg</t>
  </si>
  <si>
    <t xml:space="preserve">Wingspan: Asia introduces the diverse and vibrant birds of the Asian continent. As always, the objective is to earn the most points by playing birds, achieving objectives, and laying eggs across your habitats. This release serves multiple roles within the Wingspan universe!
Wingspan: Asia can be played as standalone game:
  - 2 players using a new “duet mode,” which includes its own boards and rules tailored for two-player gameplay.
  - 3-5 players - this game can be played completely on its own without the base game Wingspan. It includes boards that can be used with or without the nectar resource introduced in Wingspan: Oceania
As an expansion: Wingspan: Asia adds new bird and bonus cards to the original Wingspan and its other expansions.
With Flock Mode: play Wingspan with 6–7 players through the new “flock mode,” which requires the player components from the original game.
</t>
  </si>
  <si>
    <t>["Dice Rolling", "End Game Bonuses", "Hand Management", "Open Drafting", "Push Your Luck", "Set Collection", "Solo / Solitaire Game"]</t>
  </si>
  <si>
    <t>["Ana Maria Martinez Jaramillo", "Natalia Rojas"]</t>
  </si>
  <si>
    <t>Card Game, Educational</t>
  </si>
  <si>
    <t>/thumbs/171-world-changers.png</t>
  </si>
  <si>
    <t>2025-09-18T05:38:36.620176</t>
  </si>
  <si>
    <t>171-world-changers.png</t>
  </si>
  <si>
    <t xml:space="preserve">Who would you take to another planet if Earth were no longer inhabitable? What if you could pick people from long bygone eras?
Turns out that you are the captain of an interstellar spaceship, and you need to assemble your crew to live on a new planet. You can recruit them from historical persons throughout the whole of human history, but each person has their own peculiarities. Can you make the best team to let humanity thrive once more?
In World Changers, players draft cards from a common display with each card having an unique effect and a Legacy value. On their turn, players can either "invite" or "pass", with invite adding a card to the player's display, that is, a member of that player's team. Each card's effect is triggered either when the card is taken or when certain conditions are met. When no cards are left to invite or when each player passes in succession, the game ends and the player with the highest total Legacy of their members wins.
The game includes a booklet full of art and stories of the 32 historical persons featured in the game!
—description from publisher
</t>
  </si>
  <si>
    <t>["THEKI"]</t>
  </si>
  <si>
    <t>["Korea Boardgames", "Cheeky Parrot Games", "funbot", "Swan Panasia Co., Ltd.", "Zito! \u038f\u03c1\u03b1 \u03b3\u03b9\u03b1 \u03c0\u03b1\u03b9\u03c7\u03bd\u03af\u03b4\u03b9"]</t>
  </si>
  <si>
    <t>["End Game Bonuses", "Open Drafting", "Set Collection", "Solo / Solitaire Game"]</t>
  </si>
  <si>
    <t>["Alba Ballesta Gonz\u00e1lez"]</t>
  </si>
  <si>
    <t>Children's Game, Fighting, Horror, Zombies</t>
  </si>
  <si>
    <t>/thumbs/172-zombie-kidz-evolution.jpg</t>
  </si>
  <si>
    <t>2025-09-18T05:38:54.475421</t>
  </si>
  <si>
    <t>172-zombie-kidz-evolution.jpg</t>
  </si>
  <si>
    <t xml:space="preserve">Zombie Kidz Evolution is the first "legacy"-style game for kids, with basic gameplay similar to the 2013 title Zombie Kidz — but things will quickly evolve!
In the game, the young players are at school when zombies start to attack, infiltrating the entryways, then barring the way to classrooms. Players move through rooms and entryways to eliminate zombies and keep the zombie reserve full. If a zombie must enter the school but none are available, then the school has been overrun and the players lose. To win the game, players need to lock each of the four entryways as apparently the custodian has abandoned the post and given up the school for lost.
As players get better, they can complete missions, track their development through a trophy-sticker system reminiscent of video games, and open envelopes that contain new material for the game, upping the challenge they face while also providing them with new powers and new heroes as well.
</t>
  </si>
  <si>
    <t>["Annick Lobet"]</t>
  </si>
  <si>
    <t>["Scorpion Masqu\u00e9", "ADC Blackfire Entertainment", "Curiosity Games", "FoxGames", "Gal\u00e1pagos Jogos", "Geekach LLC", "Happy Baobab", "Lex Games", "Lifestyle Boardgames Ltd", "MIPL", "Oliphante", "Reflexshop", "Salta da Caixa", "Siam Board Games", "Sugorokuya", "Yaofish Games", "Zito! \u038f\u03c1\u03b1 \u03b3\u03b9\u03b1 \u03c0\u03b1\u03b9\u03c7\u03bd\u03af\u03b4\u03b9"]</t>
  </si>
  <si>
    <t>["Area Movement", "Cooperative Game", "Dice Rolling", "Legacy Game", "Variable Player Powers"]</t>
  </si>
  <si>
    <t>["Annick Lobet", "Nikao"]</t>
  </si>
  <si>
    <t>Card Game, Math, Number</t>
  </si>
  <si>
    <t>/thumbs/173-sleeping-queens-2-the-rescue.png</t>
  </si>
  <si>
    <t>2025-09-20T20:57:45.045214</t>
  </si>
  <si>
    <t>173-sleeping-queens-2-the-rescue.png</t>
  </si>
  <si>
    <t xml:space="preserve">In Sleeping Queens 2: The Rescue!, the Pancake Queen, the Ladybug Queen, and their friends return with some new characters and a new mission: Save the kings!
Play queens to rescue kings from a parade of perilous predicaments. Find a magical companion to aid your quest, but watch out for Wild Gnomes, Sleeping Willows, and the ever-sneaky Switch Witch! Each player has a knight in front of themselves with a special power, but don't get too attached because if anyone rolls a dragon on the die, all the knights move left. Save the most kings and crown yourself the royal hero!
—description from the publisher
</t>
  </si>
  <si>
    <t>["Miranda Evarts"]</t>
  </si>
  <si>
    <t>["Gamewright", "AURUM, Inc.", "Lifestyle Boardgames Ltd", "L\u00fadilo", "Rebel Sp. z o.o.", "Reflexshop"]</t>
  </si>
  <si>
    <t>["Hand Management", "Set Collection", "Take That"]</t>
  </si>
  <si>
    <t>["Jimmy Pickering"]</t>
  </si>
  <si>
    <t>Granny Wars: A Game of Tit for Tat</t>
  </si>
  <si>
    <t>nz_designer</t>
  </si>
  <si>
    <t>amazon.com.au - 11/09/2025</t>
  </si>
  <si>
    <t>whitcoulls.co.nz - 11/09/2025</t>
  </si>
  <si>
    <t>popstop.co.nz - 11/09/2025</t>
  </si>
  <si>
    <t>Magic: The Gathering – Arena of the Planeswalkers</t>
  </si>
  <si>
    <t>Fantasy, Fighting, Miniatures, Wargame</t>
  </si>
  <si>
    <t>/thumbs/174-magic-the-gathering--arena-of-the-planeswalker.jpg</t>
  </si>
  <si>
    <t>https://cf.geekdo-images.com/pjsa1dpZ4iv6C1fbMxxRtA__original/img/yNIirrKGLlcV4gzk0og9iyXqdi0=/0x0/filters:format(jpeg)/pic2411639.jpg</t>
  </si>
  <si>
    <t>2025-09-21T21:27:51.369274</t>
  </si>
  <si>
    <t>174-magic-the-gathering--arena-of-the-planeswalker.jpg</t>
  </si>
  <si>
    <t xml:space="preserve">In the Magic: The Gathering – Arena of the Planeswalkers, players customize the battlefield by designing the map then placing terrain and powerful glyphs. Then players choose one of five different Planeswalkers and move their figure and unique creature squads around the map in a race to out-maneuver opponents and gain tactical advantages! Cast devastating spells, summon powerful squads, and tap into your unique Planeswalker abilities to defeat your opponents. Be the last Planeswalker standing to win!
The game takes place on the drifting, mana-rich world of Shandalar.
</t>
  </si>
  <si>
    <t>["James D'Aloisio", "Ethan Fleischer", "Craig Van Ness"]</t>
  </si>
  <si>
    <t>["Hasbro", "Wizards of the Coast"]</t>
  </si>
  <si>
    <t>["Dice Rolling", "Grid Movement", "Hand Management", "Hexagon Grid", "Modular Board", "Team-Based Game"]</t>
  </si>
  <si>
    <t>Row Labels</t>
  </si>
  <si>
    <t>Grand Total</t>
  </si>
  <si>
    <t>https://www.amazon.com.au/Atlantis-Rising-2nd-Board-Game/dp/B07XWTD5ZC</t>
  </si>
  <si>
    <t>https://www.amazon.com.au/DiceTree-Games-Caesar-Board-Game/dp/B0BKYXWK8K</t>
  </si>
  <si>
    <t>https://www.amazon.com.au/Hasbro-Catch-Phrase/dp/B00000IWEU</t>
  </si>
  <si>
    <t>https://www.gamesmen.com.au/catch-phrase-vintage-bookshelf-edition-board-game?srsltid=AfmBOorsIO6uPponU9IrDkqslbJQl1d_BX-rnpBBo2G63zIvn7HiiDim</t>
  </si>
  <si>
    <t>https://popstop.co.nz/product/chinatown/?srsltid=AfmBOooJ32Kx8SrvvlXhyBxQIbGw5b10gz6cl74AHp1TtfPl5FUHD_O2</t>
  </si>
  <si>
    <t>https://www.amazon.com.au/Blue-Orange-Games-Cross-Clues/dp/B087YYLSJ8</t>
  </si>
  <si>
    <t>https://www.amazon.com.au/Letter-Tycoon-Family-Players-Select/dp/B0CQ5K3HDV</t>
  </si>
  <si>
    <t>https://www.gamesmen.com.au/marco-polo-ii-in-the-service-of-the-khan-board-game?srsltid=AfmBOopxCzy3CewlD9G6rnd61UYi4zhnheCyRtPu_6l3RpN-wt7iOw1m</t>
  </si>
  <si>
    <t>https://www.amazon.com.au/Tour-USA-Europe-Players-Minute/dp/B08W2KN39V</t>
  </si>
  <si>
    <t>https://www.amazon.com.au/Board-Games-Praga-Caput-Regni/dp/B08KPT6TPC</t>
  </si>
  <si>
    <t>https://www.mightyape.co.nz/mn/buy/latestbuy-allplay-qe-board-game-227737/?utm_source=google&amp;utm_medium=product_listing_ads&amp;gad_source=1&amp;gad_campaignid=22149323016&amp;gbraid=0AAAAADqxfimr4B35lk-SDsy33QuJPxB9O&amp;gclid=Cj0KCQjwxL7GBhDXARIsAGOcmIOpH9tN8iGE5qUDQ60pL10SWIzAXxa7ztpC-vWLwyURiumfzB6KTRwaAuTCEALw_wcB</t>
  </si>
  <si>
    <t>https://www.thenile.co.nz/toys/qe-quantitative-easing-board-game/0644216135448?gad_campaignid=20312279177&amp;gad_source=1&amp;gbraid=0AAAAADOh6X8WCSt4fRsRSPPvhWrQ0EQs5&amp;gclid=Cj0KCQjwxL7GBhDXARIsAGOcmIMpSOuccXXqg2ADZsfee-d55aaz6lZfyeRygQ0QDaIbf2XYoeV78SoaAoOiEALw_wcB</t>
  </si>
  <si>
    <t>https://www.amazon.com.au/Days-of-Wonder-DO7401-Shadows/dp/0975277383</t>
  </si>
  <si>
    <t>https://www.amazon.com.au/Inside-Box-Board-Games-Terra/dp/B08MWRXDVH</t>
  </si>
  <si>
    <t>https://www.mightyape.co.nz/mn/buy/mighty-ape-telestrations-party-game-28242203/?gad_source=4&amp;gad_campaignid=22002998298&amp;gbraid=0AAAAADqxfil0ai2Ps2aB4SBzWmbFmjjhx&amp;gclid=Cj0KCQjwxL7GBhDXARIsAGOcmIOPduLk519tUwIbnlBr_t0e4z9hGDu5HgUFhopchwiHBBoAxOTB5f0aAtH3EALw_wcB</t>
  </si>
  <si>
    <t>https://www.amazon.com.au/Asmodee-TIMC01-Timeline-Challenge/dp/B016MLRG48</t>
  </si>
  <si>
    <t>https://www.amazon.com.au/Trails-of-Tucana-Spiel/dp/B08633N1V6</t>
  </si>
  <si>
    <t>https://www.amazon.com.au/Huch-DUOS-Dinge-und-Tiere/dp/B0BW2LBLZ7</t>
  </si>
  <si>
    <t>https://www.gameology.com.au/products/food-chain-magnate?srsltid=AfmBOooX1a9wDCfSv44yYUy9PGwzEyyptHU26UQ__qCZvQ1KTnSolBhp</t>
  </si>
  <si>
    <t>https://www.amazon.com.au/Hachette-Boardgames-SWIKI-Iki/dp/B09HVFJRNM</t>
  </si>
  <si>
    <t>https://www.amazon.com.au/Plan-B-Games-PZG20050-Work/dp/B07NCBG6ZJ</t>
  </si>
  <si>
    <t>https://shop.wizkids.com/products/sidereal-confluence-remastered?srsltid=AfmBOopF7nLDrwrlY5xjyXPV2sk3W3gn6fwpiXb38cW801G4lHDw9gXo</t>
  </si>
  <si>
    <t>https://www.amazon.com.au/Board-Dice-Tiletum-Game/dp/B0BTMMZ83W</t>
  </si>
  <si>
    <t>https://www.amazon.com.au/Two-Rooms-and-a-Boom/dp/B00QBDQ9GO</t>
  </si>
  <si>
    <t>amazon.com.au - 22/09/2025</t>
  </si>
  <si>
    <t>gamesmen.com.au - 22/09/2025</t>
  </si>
  <si>
    <t>popstop.co.nz - 22/09/2025</t>
  </si>
  <si>
    <t>https://letsplaygames.co.nz/times-up-title-recall-153880</t>
  </si>
  <si>
    <t>https://www.amazon.com.au/Word-Slam-Family-Party-Game/dp/B07B7PX9MS</t>
  </si>
  <si>
    <t>https://letsplaygames.co.nz/green-team-wins-again-254014</t>
  </si>
  <si>
    <t>letsplaygames.co.nz - 22/09/2025</t>
  </si>
  <si>
    <t>https://www.boardgameoracle.com/en-NZ/boardgame/price/NfBhb2GnXh/dune-imperium-uprising</t>
  </si>
  <si>
    <t>The Board Gamer NZ</t>
  </si>
  <si>
    <t>EB Games NZ</t>
  </si>
  <si>
    <t>Gamersphere</t>
  </si>
  <si>
    <t>Amazon AU</t>
  </si>
  <si>
    <t>Game Centre</t>
  </si>
  <si>
    <t>Escape Board-Em with Solve It &amp; Escape</t>
  </si>
  <si>
    <t>The Game Store</t>
  </si>
  <si>
    <t>Vagabond</t>
  </si>
  <si>
    <t>Escapist</t>
  </si>
  <si>
    <t>NZGameShop</t>
  </si>
  <si>
    <t>The Nile NZ</t>
  </si>
  <si>
    <t>TOP100</t>
  </si>
  <si>
    <t>LPG_RRP</t>
  </si>
  <si>
    <t>STATUS</t>
  </si>
  <si>
    <t>AVAILABLE</t>
  </si>
  <si>
    <t>BACK_ORDER_OOS</t>
  </si>
  <si>
    <t>NOT_FOUND</t>
  </si>
  <si>
    <t>BACK_ORDER</t>
  </si>
  <si>
    <t>LPG_Status</t>
  </si>
  <si>
    <t>QF</t>
  </si>
  <si>
    <t>Dune: Imperium – Uprising</t>
  </si>
  <si>
    <t>https://cf.geekdo-images.com/UVUkjMV_Q2paVUIUP30Vvw__small/img/H6qmxJrRFjtOAPZOfDoZ480-46I=/fit-in/200x150/filters:strip_icc()/pic7664424.jpg</t>
  </si>
  <si>
    <t>https://cf.geekdo-images.com/UVUkjMV_Q2paVUIUP30Vvw__original/img/BoUtCkd1NRO0bR1R5EwL51xIuXA=/0x0/filters:format(jpeg)/pic7664424.jpg</t>
  </si>
  <si>
    <t>3.5098</t>
  </si>
  <si>
    <t>8.70537</t>
  </si>
  <si>
    <t>Vegas Showdown</t>
  </si>
  <si>
    <t>https://cf.geekdo-images.com/QVAqFbBNxgvXPUKgIXhKUg__small/img/K6RCLGoGRoqhvLaYy3eSMCgNyik=/fit-in/200x150/filters:strip_icc()/pic8325263.jpg</t>
  </si>
  <si>
    <t>https://cf.geekdo-images.com/QVAqFbBNxgvXPUKgIXhKUg__original/img/3PFkCGeEb6AAbQKeBBUvzxYXxek=/0x0/filters:format(jpeg)/pic8325263.jpg</t>
  </si>
  <si>
    <t>2.3603</t>
  </si>
  <si>
    <t>7.14374</t>
  </si>
  <si>
    <t>884</t>
  </si>
  <si>
    <t>Catch Phrase!</t>
  </si>
  <si>
    <t>https://cf.geekdo-images.com/Ttbcf-bpqawNpqB5zp28Gw__small/img/vIhhvmQ9F6w1wtfYkKMK7PH8Bjc=/fit-in/200x150/filters:strip_icc()/pic173485.jpg</t>
  </si>
  <si>
    <t>https://cf.geekdo-images.com/Ttbcf-bpqawNpqB5zp28Gw__original/img/XgN8KXO7nxRhY00wxCbPF0AJy4w=/0x0/filters:format(jpeg)/pic173485.jpg</t>
  </si>
  <si>
    <t>1.142</t>
  </si>
  <si>
    <t>6.34536</t>
  </si>
  <si>
    <t>3697</t>
  </si>
  <si>
    <t>Electronic Catch Phrase</t>
  </si>
  <si>
    <t>https://cf.geekdo-images.com/xCzn5JNunlvOue6U1l8btg__small/img/s4nEnIiQ6DFPKN51iePJoqQDdBo=/fit-in/200x150/filters:strip_icc()/pic4991913.jpg</t>
  </si>
  <si>
    <t>https://cf.geekdo-images.com/xCzn5JNunlvOue6U1l8btg__original/img/EBVj4WL03KpG4S-QECew-OTz37E=/0x0/filters:format(jpeg)/pic4991913.jpg</t>
  </si>
  <si>
    <t>1.0943</t>
  </si>
  <si>
    <t>6.58116</t>
  </si>
  <si>
    <t>4196</t>
  </si>
  <si>
    <t>https://cf.geekdo-images.com/pjsa1dpZ4iv6C1fbMxxRtA__small/img/EKDIWt9NtFU--yzDG1YR6txtM-g=/fit-in/200x150/filters:strip_icc()/pic2411639.jpg</t>
  </si>
  <si>
    <t>2.3592</t>
  </si>
  <si>
    <t>6.14592</t>
  </si>
  <si>
    <t>4377</t>
  </si>
  <si>
    <t>https://www.boardgameoracle.com/boardgame/price/mvgxQn5FSp/catch-phrase</t>
  </si>
  <si>
    <t>https://www.boardgameoracle.com/boardgame/price/ClxyXMucO_/electronic-catch-phrase</t>
  </si>
  <si>
    <t>Dice, Racing, Sports</t>
  </si>
  <si>
    <t>/thumbs/175-long-shot-the-dice-game.jpg</t>
  </si>
  <si>
    <t>2025-09-25T21:36:41.556863</t>
  </si>
  <si>
    <t>175-long-shot-the-dice-game.jpg</t>
  </si>
  <si>
    <t xml:space="preserve">This is your ticket to the track!
In Long Shot: The Dice Game, you and up to seven other players will strategize and push your luck as the action unfolds in a tense race of eight horses. During the game you buy horses, place bets, influence race movement, and utilize special abilities. The roll of the dice determines which horses move and the options available each turn, so be ready to adapt your plans. Once three horses cross the finish line, earnings are totaled. While there are many ways to earn money during a horse race, only the player that makes the most money will be declared the winner. Will you play it safe, or risk it big on a long shot?
—description from the publisher
</t>
  </si>
  <si>
    <t>["Chris Handy (I)"]</t>
  </si>
  <si>
    <t>["Perplext", "Delirium Games", "Games7Days", "Popcorn Games", "Tabletop KZ", "Well Designed Game"]</t>
  </si>
  <si>
    <t>["Betting and Bluffing", "Bids As Wagers", "Bingo", "Dice Rolling", "End Game Bonuses", "Paper-and-Pencil", "Solo / Solitaire Game", "Victory Points as a Resource"]</t>
  </si>
  <si>
    <t>["Clau Souza"]</t>
  </si>
  <si>
    <t>Bluffing, Deduction, Movies / TV / Radio theme, Political, Science Fiction, Space Exploration, Spies / Secret Agents</t>
  </si>
  <si>
    <t>/thumbs/176-battlestar-galactica-the-board-game.jpg</t>
  </si>
  <si>
    <t>2025-09-25T21:36:50.374763</t>
  </si>
  <si>
    <t>176-battlestar-galactica-the-board-game.jpg</t>
  </si>
  <si>
    <t>Battlestar Galactica: The Board Game is an exciting game of mistrust, intrigue, and the struggle for survival. Based on the epic and widely-acclaimed Sci Fi Channel series, Battlestar Galactica: The Board Game puts players in the role of one of ten of their favorite characters from the show. Each playable character has their own abilities and weaknesses, and must all work together in order for humanity to have any hope of survival. However, one or more players in every game secretly side with the Cylons. Players must attempt to expose the traitor while fuel shortages, food contaminations, and political unrest threatens to tear the fleet apart.
After the Cylon attack on the Colonies, the battered remnants of the human race are on the run, constantly searching for the next signpost on the road to Earth. They face the threat of Cylon attack from without, and treachery and crisis from within. Humanity must work together if they are to have any hope of survival…but how can they, when any of them may, in fact, be a Cylon agent?
Battlestar Galactica: The Board Game is a semi-cooperative game for 3-6 players ages 10 and up that can be played in 2-3 hours. Players choose from pilots, political leaders, military leaders, or engineers to crew Galactica. They are also dealt a loyalty card at the start of the game to determine if they are a human or Cylon along with an assortment of skill cards based on their characters abilities. Players then can move and take actions either on Galactica, on Colonial 1, or in a Viper. They need to collect skill cards, fend off Cylon ships, and keep Galactica and the fleet jumping. Each turn also brings a Crisis Card, various tasks that players must overcome. Players need to play matching skill cards to fend off the problems; skill cards that don't match hinder the players success. Fate could be working against the crew, or there could be a traitorous Cylon! As players get closer and closer towards reaching their Earth, another round of loyalt</t>
  </si>
  <si>
    <t>["Corey Konieczka"]</t>
  </si>
  <si>
    <t>["Fantasy Flight Games", "Edge Entertainment", "Editrice Giochi", "Galakta", "Game Harbor", "Giochi Uniti", "Heidelberger Spieleverlag"]</t>
  </si>
  <si>
    <t>["Area Movement", "Dice Rolling", "Hand Management", "Hidden Roles", "Once-Per-Game Abilities", "Role Playing", "Semi-Cooperative Game", "Team-Based Game", "Traitor Game", "Variable Player Powers", "Variable Set-up", "Voting"]</t>
  </si>
  <si>
    <t>["Kevin Childress", "Andrew Navaro", "Brian Schomburg", "WiL Springer"]</t>
  </si>
  <si>
    <t>Medical, Post-Napoleonic, Trains</t>
  </si>
  <si>
    <t>/thumbs/177-iberia.jpg</t>
  </si>
  <si>
    <t>2025-09-25T21:36:57.991444</t>
  </si>
  <si>
    <t>177-iberia.jpg</t>
  </si>
  <si>
    <t xml:space="preserve">Welcome to the Iberian Peninsula! Set in 1848, Pandemic Iberia asks you to take on the roles of nurse, railwayman, rural doctor, sailor, and more to find the cures to malaria, typhus, the yellow fever, and cholera.
From Barcelona to Lisboa, you will need to travel by carriage, by boat, or by train to help the Iberian populace. While doing so, distributing purified water and developing railways will help you slow the spread of diseases in this new version of Pandemic.
Discover a unique part of the world during a historically significant time period: the construction of the first railroad in the Iberian Peninsula during the Spring of Nations.
The game comes with two variants that can be added :
     Influx of Patients : the cubes, representing patients, will tend to flock to hospitals to try to get cured. Hospitals also are a bit more powerful.
     Historical Diseases : instead of being generic, each disease has a specific power to better represent what it is (Malaria, Cholera, Yellow Fever etc.)
Part of the Pandemic series.
</t>
  </si>
  <si>
    <t>["Jes\u00fas Torres Castro", "Matt Leacock"]</t>
  </si>
  <si>
    <t>["Z-Man Games", "Asterion Press", "Devir", "Filosofia \u00c9ditions", "Gal\u00e1pagos Jogos", "Hobby Japan", "Korea Boardgames"]</t>
  </si>
  <si>
    <t>["Action Points", "Cooperative Game", "Hand Management", "Network and Route Building", "Point to Point Movement", "Set Collection", "Solo / Solitaire Game", "Trading", "Variable Player Powers"]</t>
  </si>
  <si>
    <t>["Atha Kanaani", "Chris Quilliams"]</t>
  </si>
  <si>
    <t>Dice, Music, Number, Travel</t>
  </si>
  <si>
    <t>/thumbs/178-on-tour.png</t>
  </si>
  <si>
    <t>2025-09-25T21:37:03.106107</t>
  </si>
  <si>
    <t>178-on-tour.png</t>
  </si>
  <si>
    <t xml:space="preserve">You're living the dream. You're in a band and they’re about to go on tour. It's your job to schedule the band's stops over your 100-day tour, visiting as many states as possible.
Each turn in On Tour, two ten-sided dice are rolled to make two two-digit numbers. For example, a roll of 3 and 7 creates the numbers 37 and 73. All players write each of those numbers in a state on their map. The regions they can write in are restricted by three cards turned up in the middle of the table.
At the end of the game, each player draws a route on their map, starting with a low number and visiting adjacent states with higher and higher numbers. Players get a point for every state they visit.
There are also some bonus points available, a way to get wilds, and a variable set-up step that makes every game different.
Note: The second edition supports 8 players out of the box and the map boards are double sided featuring the US map on one side (the one from the first edition) and On Tour: European Expansion of the other side.
—description from the publisher
</t>
  </si>
  <si>
    <t>["Chad DeShon"]</t>
  </si>
  <si>
    <t>["BoardGameTables.com", "Maldito Games"]</t>
  </si>
  <si>
    <t>["Bingo", "Connections", "Dice Rolling", "Line Drawing", "Network and Route Building", "Paper-and-Pencil", "Push Your Luck", "Simultaneous Action Selection", "Solo / Solitaire Game"]</t>
  </si>
  <si>
    <t>["Anca Gavril"]</t>
  </si>
  <si>
    <t>lib_cat_chk</t>
  </si>
  <si>
    <t>nz_desgn</t>
  </si>
  <si>
    <t>label</t>
  </si>
  <si>
    <t>name</t>
  </si>
  <si>
    <t>Adventure, Exploration, Fantasy, Nautical, Pirates, Travel</t>
  </si>
  <si>
    <t>/thumbs/179-forgotten-waters.jpg</t>
  </si>
  <si>
    <t>2025-09-30T20:18:32.235259</t>
  </si>
  <si>
    <t>179-forgotten-waters.jpg</t>
  </si>
  <si>
    <t xml:space="preserve">Forgotten Waters is a Crossroads Game set in a world of fantastical pirate adventure. In it, players take on the role of pirates sailing together on a ship, attempting to further their own personal stories as well as a common goal.
The world of Forgotten Waters is silly and magical, with stories designed to encourage players to explore and laugh in delight as they interact with the world around them. It's a game in which every choice can leave a lasting impact on the story, and players will want turn over every rock just to see what they find.
Forgotten Waters features five scenarios and a massive location book that provides players with tons of choices wherever they go.
—description from the publisher
</t>
  </si>
  <si>
    <t>["Mr. Bistro", "J. Arthur Ellis", "Isaac Vega"]</t>
  </si>
  <si>
    <t>["Plaid Hat Games", "CrowD Games", "Gal\u00e1pagos Jogos", "Geekach LLC", "MINDOK", "MYBG Co., Ltd.", "Portal Games", "sternenschimmermeer"]</t>
  </si>
  <si>
    <t>["Dice Rolling", "Events", "Narrative Choice / Paragraph", "Scenario / Mission / Campaign Game", "Semi-Cooperative Game", "Stat Check Resolution", "Storytelling", "Worker Placement"]</t>
  </si>
  <si>
    <t>["Anton Fadeev", "Nadezhda Tikhomirova"]</t>
  </si>
  <si>
    <t>Bluffing, Card Game, Deduction, Humor, Party Game, Word Game</t>
  </si>
  <si>
    <t>/thumbs/180-the-chameleon.png</t>
  </si>
  <si>
    <t>2025-09-30T20:18:50.811659</t>
  </si>
  <si>
    <t>180-the-chameleon.png</t>
  </si>
  <si>
    <t xml:space="preserve">A bluffing deduction game for everyone.
Each round involves two missions, depending on whether you’re the Chameleon or not.
Mission 1: You are the Chameleon. No one knows your identity except you. Your mission is to blend in, not get caught and to work out the Secret Word.
Mission 2: You are not the Chameleon. Try to work out who the Chameleon is without giving away the Secret Word.
At the beginning of the round each player receives a card that tells them if they are the Chameleon or hunting the Chameleon. Two dice are rolled and this gives everyone (except the Chameleon) the coordinates to a specific word on a Topic Card – this is the Secret Word for the round. Each Topic Card features 16 related words (e.g. countries, books, food, etc.)
Each player must now say a word relating to the Secret Word. The Chameleon can only make an educated guess based on the 16 words in front of them.
</t>
  </si>
  <si>
    <t>["Rikki Tahta"]</t>
  </si>
  <si>
    <t>["Big Potato Games", "Angry Lion Games", "Dal Tenda", "Desyllas Games", "Gameology (Gameology Romania)", "Grok Games", "HCM Kinzel", "Magellan", "Popcorn Games", "Randolph", "Reflexshop", "Trefl"]</t>
  </si>
  <si>
    <t>["Hidden Roles", "Targeted Clues", "Team-Based Game", "Voting"]</t>
  </si>
  <si>
    <t>["Ben Drummond", "Luis Francisco", "Zoe Lee", "Rikki Tahta"]</t>
  </si>
  <si>
    <t>Five Crowns</t>
  </si>
  <si>
    <t>/thumbs/181-five-crowns.jpg</t>
  </si>
  <si>
    <t>https://cf.geekdo-images.com/sPc6K1gC--QrGHkdCmD8MQ__original/img/oWAwl_4jKymtzwQ2TyuWPKJKITo=/0x0/filters:format(jpeg)/pic2869930.jpg</t>
  </si>
  <si>
    <t>2025-09-30T20:19:11.294149</t>
  </si>
  <si>
    <t>181-five-crowns.jpg</t>
  </si>
  <si>
    <t xml:space="preserve">Five Crowns is rummy with a five-suited deck and a twist. The set collection aspect of rummy is basically the same, with groups of three cards in either runs or denominations making a valid meld. The twist is that in each hand the number of cards required to create a meld increases, from three cards in the first hand to thirteen in the last. The game, therefore, consists of eleven hands.
In each hand, in addition to the six Jokers, other cards are designated as wild: in the first hand 3s are wild; in the second hand 4s are wild, and so on until in the last hand the Kings go wild. (You can remember which cards are wild because it matches the number of cards in hand, i.e., in the first hand you hold three cards and 3s are wild.) A hand ends when a player can meld all cards in her hand after the discard.
</t>
  </si>
  <si>
    <t>["Marsha J. Falco"]</t>
  </si>
  <si>
    <t>["Set Enterprises, Inc.", "999 Games", "AMIGO", "asmodee", "Broadway Toys LTD", "Coiledspring Games", "Gigamic", "Nordic Games ehf", "PlayMonster"]</t>
  </si>
  <si>
    <t>["Hand Management", "Score-and-Reset Game", "Set Collection"]</t>
  </si>
  <si>
    <t>https://cf.geekdo-images.com/5RHnNYBqmNXYvDtIeJw3pA__original/img/mD1qqRY_sjE0G6ojCQwy_mkErHY=/0x0/filters:format(jpeg)/pic403502.jpg</t>
  </si>
  <si>
    <t>["KOSMOS", "999 Games", "Br\u00e4dspel.se", "Broadway Toys LTD", "Galakta", "Ghenos Games", "GP Games", "IELLO", "Thames &amp; Kosmos"]</t>
  </si>
  <si>
    <t>["Days of Wonder", "ADC Blackfire Entertainment", "Asterion Press", "Boardgame Space", "Compaya.hu: Gamer Caf\u00e9 Kft.", "Edge Entertainment", "Enigma (Bergsala Enigma)", "Gal\u00e1pagos Jogos", "G\u00e9m Klub Kft.", "GoKids \u73a9\u6a02\u5c0f\u5b50", "HaKubia", "Happy Baobab", "Hobby Japan", "Hobby World", "KADABRA", "Kaissa Chess &amp; Games", "KDS Distribuzione", "Korea Boardgames", "Lautapelit.fi", "Lord of Boards", "Ponva d.o.o.", "Rebel Sp. z o.o.", "Runadrake", "Smart Ltd", "Well Designed Game"]</t>
  </si>
  <si>
    <t>["Alley Cat Games", "The Game Builders", "Hobby Japan", "Little Rocket Games", "Maldito Games", "Matagot", "Reflexshop", "REXhry", "Well Designed Game"]</t>
  </si>
  <si>
    <t>["Scorpion Masqu\u00e9", "2 Pionki", "ADC Blackfire Entertainment", "asmodee", "Enigma (Bergsala Enigma)", "Fantasmagoria", "Gal\u00e1pagos Jogos", "Games4you", "Games7Days", "G\u00e9m Klub Kft.", "GoKids \u73a9\u6a02\u5c0f\u5b50", "Hachette Boardgames USA", "Happy Baobab", "IELLO", "Kaissa Chess &amp; Games", "Lavka Games", "Lex Games", "Portal Games", "Regatul Jocurilor", "Salta da Caixa", "Well Designed Game"]</t>
  </si>
  <si>
    <t>["Carrie Cantwell", "Klemens Franz", "Maya Hanisch", "Rex Lee", "Jolanta Lendzioszek", "Cecilia Mok", "Gru Tsow"]</t>
  </si>
  <si>
    <t>["Stonemaier Games", "999 Games", "Arclight Games", "Bluebird Games", "Delta Vision Publishing", "Divercentro", "Feuerland Spiele", "Ghenos Games", "Kaissa Chess &amp; Games", "Korea Boardgames", "Lautapelit.fi", "Lavka Games", "Maldito Games", "Matagot", "MINDOK", "Rebel Sp. z o.o.", "Regatul Jocurilor", "Siam Board Games", "\u0406\u0433\u0440\u043e\u043c\u0430\u0433"]</t>
  </si>
  <si>
    <t>in_owned</t>
  </si>
  <si>
    <t>Pop Stop</t>
  </si>
  <si>
    <t>2.3146</t>
  </si>
  <si>
    <t>7.66715</t>
  </si>
  <si>
    <t>https://cf.geekdo-images.com/5RHnNYBqmNXYvDtIeJw3pA__small/img/k3dUd6Gx-ogOeDtH2HsyVX0n-8E=/fit-in/200x150/filters:strip_icc()/pic403502.jpg</t>
  </si>
  <si>
    <t>1.0386</t>
  </si>
  <si>
    <t>6.76917</t>
  </si>
  <si>
    <t>1298</t>
  </si>
  <si>
    <t>1.0377</t>
  </si>
  <si>
    <t>6.69507</t>
  </si>
  <si>
    <t>1838</t>
  </si>
  <si>
    <t>7.04295</t>
  </si>
  <si>
    <t>795</t>
  </si>
  <si>
    <t>7.07502</t>
  </si>
  <si>
    <t>539</t>
  </si>
  <si>
    <t>1.8867</t>
  </si>
  <si>
    <t>7.41294</t>
  </si>
  <si>
    <t>https://cf.geekdo-images.com/0XODRpReiZBFUffEcqT5-Q__small/img/SNVfF23OQafv3u8xdFolJnMkBoM=/fit-in/200x150/filters:strip_icc()/pic9156909.png</t>
  </si>
  <si>
    <t>https://cf.geekdo-images.com/0XODRpReiZBFUffEcqT5-Q__original/img/oRc0AomWA9ZtFqQDZiZbIyKE1j0=/0x0/filters:format(png)/pic9156909.png</t>
  </si>
  <si>
    <t>2.2859</t>
  </si>
  <si>
    <t>7.09118</t>
  </si>
  <si>
    <t>1.1907</t>
  </si>
  <si>
    <t>6.98019</t>
  </si>
  <si>
    <t>679</t>
  </si>
  <si>
    <t>6.54957</t>
  </si>
  <si>
    <t>2526</t>
  </si>
  <si>
    <t>3.7749</t>
  </si>
  <si>
    <t>7.92896</t>
  </si>
  <si>
    <t>58</t>
  </si>
  <si>
    <t>6.13371</t>
  </si>
  <si>
    <t>6636</t>
  </si>
  <si>
    <t>1.2712</t>
  </si>
  <si>
    <t>6.98109</t>
  </si>
  <si>
    <t>711</t>
  </si>
  <si>
    <t>1.8376</t>
  </si>
  <si>
    <t>6.68619</t>
  </si>
  <si>
    <t>1.1935</t>
  </si>
  <si>
    <t>7.18853</t>
  </si>
  <si>
    <t>415</t>
  </si>
  <si>
    <t>2.4117</t>
  </si>
  <si>
    <t>7.68724</t>
  </si>
  <si>
    <t>3.706</t>
  </si>
  <si>
    <t>7.82114</t>
  </si>
  <si>
    <t>2.3438</t>
  </si>
  <si>
    <t>6.96745</t>
  </si>
  <si>
    <t>767</t>
  </si>
  <si>
    <t>1.3885</t>
  </si>
  <si>
    <t>5.6783</t>
  </si>
  <si>
    <t>11397</t>
  </si>
  <si>
    <t>1.2513</t>
  </si>
  <si>
    <t>352</t>
  </si>
  <si>
    <t>6.7524</t>
  </si>
  <si>
    <t>996</t>
  </si>
  <si>
    <t>5.83773</t>
  </si>
  <si>
    <t>7652</t>
  </si>
  <si>
    <t>2.3145</t>
  </si>
  <si>
    <t>7.3172</t>
  </si>
  <si>
    <t>7.48245</t>
  </si>
  <si>
    <t>1.1296</t>
  </si>
  <si>
    <t>6.45738</t>
  </si>
  <si>
    <t>5.79048</t>
  </si>
  <si>
    <t>23475</t>
  </si>
  <si>
    <t>7.11924</t>
  </si>
  <si>
    <t>471</t>
  </si>
  <si>
    <t>19753</t>
  </si>
  <si>
    <t>6.41009</t>
  </si>
  <si>
    <t>4379</t>
  </si>
  <si>
    <t>4.3727</t>
  </si>
  <si>
    <t>8.07871</t>
  </si>
  <si>
    <t>27917</t>
  </si>
  <si>
    <t>2.2841</t>
  </si>
  <si>
    <t>7.51938</t>
  </si>
  <si>
    <t>1.1314</t>
  </si>
  <si>
    <t>7.08045</t>
  </si>
  <si>
    <t>544</t>
  </si>
  <si>
    <t>2.3956</t>
  </si>
  <si>
    <t>7.52016</t>
  </si>
  <si>
    <t>3.2489</t>
  </si>
  <si>
    <t>7.80098</t>
  </si>
  <si>
    <t>6.30689</t>
  </si>
  <si>
    <t>4032</t>
  </si>
  <si>
    <t>2.9919</t>
  </si>
  <si>
    <t>7.73835</t>
  </si>
  <si>
    <t>17801</t>
  </si>
  <si>
    <t>6.89555</t>
  </si>
  <si>
    <t>1006</t>
  </si>
  <si>
    <t>6.93376</t>
  </si>
  <si>
    <t>1147</t>
  </si>
  <si>
    <t>1.7124</t>
  </si>
  <si>
    <t>6.49254</t>
  </si>
  <si>
    <t>2617</t>
  </si>
  <si>
    <t>7.0481</t>
  </si>
  <si>
    <t>641</t>
  </si>
  <si>
    <t>6.50877</t>
  </si>
  <si>
    <t>1751</t>
  </si>
  <si>
    <t>1.3188</t>
  </si>
  <si>
    <t>6.54141</t>
  </si>
  <si>
    <t>1507</t>
  </si>
  <si>
    <t>1.3164</t>
  </si>
  <si>
    <t>6.16405</t>
  </si>
  <si>
    <t>3344</t>
  </si>
  <si>
    <t>1.1182</t>
  </si>
  <si>
    <t>7.1785</t>
  </si>
  <si>
    <t>6.5344</t>
  </si>
  <si>
    <t>1618</t>
  </si>
  <si>
    <t>2.1657</t>
  </si>
  <si>
    <t>7.16785</t>
  </si>
  <si>
    <t>554</t>
  </si>
  <si>
    <t>2.3421</t>
  </si>
  <si>
    <t>7.57461</t>
  </si>
  <si>
    <t>242</t>
  </si>
  <si>
    <t>1.9175</t>
  </si>
  <si>
    <t>7.52597</t>
  </si>
  <si>
    <t>1.22</t>
  </si>
  <si>
    <t>6.6666</t>
  </si>
  <si>
    <t>1209</t>
  </si>
  <si>
    <t>8.23326</t>
  </si>
  <si>
    <t>1.1015</t>
  </si>
  <si>
    <t>5.47492</t>
  </si>
  <si>
    <t>29152</t>
  </si>
  <si>
    <t>6.22916</t>
  </si>
  <si>
    <t>2689</t>
  </si>
  <si>
    <t>1.0988</t>
  </si>
  <si>
    <t>7.11618</t>
  </si>
  <si>
    <t>735</t>
  </si>
  <si>
    <t>1.3949</t>
  </si>
  <si>
    <t>6.47666</t>
  </si>
  <si>
    <t>2277</t>
  </si>
  <si>
    <t>6.93653</t>
  </si>
  <si>
    <t>771</t>
  </si>
  <si>
    <t>6.80353</t>
  </si>
  <si>
    <t>1063</t>
  </si>
  <si>
    <t>1.223</t>
  </si>
  <si>
    <t>8.05805</t>
  </si>
  <si>
    <t>1.2556</t>
  </si>
  <si>
    <t>7.38768</t>
  </si>
  <si>
    <t>843</t>
  </si>
  <si>
    <t>1.1639</t>
  </si>
  <si>
    <t>7.38598</t>
  </si>
  <si>
    <t>339</t>
  </si>
  <si>
    <t>7.32755</t>
  </si>
  <si>
    <t>306</t>
  </si>
  <si>
    <t>2.0701</t>
  </si>
  <si>
    <t>6.93574</t>
  </si>
  <si>
    <t>757</t>
  </si>
  <si>
    <t>1.1228</t>
  </si>
  <si>
    <t>7.27078</t>
  </si>
  <si>
    <t>522</t>
  </si>
  <si>
    <t>1.5825</t>
  </si>
  <si>
    <t>6.77618</t>
  </si>
  <si>
    <t>1048</t>
  </si>
  <si>
    <t>6.69556</t>
  </si>
  <si>
    <t>1659</t>
  </si>
  <si>
    <t>6.33732</t>
  </si>
  <si>
    <t>6201</t>
  </si>
  <si>
    <t>1.6738</t>
  </si>
  <si>
    <t>7.35793</t>
  </si>
  <si>
    <t>426</t>
  </si>
  <si>
    <t>1.0233</t>
  </si>
  <si>
    <t>6.47001</t>
  </si>
  <si>
    <t>3303</t>
  </si>
  <si>
    <t>2.343</t>
  </si>
  <si>
    <t>7.59436</t>
  </si>
  <si>
    <t>168</t>
  </si>
  <si>
    <t>7.37583</t>
  </si>
  <si>
    <t>342</t>
  </si>
  <si>
    <t>1.7368</t>
  </si>
  <si>
    <t>7.49753</t>
  </si>
  <si>
    <t>225</t>
  </si>
  <si>
    <t>7.67632</t>
  </si>
  <si>
    <t>682</t>
  </si>
  <si>
    <t>7.25792</t>
  </si>
  <si>
    <t>896</t>
  </si>
  <si>
    <t>6.92805</t>
  </si>
  <si>
    <t>6.8993</t>
  </si>
  <si>
    <t>2.3985</t>
  </si>
  <si>
    <t>7.01398</t>
  </si>
  <si>
    <t>745</t>
  </si>
  <si>
    <t>6.9885</t>
  </si>
  <si>
    <t>642</t>
  </si>
  <si>
    <t>1.691</t>
  </si>
  <si>
    <t>7.03122</t>
  </si>
  <si>
    <t>2.3469</t>
  </si>
  <si>
    <t>7.19559</t>
  </si>
  <si>
    <t>400</t>
  </si>
  <si>
    <t>7.61137</t>
  </si>
  <si>
    <t>190</t>
  </si>
  <si>
    <t>2.7636</t>
  </si>
  <si>
    <t>7.09064</t>
  </si>
  <si>
    <t>6.52514</t>
  </si>
  <si>
    <t>3954</t>
  </si>
  <si>
    <t>2.9736</t>
  </si>
  <si>
    <t>8.15286</t>
  </si>
  <si>
    <t>7.81667</t>
  </si>
  <si>
    <t>1.9645</t>
  </si>
  <si>
    <t>7.62225</t>
  </si>
  <si>
    <t>233</t>
  </si>
  <si>
    <t>6.68334</t>
  </si>
  <si>
    <t>1530</t>
  </si>
  <si>
    <t>2.0473</t>
  </si>
  <si>
    <t>7.05613</t>
  </si>
  <si>
    <t>570</t>
  </si>
  <si>
    <t>2.4912</t>
  </si>
  <si>
    <t>8.01412</t>
  </si>
  <si>
    <t>2.9921</t>
  </si>
  <si>
    <t>8.09</t>
  </si>
  <si>
    <t>1.8213</t>
  </si>
  <si>
    <t>7.38761</t>
  </si>
  <si>
    <t>249</t>
  </si>
  <si>
    <t>4.223</t>
  </si>
  <si>
    <t>8.54652</t>
  </si>
  <si>
    <t>2.3458</t>
  </si>
  <si>
    <t>7.59738</t>
  </si>
  <si>
    <t>142</t>
  </si>
  <si>
    <t>2.9878</t>
  </si>
  <si>
    <t>8.08281</t>
  </si>
  <si>
    <t>7.51027</t>
  </si>
  <si>
    <t>220</t>
  </si>
  <si>
    <t>7.72997</t>
  </si>
  <si>
    <t>3.4823</t>
  </si>
  <si>
    <t>7.70322</t>
  </si>
  <si>
    <t>125</t>
  </si>
  <si>
    <t>1.2763</t>
  </si>
  <si>
    <t>6.55026</t>
  </si>
  <si>
    <t>1690</t>
  </si>
  <si>
    <t>3.3352</t>
  </si>
  <si>
    <t>7.71403</t>
  </si>
  <si>
    <t>7.99476</t>
  </si>
  <si>
    <t>7.06448</t>
  </si>
  <si>
    <t>590</t>
  </si>
  <si>
    <t>1.1163</t>
  </si>
  <si>
    <t>6.84487</t>
  </si>
  <si>
    <t>7.38193</t>
  </si>
  <si>
    <t>364</t>
  </si>
  <si>
    <t>3.6641</t>
  </si>
  <si>
    <t>7.84817</t>
  </si>
  <si>
    <t>73</t>
  </si>
  <si>
    <t>7.49346</t>
  </si>
  <si>
    <t>6.98595</t>
  </si>
  <si>
    <t>1175</t>
  </si>
  <si>
    <t>1.1096</t>
  </si>
  <si>
    <t>6.8722</t>
  </si>
  <si>
    <t>7.14851</t>
  </si>
  <si>
    <t>517</t>
  </si>
  <si>
    <t>2.2336</t>
  </si>
  <si>
    <t>7.44143</t>
  </si>
  <si>
    <t>6.42503</t>
  </si>
  <si>
    <t>4776</t>
  </si>
  <si>
    <t>1.185</t>
  </si>
  <si>
    <t>7.2261</t>
  </si>
  <si>
    <t>363</t>
  </si>
  <si>
    <t>7.09871</t>
  </si>
  <si>
    <t>575</t>
  </si>
  <si>
    <t>2.4495</t>
  </si>
  <si>
    <t>7.73063</t>
  </si>
  <si>
    <t>1.4783</t>
  </si>
  <si>
    <t>7.1921</t>
  </si>
  <si>
    <t>2.062</t>
  </si>
  <si>
    <t>6.69586</t>
  </si>
  <si>
    <t>1245</t>
  </si>
  <si>
    <t>1.3565</t>
  </si>
  <si>
    <t>6.65368</t>
  </si>
  <si>
    <t>1879</t>
  </si>
  <si>
    <t>Bluffing, Deduction, Murder / Mystery, Party Game</t>
  </si>
  <si>
    <t>/thumbs/182-deception-murder-in-hong-kong.jpg</t>
  </si>
  <si>
    <t>2025-10-24T02:25:45.195901</t>
  </si>
  <si>
    <t>182-deception-murder-in-hong-kong.jpg</t>
  </si>
  <si>
    <t>Deception: Murder in Hong Kong is a game of deduction and deception for 4-12 players that plays in about 20 minutes.
In the game, players take on the roles of investigators attempting to solve a murder case – but there's a twist. The killer is one of the investigators! Each player's role and team are randomly assigned at the start of play and include the unique roles of Forensic Scientist, Witness, Investigator, Murderer, and Accomplice. While the Investigators attempt to deduce the truth, the murderer's team must deceive and mislead. This is a battle of wits!
The Forensic Scientist has the solution but can express the clues only using special scene tiles while the investigators (and the murderer) attempt to interpret the evidence. In order to succeed, the investigators must not only deduce the truth from the clues of the Forensic Scientist, they must also see through the misdirection being injected into the equation by the Murderer and Accomplice!
Find out who among you can cut through deception to find the truth and who is capable of getting away with murder!
Roles
Forensic Scientist x1
As the game master, the Forensic Scientist holds the solution to the crime. They are responsible for assisting the Investigators in identifying the “Key Evidence” and “Means of Murder.” When an Investigator does that successfully, the crime is solved and the Forensic Scientist and the Investigators win the game.
During the game, the Forensic Scientist is NOT allowed to hint to the solution with words, gestures, or eyes.
Murderer x1
When the crime takes place, the Murderer chooses 1 Clue card and 1 Means card as the solution to the crime. These will be the “Key Evidence” and “Means of Murder” respectively.
The Murderer tries to hide their role and look for a scapegoat. Even if they are identified, the Murderer still wins the game if no one correctly identifies both the “Key Evidence” and the “Means of Murder”.
Investigators x8
To solve the crime, the Investigators must anal</t>
  </si>
  <si>
    <t>["Tobey Ho"]</t>
  </si>
  <si>
    <t>["Jolly Thinkers", "Across the Board", "Angry Lion Games", "Doit Games", "G\u00e9m Klub Kft.", "Grey Fox Games", "IELLO", "Lifestyle Boardgames Ltd", "Lucrum Games", "MIPL", "Nova Era (\u041d\u043e\u0432\u0430 \u0415\u0440\u0430)", "Popcorn Games", "sternenschimmermeer", "Sunnygeeks", "SuperHeated Neurons"]</t>
  </si>
  <si>
    <t>["Communication Limits", "Deduction", "Events", "Finale Ending", "Hidden Roles", "Storytelling", "Team-Based Game", "Traitor Game", "Variable Set-up"]</t>
  </si>
  <si>
    <t>["Marcin Adamski", "Ben Carre", "Tommy Ng", "Ari Wong"]</t>
  </si>
  <si>
    <t>Bluffing, Deduction, Exploration, Party Game</t>
  </si>
  <si>
    <t>/thumbs/183-obscurio.jpg</t>
  </si>
  <si>
    <t>2025-10-24T02:26:01.601655</t>
  </si>
  <si>
    <t>183-obscurio.jpg</t>
  </si>
  <si>
    <t xml:space="preserve">The Sorcerer is out to get you! Find your way among the illusions, but beware of the traitor in your ranks!
The Grimoire guides their team towards the exit using images, upon which they point at certain details. Working together, the other players have to find the exit as quickly as possible while avoiding picking the wrong cards. However, a member of the team is a traitor looking to lead the other players astray. A wide variety of traps are on your way to the exit of the library, making player communication harder!
Obscurio is a family game, an original mix between an image-based communication game and a secret role game in which the players have to be careful when sharing ideas with their team. Supported by rich contents, Obscurio proposes a fresh new experience in its genre by putting the emphasis on the details of the images and the constant doubt created by the presence of the traitor.
Communicate efficiently and avoid the illusions on your way to escape the Sorcerer's library!
—description from the publisher
</t>
  </si>
  <si>
    <t>["L'Atelier"]</t>
  </si>
  <si>
    <t>["Libellud", "Hobby Japan", "KADABRA", "Kaissa Chess &amp; Games", "Lifestyle Boardgames Ltd"]</t>
  </si>
  <si>
    <t>["Communication Limits", "Cooperative Game", "Hidden Roles", "Traitor Game", "Variable Player Powers", "Voting"]</t>
  </si>
  <si>
    <t>["Xavier Collette", "M81 Studio"]</t>
  </si>
  <si>
    <t>2.2267</t>
  </si>
  <si>
    <t>8.08225</t>
  </si>
  <si>
    <t>3.8648</t>
  </si>
  <si>
    <t>8.16528</t>
  </si>
  <si>
    <t>1.2603</t>
  </si>
  <si>
    <t>6.58304</t>
  </si>
  <si>
    <t>1921</t>
  </si>
  <si>
    <t>1.8047</t>
  </si>
  <si>
    <t>7.4542</t>
  </si>
  <si>
    <t>447</t>
  </si>
  <si>
    <t>1.7739</t>
  </si>
  <si>
    <t>7.72284</t>
  </si>
  <si>
    <t>6.34054</t>
  </si>
  <si>
    <t>13484</t>
  </si>
  <si>
    <t>2.1933</t>
  </si>
  <si>
    <t>7.49469</t>
  </si>
  <si>
    <t>1.5056</t>
  </si>
  <si>
    <t>7.55503</t>
  </si>
  <si>
    <t>1.8462</t>
  </si>
  <si>
    <t>7.90651</t>
  </si>
  <si>
    <t>2.063</t>
  </si>
  <si>
    <t>7.54694</t>
  </si>
  <si>
    <t>327</t>
  </si>
  <si>
    <t>2.0661</t>
  </si>
  <si>
    <t>7.23914</t>
  </si>
  <si>
    <t>555</t>
  </si>
  <si>
    <t>1.2581</t>
  </si>
  <si>
    <t>7.5304</t>
  </si>
  <si>
    <t>1.3768</t>
  </si>
  <si>
    <t>6.74687</t>
  </si>
  <si>
    <t>1102</t>
  </si>
  <si>
    <t>3.0133</t>
  </si>
  <si>
    <t>7.44579</t>
  </si>
  <si>
    <t>3.3462</t>
  </si>
  <si>
    <t>7.51063</t>
  </si>
  <si>
    <t>411</t>
  </si>
  <si>
    <t>1.8316</t>
  </si>
  <si>
    <t>7.76661</t>
  </si>
  <si>
    <t>2.697</t>
  </si>
  <si>
    <t>7.91246</t>
  </si>
  <si>
    <t>1.6321</t>
  </si>
  <si>
    <t>7.60834</t>
  </si>
  <si>
    <t>1.7321</t>
  </si>
  <si>
    <t>7.26426</t>
  </si>
  <si>
    <t>1.0652</t>
  </si>
  <si>
    <t>7.04612</t>
  </si>
  <si>
    <t>1727</t>
  </si>
  <si>
    <t>1.0877</t>
  </si>
  <si>
    <t>6.88465</t>
  </si>
  <si>
    <t>1844</t>
  </si>
  <si>
    <t>7.66811</t>
  </si>
  <si>
    <t>3307</t>
  </si>
  <si>
    <t>2.2586</t>
  </si>
  <si>
    <t>6.87907</t>
  </si>
  <si>
    <t>1558</t>
  </si>
  <si>
    <t>7.35622</t>
  </si>
  <si>
    <t>2.8395</t>
  </si>
  <si>
    <t>7.76558</t>
  </si>
  <si>
    <t>5.27519</t>
  </si>
  <si>
    <t>28682</t>
  </si>
  <si>
    <t>18364</t>
  </si>
  <si>
    <t>6.72336</t>
  </si>
  <si>
    <t>10913</t>
  </si>
  <si>
    <t>6.35324</t>
  </si>
  <si>
    <t>11195</t>
  </si>
  <si>
    <t>7.66667</t>
  </si>
  <si>
    <t>3.9138</t>
  </si>
  <si>
    <t>8.55338</t>
  </si>
  <si>
    <t>20807</t>
  </si>
  <si>
    <t>2.2038</t>
  </si>
  <si>
    <t>8.01077</t>
  </si>
  <si>
    <t>6.62018</t>
  </si>
  <si>
    <t>2519</t>
  </si>
  <si>
    <t>6.4073</t>
  </si>
  <si>
    <t>11291</t>
  </si>
  <si>
    <t>2.0182</t>
  </si>
  <si>
    <t>7.60503</t>
  </si>
  <si>
    <t>229</t>
  </si>
  <si>
    <t>6.4895</t>
  </si>
  <si>
    <t>2317</t>
  </si>
  <si>
    <t>1.1667</t>
  </si>
  <si>
    <t>6.39504</t>
  </si>
  <si>
    <t>9689</t>
  </si>
  <si>
    <t>1.0359</t>
  </si>
  <si>
    <t>7.59919</t>
  </si>
  <si>
    <t>154</t>
  </si>
  <si>
    <t>7.36635</t>
  </si>
  <si>
    <t>10942</t>
  </si>
  <si>
    <t>1.2339</t>
  </si>
  <si>
    <t>7.29359</t>
  </si>
  <si>
    <t>6.68375</t>
  </si>
  <si>
    <t>2568</t>
  </si>
  <si>
    <t>1.0485</t>
  </si>
  <si>
    <t>7.6267</t>
  </si>
  <si>
    <t>6.86013</t>
  </si>
  <si>
    <t>1061</t>
  </si>
  <si>
    <t>2.1949</t>
  </si>
  <si>
    <t>7.44877</t>
  </si>
  <si>
    <t>508</t>
  </si>
  <si>
    <t>20517</t>
  </si>
  <si>
    <t>1.9496</t>
  </si>
  <si>
    <t>7.151</t>
  </si>
  <si>
    <t>1136</t>
  </si>
  <si>
    <t>1.1127</t>
  </si>
  <si>
    <t>7.50749</t>
  </si>
  <si>
    <t>326</t>
  </si>
  <si>
    <t>6.45372</t>
  </si>
  <si>
    <t>13594</t>
  </si>
  <si>
    <t>2.6996</t>
  </si>
  <si>
    <t>7.92243</t>
  </si>
  <si>
    <t>1.9873</t>
  </si>
  <si>
    <t>6.89284</t>
  </si>
  <si>
    <t>1801</t>
  </si>
  <si>
    <t>7.16451</t>
  </si>
  <si>
    <t>6.60364</t>
  </si>
  <si>
    <t>8721</t>
  </si>
  <si>
    <t>6.41017</t>
  </si>
  <si>
    <t>4806</t>
  </si>
  <si>
    <t>1.1408</t>
  </si>
  <si>
    <t>6.61364</t>
  </si>
  <si>
    <t>2587</t>
  </si>
  <si>
    <t>1.4316</t>
  </si>
  <si>
    <t>7.01544</t>
  </si>
  <si>
    <t>1246</t>
  </si>
  <si>
    <t>3.482</t>
  </si>
  <si>
    <t>8.25305</t>
  </si>
  <si>
    <t>6.3814</t>
  </si>
  <si>
    <t>12448</t>
  </si>
  <si>
    <t>6.51333</t>
  </si>
  <si>
    <t>20501</t>
  </si>
  <si>
    <t>6.92937</t>
  </si>
  <si>
    <t>6315</t>
  </si>
  <si>
    <t>1.1027</t>
  </si>
  <si>
    <t>7.13788</t>
  </si>
  <si>
    <t>7.39316</t>
  </si>
  <si>
    <t>7732</t>
  </si>
  <si>
    <t>3.7146</t>
  </si>
  <si>
    <t>7.95968</t>
  </si>
  <si>
    <t>1.5996</t>
  </si>
  <si>
    <t>7.58374</t>
  </si>
  <si>
    <t>1.6897</t>
  </si>
  <si>
    <t>7.25499</t>
  </si>
  <si>
    <t>1409</t>
  </si>
  <si>
    <t>1.1556</t>
  </si>
  <si>
    <t>7.10774</t>
  </si>
  <si>
    <t>576</t>
  </si>
  <si>
    <t>2.1667</t>
  </si>
  <si>
    <t>7.22719</t>
  </si>
  <si>
    <t>922</t>
  </si>
  <si>
    <t>1.3025</t>
  </si>
  <si>
    <t>7.52932</t>
  </si>
  <si>
    <t>3.4526</t>
  </si>
  <si>
    <t>8.11051</t>
  </si>
  <si>
    <t>22</t>
  </si>
  <si>
    <t>1.4742</t>
  </si>
  <si>
    <t>7.504</t>
  </si>
  <si>
    <t>273</t>
  </si>
  <si>
    <t>1.6883</t>
  </si>
  <si>
    <t>7.22009</t>
  </si>
  <si>
    <t>1277</t>
  </si>
  <si>
    <t>2.9176</t>
  </si>
  <si>
    <t>8.67982</t>
  </si>
  <si>
    <t>31</t>
  </si>
  <si>
    <t>1.778</t>
  </si>
  <si>
    <t>7.4185</t>
  </si>
  <si>
    <t>1.317</t>
  </si>
  <si>
    <t>7.37798</t>
  </si>
  <si>
    <t>277</t>
  </si>
  <si>
    <t>6.0351</t>
  </si>
  <si>
    <t>19691</t>
  </si>
  <si>
    <t>1.856</t>
  </si>
  <si>
    <t>7.55732</t>
  </si>
  <si>
    <t>8.41608</t>
  </si>
  <si>
    <t>738</t>
  </si>
  <si>
    <t>2.8991</t>
  </si>
  <si>
    <t>7.7473</t>
  </si>
  <si>
    <t>2.0452</t>
  </si>
  <si>
    <t>8.0702</t>
  </si>
  <si>
    <t>1.6025</t>
  </si>
  <si>
    <t>7.06621</t>
  </si>
  <si>
    <t>656</t>
  </si>
  <si>
    <t>1.7614</t>
  </si>
  <si>
    <t>6.97809</t>
  </si>
  <si>
    <t>1445</t>
  </si>
  <si>
    <t>4.96428</t>
  </si>
  <si>
    <t>29146</t>
  </si>
  <si>
    <t>6.93134</t>
  </si>
  <si>
    <t>10660</t>
  </si>
  <si>
    <t>1.0756</t>
  </si>
  <si>
    <t>6.73107</t>
  </si>
  <si>
    <t>6.85424</t>
  </si>
  <si>
    <t>2236</t>
  </si>
  <si>
    <t>6.7694</t>
  </si>
  <si>
    <t>2451</t>
  </si>
  <si>
    <t>4.3431</t>
  </si>
  <si>
    <t>8.5689</t>
  </si>
  <si>
    <t>2.8953</t>
  </si>
  <si>
    <t>7.96616</t>
  </si>
  <si>
    <t>1.1203</t>
  </si>
  <si>
    <t>7.21875</t>
  </si>
  <si>
    <t>507</t>
  </si>
  <si>
    <t>2.8517</t>
  </si>
  <si>
    <t>7.60356</t>
  </si>
  <si>
    <t>280</t>
  </si>
  <si>
    <t>2.4745</t>
  </si>
  <si>
    <t>8.01001</t>
  </si>
  <si>
    <t>2.6557</t>
  </si>
  <si>
    <t>8.22765</t>
  </si>
  <si>
    <t>6.02952</t>
  </si>
  <si>
    <t>17010</t>
  </si>
  <si>
    <t>6.98217</t>
  </si>
  <si>
    <t>998</t>
  </si>
  <si>
    <t>7.58109</t>
  </si>
  <si>
    <t>565</t>
  </si>
  <si>
    <t>1.9579</t>
  </si>
  <si>
    <t>7.40497</t>
  </si>
  <si>
    <t>6.90703</t>
  </si>
  <si>
    <t>1105</t>
  </si>
  <si>
    <t>7.11185</t>
  </si>
  <si>
    <t>2291</t>
  </si>
  <si>
    <t>7.71295</t>
  </si>
  <si>
    <t>123</t>
  </si>
  <si>
    <t>3.7886</t>
  </si>
  <si>
    <t>8.54113</t>
  </si>
  <si>
    <t>7.44612</t>
  </si>
  <si>
    <t>672</t>
  </si>
  <si>
    <t>2.0713</t>
  </si>
  <si>
    <t>7.57862</t>
  </si>
  <si>
    <t>230</t>
  </si>
  <si>
    <t>3.044</t>
  </si>
  <si>
    <t>8.36808</t>
  </si>
  <si>
    <t>3.8676</t>
  </si>
  <si>
    <t>8.57313</t>
  </si>
  <si>
    <t>1.2487</t>
  </si>
  <si>
    <t>6.8113</t>
  </si>
  <si>
    <t>1031</t>
  </si>
  <si>
    <t>6.66488</t>
  </si>
  <si>
    <t>3612</t>
  </si>
  <si>
    <t>2.1995</t>
  </si>
  <si>
    <t>7.50512</t>
  </si>
  <si>
    <t>1.889</t>
  </si>
  <si>
    <t>7.56563</t>
  </si>
  <si>
    <t>171</t>
  </si>
  <si>
    <t>7.46501</t>
  </si>
  <si>
    <t>6.75674</t>
  </si>
  <si>
    <t>2759</t>
  </si>
  <si>
    <t>1.8089</t>
  </si>
  <si>
    <t>7.07115</t>
  </si>
  <si>
    <t>959</t>
  </si>
  <si>
    <t>7.68682</t>
  </si>
  <si>
    <t>774</t>
  </si>
  <si>
    <t>2.2302</t>
  </si>
  <si>
    <t>7.76577</t>
  </si>
  <si>
    <t>2.5062</t>
  </si>
  <si>
    <t>8.24586</t>
  </si>
  <si>
    <t>1.2404</t>
  </si>
  <si>
    <t>7.18064</t>
  </si>
  <si>
    <t>482</t>
  </si>
  <si>
    <t>7.05005</t>
  </si>
  <si>
    <t>2959</t>
  </si>
  <si>
    <t>2.2599</t>
  </si>
  <si>
    <t>7.43164</t>
  </si>
  <si>
    <t>1.5852</t>
  </si>
  <si>
    <t>7.42774</t>
  </si>
  <si>
    <t>7.36734</t>
  </si>
  <si>
    <t>855</t>
  </si>
  <si>
    <t>2.7437</t>
  </si>
  <si>
    <t>7.61962</t>
  </si>
  <si>
    <t>3.0477</t>
  </si>
  <si>
    <t>7.53819</t>
  </si>
  <si>
    <t>269</t>
  </si>
  <si>
    <t>3.2662</t>
  </si>
  <si>
    <t>7.3267</t>
  </si>
  <si>
    <t>965</t>
  </si>
  <si>
    <t>1.0811</t>
  </si>
  <si>
    <t>6.96755</t>
  </si>
  <si>
    <t>2360</t>
  </si>
  <si>
    <t>1.2493</t>
  </si>
  <si>
    <t>7.08685</t>
  </si>
  <si>
    <t>664</t>
  </si>
  <si>
    <t>3.0696</t>
  </si>
  <si>
    <t>8.41468</t>
  </si>
  <si>
    <t>7.38992</t>
  </si>
  <si>
    <t>1945</t>
  </si>
  <si>
    <t>2.9029</t>
  </si>
  <si>
    <t>7.63091</t>
  </si>
  <si>
    <t>204</t>
  </si>
  <si>
    <t>2.8271</t>
  </si>
  <si>
    <t>7.99401</t>
  </si>
  <si>
    <t>2.1804</t>
  </si>
  <si>
    <t>7.38774</t>
  </si>
  <si>
    <t>393</t>
  </si>
  <si>
    <t>7.04679</t>
  </si>
  <si>
    <t>1662</t>
  </si>
  <si>
    <t>6.63086</t>
  </si>
  <si>
    <t>3040</t>
  </si>
  <si>
    <t>6.66019</t>
  </si>
  <si>
    <t>3693</t>
  </si>
  <si>
    <t>7.01337</t>
  </si>
  <si>
    <t>1854</t>
  </si>
  <si>
    <t>3.1695</t>
  </si>
  <si>
    <t>7.89432</t>
  </si>
  <si>
    <t>163</t>
  </si>
  <si>
    <t>1.0625</t>
  </si>
  <si>
    <t>6.65797</t>
  </si>
  <si>
    <t>1728</t>
  </si>
  <si>
    <t>7.1249</t>
  </si>
  <si>
    <t>7.14541</t>
  </si>
  <si>
    <t>3994</t>
  </si>
  <si>
    <t>1.0532</t>
  </si>
  <si>
    <t>6.78423</t>
  </si>
  <si>
    <t>1166</t>
  </si>
  <si>
    <t>2.0111</t>
  </si>
  <si>
    <t>7.12649</t>
  </si>
  <si>
    <t>606</t>
  </si>
  <si>
    <t>1.6304</t>
  </si>
  <si>
    <t>7.01471</t>
  </si>
  <si>
    <t>2100</t>
  </si>
  <si>
    <t>7.02957</t>
  </si>
  <si>
    <t>1221</t>
  </si>
  <si>
    <t>2.251</t>
  </si>
  <si>
    <t>7.3907</t>
  </si>
  <si>
    <t>283</t>
  </si>
  <si>
    <t>6.86658</t>
  </si>
  <si>
    <t>6.88182</t>
  </si>
  <si>
    <t>1700</t>
  </si>
  <si>
    <t>2.9023</t>
  </si>
  <si>
    <t>8.09321</t>
  </si>
  <si>
    <t>440</t>
  </si>
  <si>
    <t>1.0833</t>
  </si>
  <si>
    <t>6.40429</t>
  </si>
  <si>
    <t>5421</t>
  </si>
  <si>
    <t>4.5716</t>
  </si>
  <si>
    <t>8.17539</t>
  </si>
  <si>
    <t>1.9415</t>
  </si>
  <si>
    <t>7.5482</t>
  </si>
  <si>
    <t>348</t>
  </si>
  <si>
    <t>2.934</t>
  </si>
  <si>
    <t>8.07374</t>
  </si>
  <si>
    <t>28</t>
  </si>
  <si>
    <t>1.7488</t>
  </si>
  <si>
    <t>6.94066</t>
  </si>
  <si>
    <t>764</t>
  </si>
  <si>
    <t>7.45543</t>
  </si>
  <si>
    <t>2.2525</t>
  </si>
  <si>
    <t>7.70752</t>
  </si>
  <si>
    <t>6.86529</t>
  </si>
  <si>
    <t>2247</t>
  </si>
  <si>
    <t>1.4087</t>
  </si>
  <si>
    <t>7.01578</t>
  </si>
  <si>
    <t>1098</t>
  </si>
  <si>
    <t>7.46196</t>
  </si>
  <si>
    <t>2.9231</t>
  </si>
  <si>
    <t>7.81739</t>
  </si>
  <si>
    <t>310</t>
  </si>
  <si>
    <t>https://cf.geekdo-images.com/XvWGuvDebUB5Vht9x00ZMg__small/img/gMRbZnTJmA5KWBEzU5Q_v6vUEK0=/fit-in/200x150/filters:strip_icc()/pic9147640.png</t>
  </si>
  <si>
    <t>https://cf.geekdo-images.com/XvWGuvDebUB5Vht9x00ZMg__original/img/ayjwmNxAcELTBfRDDfApSNGsWN4=/0x0/filters:format(png)/pic9147640.png</t>
  </si>
  <si>
    <t>1.0842</t>
  </si>
  <si>
    <t>7.76913</t>
  </si>
  <si>
    <t>8.205</t>
  </si>
  <si>
    <t>2904</t>
  </si>
  <si>
    <t>1.9808</t>
  </si>
  <si>
    <t>7.59594</t>
  </si>
  <si>
    <t>257</t>
  </si>
  <si>
    <t>1.8732</t>
  </si>
  <si>
    <t>7.26257</t>
  </si>
  <si>
    <t>619</t>
  </si>
  <si>
    <t>4.115</t>
  </si>
  <si>
    <t>7.72688</t>
  </si>
  <si>
    <t>325</t>
  </si>
  <si>
    <t>7.07944</t>
  </si>
  <si>
    <t>1254</t>
  </si>
  <si>
    <t>1.6635</t>
  </si>
  <si>
    <t>7.34219</t>
  </si>
  <si>
    <t>343</t>
  </si>
  <si>
    <t>2.0033</t>
  </si>
  <si>
    <t>7.0996</t>
  </si>
  <si>
    <t>715</t>
  </si>
  <si>
    <t>5.78547</t>
  </si>
  <si>
    <t>15095</t>
  </si>
  <si>
    <t>1.4545</t>
  </si>
  <si>
    <t>7.56238</t>
  </si>
  <si>
    <t>1.5622</t>
  </si>
  <si>
    <t>7.45827</t>
  </si>
  <si>
    <t>379</t>
  </si>
  <si>
    <t>1.5385</t>
  </si>
  <si>
    <t>7.3525</t>
  </si>
  <si>
    <t>596</t>
  </si>
  <si>
    <t>1.94</t>
  </si>
  <si>
    <t>7.80704</t>
  </si>
  <si>
    <t>2.2582</t>
  </si>
  <si>
    <t>7.76509</t>
  </si>
  <si>
    <t>2.1159</t>
  </si>
  <si>
    <t>7.5874</t>
  </si>
  <si>
    <t>1.4504</t>
  </si>
  <si>
    <t>7.15613</t>
  </si>
  <si>
    <t>608</t>
  </si>
  <si>
    <t>1.8223</t>
  </si>
  <si>
    <t>7.00479</t>
  </si>
  <si>
    <t>3.8344</t>
  </si>
  <si>
    <t>8.07022</t>
  </si>
  <si>
    <t>1.7239</t>
  </si>
  <si>
    <t>7.34234</t>
  </si>
  <si>
    <t>7.0415</t>
  </si>
  <si>
    <t>2031</t>
  </si>
  <si>
    <t>1.3755</t>
  </si>
  <si>
    <t>7.80799</t>
  </si>
  <si>
    <t>7.49352</t>
  </si>
  <si>
    <t>6.72905</t>
  </si>
  <si>
    <t>4663</t>
  </si>
  <si>
    <t>1.2063</t>
  </si>
  <si>
    <t>7.17463</t>
  </si>
  <si>
    <t>720</t>
  </si>
  <si>
    <t>3.2588</t>
  </si>
  <si>
    <t>8.12053</t>
  </si>
  <si>
    <t>1.1215</t>
  </si>
  <si>
    <t>7.58889</t>
  </si>
  <si>
    <t>7.15994</t>
  </si>
  <si>
    <t>2.128</t>
  </si>
  <si>
    <t>7.53849</t>
  </si>
  <si>
    <t>221</t>
  </si>
  <si>
    <t>4.0775</t>
  </si>
  <si>
    <t>8.33928</t>
  </si>
  <si>
    <t>1.2309</t>
  </si>
  <si>
    <t>6.74749</t>
  </si>
  <si>
    <t>1054</t>
  </si>
  <si>
    <t>1.8936</t>
  </si>
  <si>
    <t>7.91821</t>
  </si>
  <si>
    <t>309</t>
  </si>
  <si>
    <t>2.1833</t>
  </si>
  <si>
    <t>7.04652</t>
  </si>
  <si>
    <t>1514</t>
  </si>
  <si>
    <t>1.2857</t>
  </si>
  <si>
    <t>6.99515</t>
  </si>
  <si>
    <t>6.89714</t>
  </si>
  <si>
    <t>3347</t>
  </si>
  <si>
    <t>3.2667</t>
  </si>
  <si>
    <t>8.34403</t>
  </si>
  <si>
    <t>2.9189</t>
  </si>
  <si>
    <t>7.64169</t>
  </si>
  <si>
    <t>1.0568</t>
  </si>
  <si>
    <t>6.52245</t>
  </si>
  <si>
    <t>2293</t>
  </si>
  <si>
    <t>1.9603</t>
  </si>
  <si>
    <t>7.7679</t>
  </si>
  <si>
    <t>87</t>
  </si>
  <si>
    <t>7.42562</t>
  </si>
  <si>
    <t>810</t>
  </si>
  <si>
    <t>2.8057</t>
  </si>
  <si>
    <t>7.70873</t>
  </si>
  <si>
    <t>498</t>
  </si>
  <si>
    <t>2.0105</t>
  </si>
  <si>
    <t>8.00023</t>
  </si>
  <si>
    <t>2.6931</t>
  </si>
  <si>
    <t>7.57574</t>
  </si>
  <si>
    <t>6.2417</t>
  </si>
  <si>
    <t>3670</t>
  </si>
  <si>
    <t>6.63642</t>
  </si>
  <si>
    <t>2690</t>
  </si>
  <si>
    <t>7.18311</t>
  </si>
  <si>
    <t>1064</t>
  </si>
  <si>
    <t>6.98929</t>
  </si>
  <si>
    <t>1580</t>
  </si>
  <si>
    <t>6.02359</t>
  </si>
  <si>
    <t>4873</t>
  </si>
  <si>
    <t>6.46238</t>
  </si>
  <si>
    <t>5625</t>
  </si>
  <si>
    <t>2.264</t>
  </si>
  <si>
    <t>7.77476</t>
  </si>
  <si>
    <t>2.2758</t>
  </si>
  <si>
    <t>7.73526</t>
  </si>
  <si>
    <t>1.8414</t>
  </si>
  <si>
    <t>7.51318</t>
  </si>
  <si>
    <t>203</t>
  </si>
  <si>
    <t>6.91266</t>
  </si>
  <si>
    <t>3280</t>
  </si>
  <si>
    <t>2.0273</t>
  </si>
  <si>
    <t>7.14392</t>
  </si>
  <si>
    <t>1172</t>
  </si>
  <si>
    <t>2.4477</t>
  </si>
  <si>
    <t>7.06887</t>
  </si>
  <si>
    <t>785</t>
  </si>
  <si>
    <t>2.2143</t>
  </si>
  <si>
    <t>7.23573</t>
  </si>
  <si>
    <t>3.6331</t>
  </si>
  <si>
    <t>8.37699</t>
  </si>
  <si>
    <t>7.49553</t>
  </si>
  <si>
    <t>3.7771</t>
  </si>
  <si>
    <t>7.84161</t>
  </si>
  <si>
    <t>105</t>
  </si>
  <si>
    <t>1.3778</t>
  </si>
  <si>
    <t>7.03765</t>
  </si>
  <si>
    <t>660</t>
  </si>
  <si>
    <t>1.4843</t>
  </si>
  <si>
    <t>7.42671</t>
  </si>
  <si>
    <t>585</t>
  </si>
  <si>
    <t>4.0687</t>
  </si>
  <si>
    <t>7.671</t>
  </si>
  <si>
    <t>420</t>
  </si>
  <si>
    <t>2.3176</t>
  </si>
  <si>
    <t>6.96826</t>
  </si>
  <si>
    <t>1028</t>
  </si>
  <si>
    <t>6.2087</t>
  </si>
  <si>
    <t>3.2994</t>
  </si>
  <si>
    <t>7.75658</t>
  </si>
  <si>
    <t>149</t>
  </si>
  <si>
    <t>2.8282</t>
  </si>
  <si>
    <t>8.50897</t>
  </si>
  <si>
    <t>7.68991</t>
  </si>
  <si>
    <t>384</t>
  </si>
  <si>
    <t>3.4412</t>
  </si>
  <si>
    <t>8.26908</t>
  </si>
  <si>
    <t>3.8733</t>
  </si>
  <si>
    <t>8.42721</t>
  </si>
  <si>
    <t>7.66004</t>
  </si>
  <si>
    <t>3.4569</t>
  </si>
  <si>
    <t>7.80738</t>
  </si>
  <si>
    <t>192</t>
  </si>
  <si>
    <t>2.6389</t>
  </si>
  <si>
    <t>7.32004</t>
  </si>
  <si>
    <t>2885</t>
  </si>
  <si>
    <t>2.9205</t>
  </si>
  <si>
    <t>8.44931</t>
  </si>
  <si>
    <t>7.98284</t>
  </si>
  <si>
    <t>3.7472</t>
  </si>
  <si>
    <t>8.41797</t>
  </si>
  <si>
    <t>4.3993</t>
  </si>
  <si>
    <t>8.35704</t>
  </si>
  <si>
    <t>2.8825</t>
  </si>
  <si>
    <t>7.90689</t>
  </si>
  <si>
    <t>3.4434</t>
  </si>
  <si>
    <t>7.95541</t>
  </si>
  <si>
    <t>84</t>
  </si>
  <si>
    <t>4.6291</t>
  </si>
  <si>
    <t>8.1685</t>
  </si>
  <si>
    <t>3.8521</t>
  </si>
  <si>
    <t>8.13371</t>
  </si>
  <si>
    <t>3.6546</t>
  </si>
  <si>
    <t>8.40527</t>
  </si>
  <si>
    <t>8.04816</t>
  </si>
  <si>
    <t>2.5828</t>
  </si>
  <si>
    <t>7.41838</t>
  </si>
  <si>
    <t>629</t>
  </si>
  <si>
    <t>2.398</t>
  </si>
  <si>
    <t>7.29554</t>
  </si>
  <si>
    <t>1349</t>
  </si>
  <si>
    <t>1.934</t>
  </si>
  <si>
    <t>7.68828</t>
  </si>
  <si>
    <t>282</t>
  </si>
  <si>
    <t>3.5837</t>
  </si>
  <si>
    <t>8.04324</t>
  </si>
  <si>
    <t>1.8341</t>
  </si>
  <si>
    <t>7.0975</t>
  </si>
  <si>
    <t>1.0366</t>
  </si>
  <si>
    <t>7.22708</t>
  </si>
  <si>
    <t>1148</t>
  </si>
  <si>
    <t>7.71321</t>
  </si>
  <si>
    <t>7.87653</t>
  </si>
  <si>
    <t>7.87293</t>
  </si>
  <si>
    <t>1.8692</t>
  </si>
  <si>
    <t>7.0368</t>
  </si>
  <si>
    <t>1379</t>
  </si>
  <si>
    <t>1.2422</t>
  </si>
  <si>
    <t>7.37088</t>
  </si>
  <si>
    <t>770</t>
  </si>
  <si>
    <t>7.47001</t>
  </si>
  <si>
    <t>1119</t>
  </si>
  <si>
    <t>2.5209</t>
  </si>
  <si>
    <t>7.6333</t>
  </si>
  <si>
    <t>315</t>
  </si>
  <si>
    <t>1.172</t>
  </si>
  <si>
    <t>7.65567</t>
  </si>
  <si>
    <t>527</t>
  </si>
  <si>
    <t>https://cf.geekdo-images.com/sAYWQ4BFiLTF137eYGwRhQ__small/img/FvDfTwekIV3eAf6AOxObUKpd9i0=/fit-in/200x150/filters:strip_icc()/pic8987379.png</t>
  </si>
  <si>
    <t>https://cf.geekdo-images.com/sAYWQ4BFiLTF137eYGwRhQ__original/img/Qw1oXW3GPsF-JRTpqH1r7vGRtkM=/0x0/filters:format(png)/pic8987379.png</t>
  </si>
  <si>
    <t>7.82313</t>
  </si>
  <si>
    <t>1540</t>
  </si>
  <si>
    <t>2.2115</t>
  </si>
  <si>
    <t>7.43849</t>
  </si>
  <si>
    <t>2.1617</t>
  </si>
  <si>
    <t>7.60519</t>
  </si>
  <si>
    <t>360</t>
  </si>
  <si>
    <t>3.4225</t>
  </si>
  <si>
    <t>8.05081</t>
  </si>
  <si>
    <t>107</t>
  </si>
  <si>
    <t>2.8698</t>
  </si>
  <si>
    <t>7.68483</t>
  </si>
  <si>
    <t>506</t>
  </si>
  <si>
    <t>2.4681</t>
  </si>
  <si>
    <t>7.90295</t>
  </si>
  <si>
    <t>1359</t>
  </si>
  <si>
    <t>7.30646</t>
  </si>
  <si>
    <t>6360</t>
  </si>
  <si>
    <t>1.8871</t>
  </si>
  <si>
    <t>7.02375</t>
  </si>
  <si>
    <t>1794</t>
  </si>
  <si>
    <t>1.1618</t>
  </si>
  <si>
    <t>6.73104</t>
  </si>
  <si>
    <t>1943</t>
  </si>
  <si>
    <t>2.75</t>
  </si>
  <si>
    <t>7.13821</t>
  </si>
  <si>
    <t>1437</t>
  </si>
  <si>
    <t>2.2508</t>
  </si>
  <si>
    <t>7.77088</t>
  </si>
  <si>
    <t>2.9469</t>
  </si>
  <si>
    <t>7.81748</t>
  </si>
  <si>
    <t>2.0447</t>
  </si>
  <si>
    <t>7.64259</t>
  </si>
  <si>
    <t>366</t>
  </si>
  <si>
    <t>2.0081</t>
  </si>
  <si>
    <t>7.88812</t>
  </si>
  <si>
    <t>2.0659</t>
  </si>
  <si>
    <t>7.19364</t>
  </si>
  <si>
    <t>490</t>
  </si>
  <si>
    <t>1.7227</t>
  </si>
  <si>
    <t>7.2088</t>
  </si>
  <si>
    <t>2.08</t>
  </si>
  <si>
    <t>7.65173</t>
  </si>
  <si>
    <t>2.9864</t>
  </si>
  <si>
    <t>7.62833</t>
  </si>
  <si>
    <t>2.3563</t>
  </si>
  <si>
    <t>7.63495</t>
  </si>
  <si>
    <t>181</t>
  </si>
  <si>
    <t>2.0704</t>
  </si>
  <si>
    <t>7.14245</t>
  </si>
  <si>
    <t>687</t>
  </si>
  <si>
    <t>7.60537</t>
  </si>
  <si>
    <t>252</t>
  </si>
  <si>
    <t>1.4179</t>
  </si>
  <si>
    <t>7.16519</t>
  </si>
  <si>
    <t>651</t>
  </si>
  <si>
    <t>7.21576</t>
  </si>
  <si>
    <t>7.622</t>
  </si>
  <si>
    <t>6.93684</t>
  </si>
  <si>
    <t>13397</t>
  </si>
  <si>
    <t>7.1069</t>
  </si>
  <si>
    <t>986</t>
  </si>
  <si>
    <t>2.8047</t>
  </si>
  <si>
    <t>7.87267</t>
  </si>
  <si>
    <t>2.6463</t>
  </si>
  <si>
    <t>7.65845</t>
  </si>
  <si>
    <t>2.435</t>
  </si>
  <si>
    <t>7.90842</t>
  </si>
  <si>
    <t>7.78854</t>
  </si>
  <si>
    <t>1346</t>
  </si>
  <si>
    <t>1.6784</t>
  </si>
  <si>
    <t>7.45833</t>
  </si>
  <si>
    <t>7.08215</t>
  </si>
  <si>
    <t>2467</t>
  </si>
  <si>
    <t>1.7232</t>
  </si>
  <si>
    <t>7.45623</t>
  </si>
  <si>
    <t>413</t>
  </si>
  <si>
    <t>1.9781</t>
  </si>
  <si>
    <t>7.93678</t>
  </si>
  <si>
    <t>189</t>
  </si>
  <si>
    <t>8.07658</t>
  </si>
  <si>
    <t>519</t>
  </si>
  <si>
    <t>2.3165</t>
  </si>
  <si>
    <t>7.82769</t>
  </si>
  <si>
    <t>182</t>
  </si>
  <si>
    <t>2.32</t>
  </si>
  <si>
    <t>7.76389</t>
  </si>
  <si>
    <t>2.5763</t>
  </si>
  <si>
    <t>8.05863</t>
  </si>
  <si>
    <t>349</t>
  </si>
  <si>
    <t>1.9299</t>
  </si>
  <si>
    <t>7.59651</t>
  </si>
  <si>
    <t>7.46204</t>
  </si>
  <si>
    <t>1552</t>
  </si>
  <si>
    <t>1.266</t>
  </si>
  <si>
    <t>6.99632</t>
  </si>
  <si>
    <t>1.35</t>
  </si>
  <si>
    <t>6.93696</t>
  </si>
  <si>
    <t>1607</t>
  </si>
  <si>
    <t>1.7333</t>
  </si>
  <si>
    <t>7.53484</t>
  </si>
  <si>
    <t>300</t>
  </si>
  <si>
    <t>7.21867</t>
  </si>
  <si>
    <t>880</t>
  </si>
  <si>
    <t>2.1118</t>
  </si>
  <si>
    <t>7.45839</t>
  </si>
  <si>
    <t>1.7189</t>
  </si>
  <si>
    <t>7.58177</t>
  </si>
  <si>
    <t>6.51245</t>
  </si>
  <si>
    <t>2255</t>
  </si>
  <si>
    <t>7.10474</t>
  </si>
  <si>
    <t>868</t>
  </si>
  <si>
    <t>7.51464</t>
  </si>
  <si>
    <t>2.2692</t>
  </si>
  <si>
    <t>8.15154</t>
  </si>
  <si>
    <t>6.16854</t>
  </si>
  <si>
    <t>12484</t>
  </si>
  <si>
    <t>1.7955</t>
  </si>
  <si>
    <t>7.02634</t>
  </si>
  <si>
    <t>2044</t>
  </si>
  <si>
    <t>2.491</t>
  </si>
  <si>
    <t>7.59935</t>
  </si>
  <si>
    <t>446</t>
  </si>
  <si>
    <t>6.8375</t>
  </si>
  <si>
    <t>2827</t>
  </si>
  <si>
    <t>6.84795</t>
  </si>
  <si>
    <t>1178</t>
  </si>
  <si>
    <t>3.146</t>
  </si>
  <si>
    <t>7.87417</t>
  </si>
  <si>
    <t>2.3207</t>
  </si>
  <si>
    <t>7.32652</t>
  </si>
  <si>
    <t>3.7033</t>
  </si>
  <si>
    <t>8.28039</t>
  </si>
  <si>
    <t>4.1138</t>
  </si>
  <si>
    <t>8.14288</t>
  </si>
  <si>
    <t>5.875</t>
  </si>
  <si>
    <t>20663</t>
  </si>
  <si>
    <t>1.892</t>
  </si>
  <si>
    <t>7.19792</t>
  </si>
  <si>
    <t>432</t>
  </si>
  <si>
    <t>1.1853</t>
  </si>
  <si>
    <t>6.87681</t>
  </si>
  <si>
    <t>900</t>
  </si>
  <si>
    <t>2.2292</t>
  </si>
  <si>
    <t>7.59114</t>
  </si>
  <si>
    <t>699</t>
  </si>
  <si>
    <t>1.0826</t>
  </si>
  <si>
    <t>7.41405</t>
  </si>
  <si>
    <t>1.8375</t>
  </si>
  <si>
    <t>7.55401</t>
  </si>
  <si>
    <t>3.8162</t>
  </si>
  <si>
    <t>7.59525</t>
  </si>
  <si>
    <t>513</t>
  </si>
  <si>
    <t>7.23835</t>
  </si>
  <si>
    <t>1.0809</t>
  </si>
  <si>
    <t>6.06677</t>
  </si>
  <si>
    <t>3887</t>
  </si>
  <si>
    <t>2.4621</t>
  </si>
  <si>
    <t>7.49265</t>
  </si>
  <si>
    <t>658</t>
  </si>
  <si>
    <t>3.1294</t>
  </si>
  <si>
    <t>7.74635</t>
  </si>
  <si>
    <t>8.04924</t>
  </si>
  <si>
    <t>4.1905</t>
  </si>
  <si>
    <t>8.0394</t>
  </si>
  <si>
    <t>6.90967</t>
  </si>
  <si>
    <t>1310</t>
  </si>
  <si>
    <t>3.5734</t>
  </si>
  <si>
    <t>7.76563</t>
  </si>
  <si>
    <t>397</t>
  </si>
  <si>
    <t>3.069</t>
  </si>
  <si>
    <t>7.61227</t>
  </si>
  <si>
    <t>456</t>
  </si>
  <si>
    <t>3.8126</t>
  </si>
  <si>
    <t>7.97595</t>
  </si>
  <si>
    <t>3.458</t>
  </si>
  <si>
    <t>8.08878</t>
  </si>
  <si>
    <t>3.9028</t>
  </si>
  <si>
    <t>8.10954</t>
  </si>
  <si>
    <t>3.3967</t>
  </si>
  <si>
    <t>7.86428</t>
  </si>
  <si>
    <t>295</t>
  </si>
  <si>
    <t>4.2335</t>
  </si>
  <si>
    <t>8.40729</t>
  </si>
  <si>
    <t>6.44158</t>
  </si>
  <si>
    <t>3961</t>
  </si>
  <si>
    <t>7.20487</t>
  </si>
  <si>
    <t>1100</t>
  </si>
  <si>
    <t>7.76032</t>
  </si>
  <si>
    <t>335</t>
  </si>
  <si>
    <t>3.1333</t>
  </si>
  <si>
    <t>7.47658</t>
  </si>
  <si>
    <t>601</t>
  </si>
  <si>
    <t>1.1635</t>
  </si>
  <si>
    <t>6.86446</t>
  </si>
  <si>
    <t>1824</t>
  </si>
  <si>
    <t>2.0299</t>
  </si>
  <si>
    <t>7.2093</t>
  </si>
  <si>
    <t>872</t>
  </si>
  <si>
    <t>7.12931</t>
  </si>
  <si>
    <t>1101</t>
  </si>
  <si>
    <t>1.3942</t>
  </si>
  <si>
    <t>6.8337</t>
  </si>
  <si>
    <t>1444</t>
  </si>
  <si>
    <t>6.64978</t>
  </si>
  <si>
    <t>2476</t>
  </si>
  <si>
    <t>2.1852</t>
  </si>
  <si>
    <t>7.51443</t>
  </si>
  <si>
    <t>2586</t>
  </si>
  <si>
    <t>7.61537</t>
  </si>
  <si>
    <t>1243</t>
  </si>
  <si>
    <t>3.3705</t>
  </si>
  <si>
    <t>7.92849</t>
  </si>
  <si>
    <t>197</t>
  </si>
  <si>
    <t>3.7289</t>
  </si>
  <si>
    <t>7.85576</t>
  </si>
  <si>
    <t>942</t>
  </si>
  <si>
    <t>6.99311</t>
  </si>
  <si>
    <t>3826</t>
  </si>
  <si>
    <t>7.0202</t>
  </si>
  <si>
    <t>2497</t>
  </si>
  <si>
    <t>1.0556</t>
  </si>
  <si>
    <t>6.81352</t>
  </si>
  <si>
    <t>1339</t>
  </si>
  <si>
    <t>7.20294</t>
  </si>
  <si>
    <t>1205</t>
  </si>
  <si>
    <t>25419</t>
  </si>
  <si>
    <t>1.4493</t>
  </si>
  <si>
    <t>7.46458</t>
  </si>
  <si>
    <t>995</t>
  </si>
  <si>
    <t>6.75577</t>
  </si>
  <si>
    <t>2887</t>
  </si>
  <si>
    <t>5.94</t>
  </si>
  <si>
    <t>24001</t>
  </si>
  <si>
    <t>1.0439</t>
  </si>
  <si>
    <t>7.20212</t>
  </si>
  <si>
    <t>6.92242</t>
  </si>
  <si>
    <t>5129</t>
  </si>
  <si>
    <t>7.31074</t>
  </si>
  <si>
    <t>3149</t>
  </si>
  <si>
    <t>4.05154</t>
  </si>
  <si>
    <t>28956</t>
  </si>
  <si>
    <t>2.0366</t>
  </si>
  <si>
    <t>8.14617</t>
  </si>
  <si>
    <t>1.5556</t>
  </si>
  <si>
    <t>7.57821</t>
  </si>
  <si>
    <t>549</t>
  </si>
  <si>
    <t>3.0432</t>
  </si>
  <si>
    <t>7.99144</t>
  </si>
  <si>
    <t>79</t>
  </si>
  <si>
    <t>1.6364</t>
  </si>
  <si>
    <t>6.10854</t>
  </si>
  <si>
    <t>8698</t>
  </si>
  <si>
    <t>The Lord of the Rings: The Fellowship of the Ring – Trick-Taking Game</t>
  </si>
  <si>
    <t>1.9623</t>
  </si>
  <si>
    <t>7.96082</t>
  </si>
  <si>
    <t>7.35886</t>
  </si>
  <si>
    <t>6374</t>
  </si>
  <si>
    <t>3.9898</t>
  </si>
  <si>
    <t>8.49223</t>
  </si>
  <si>
    <t>8.0237</t>
  </si>
  <si>
    <t>2.375</t>
  </si>
  <si>
    <t>7.89144</t>
  </si>
  <si>
    <t>2727</t>
  </si>
  <si>
    <t>7.84947</t>
  </si>
  <si>
    <t>10085</t>
  </si>
  <si>
    <t>6.91951</t>
  </si>
  <si>
    <t>18305</t>
  </si>
  <si>
    <t>4.1883</t>
  </si>
  <si>
    <t>8.12574</t>
  </si>
  <si>
    <t>1.0609</t>
  </si>
  <si>
    <t>7.02192</t>
  </si>
  <si>
    <t>1157</t>
  </si>
  <si>
    <t>2.0158</t>
  </si>
  <si>
    <t>8.02364</t>
  </si>
  <si>
    <t>2.3362</t>
  </si>
  <si>
    <t>7.70182</t>
  </si>
  <si>
    <t>1.2973</t>
  </si>
  <si>
    <t>7.5951</t>
  </si>
  <si>
    <t>1084</t>
  </si>
  <si>
    <t>1.7325</t>
  </si>
  <si>
    <t>7.64305</t>
  </si>
  <si>
    <t>3.3624</t>
  </si>
  <si>
    <t>7.73425</t>
  </si>
  <si>
    <t>603</t>
  </si>
  <si>
    <t>7.02497</t>
  </si>
  <si>
    <t>4493</t>
  </si>
  <si>
    <t>6.73141</t>
  </si>
  <si>
    <t>5610</t>
  </si>
  <si>
    <t>1.1893</t>
  </si>
  <si>
    <t>7.13607</t>
  </si>
  <si>
    <t>1007</t>
  </si>
  <si>
    <t>1.3636</t>
  </si>
  <si>
    <t>6.46506</t>
  </si>
  <si>
    <t>8063</t>
  </si>
  <si>
    <t>2.0571</t>
  </si>
  <si>
    <t>7.3585</t>
  </si>
  <si>
    <t>2607</t>
  </si>
  <si>
    <t>6.95408</t>
  </si>
  <si>
    <t>1.9245</t>
  </si>
  <si>
    <t>8.0993</t>
  </si>
  <si>
    <t>1522</t>
  </si>
  <si>
    <t>1.82</t>
  </si>
  <si>
    <t>7.16358</t>
  </si>
  <si>
    <t>7.79514</t>
  </si>
  <si>
    <t>6.69857</t>
  </si>
  <si>
    <t>7160</t>
  </si>
  <si>
    <t>6.11928</t>
  </si>
  <si>
    <t>14647</t>
  </si>
  <si>
    <t>2.1587</t>
  </si>
  <si>
    <t>7.54223</t>
  </si>
  <si>
    <t>731</t>
  </si>
  <si>
    <t>2.2254</t>
  </si>
  <si>
    <t>7.77628</t>
  </si>
  <si>
    <t>https://cf.geekdo-images.com/sPc6K1gC--QrGHkdCmD8MQ__small/img/hUdAKijhrkT8hjMHNO5LIS7fDJI=/fit-in/200x150/filters:strip_icc()/pic2869930.jpg</t>
  </si>
  <si>
    <t>1.226</t>
  </si>
  <si>
    <t>6.12141</t>
  </si>
  <si>
    <t>4308</t>
  </si>
  <si>
    <t>Skyjo</t>
  </si>
  <si>
    <t>https://cf.geekdo-images.com/NMNeoJY6aU6C2EJz67YEfA__small/img/qUkEv5300qGWNc_dq9dcChMlaXQ=/fit-in/200x150/filters:strip_icc()/pic4559127.jpg</t>
  </si>
  <si>
    <t>https://cf.geekdo-images.com/NMNeoJY6aU6C2EJz67YEfA__original/img/VR-7OxQlkuNRvSwYg9_M7aUn_zI=/0x0/filters:format(jpeg)/pic4559127.jpg</t>
  </si>
  <si>
    <t>1.0704</t>
  </si>
  <si>
    <t>6.66316</t>
  </si>
  <si>
    <t>1915</t>
  </si>
  <si>
    <t>Stratego</t>
  </si>
  <si>
    <t>1946</t>
  </si>
  <si>
    <t>https://cf.geekdo-images.com/FCOo5cVkf6Le5brx_B7zDg__small/img/PipECHHoYvj8Ga4CWy0K1GJamME=/fit-in/200x150/filters:strip_icc()/pic9063233.jpg</t>
  </si>
  <si>
    <t>https://cf.geekdo-images.com/FCOo5cVkf6Le5brx_B7zDg__original/img/11KrFk07h0PEw9qDo5zmDSmBZRU=/0x0/filters:format(jpeg)/pic9063233.jpg</t>
  </si>
  <si>
    <t>1.8442</t>
  </si>
  <si>
    <t>6.1548</t>
  </si>
  <si>
    <t>3044</t>
  </si>
  <si>
    <t>Card Game, Math</t>
  </si>
  <si>
    <t>/thumbs/184-skyjo.jpg</t>
  </si>
  <si>
    <t>2025-10-24T03:24:39.542766</t>
  </si>
  <si>
    <t>184-skyjo.jpg</t>
  </si>
  <si>
    <t xml:space="preserve">Every player has 12 hidden cards (3x4). Two are turned face up. On your turn, you can take the top card from the discard or draw pile. You can exchange one card (hidden or open) from your display. The round ends when one player has only open cards. (equal turns). All cards will be revealed. Add the numbers of the card for scoring. The game ends after one player has 100 or more points. Whoever has the lowest number wins.
Special rule: Whenever one column of 3 cards all have the same value, they will be discarded and no longer scored.
Cards are ranked from -2 up to 12
</t>
  </si>
  <si>
    <t>["Alexander Bernhardt"]</t>
  </si>
  <si>
    <t>["L\u00fadilo", "Magilano", "Spelialisten"]</t>
  </si>
  <si>
    <t>["Set Collection"]</t>
  </si>
  <si>
    <t>Animals, City Building, Economic, Science Fiction</t>
  </si>
  <si>
    <t>/thumbs/185-dinosaur-world.jpg</t>
  </si>
  <si>
    <t>2025-10-24T03:24:42.126614</t>
  </si>
  <si>
    <t>185-dinosaur-world.jpg</t>
  </si>
  <si>
    <t xml:space="preserve">The triumph of science that led to dinosaurs returning to the world once more has become public knowledge. New parks spring up regularly, often beginning operations even before everything has been finalized. There is no shortage of patrons eager to be entertained by these returned species in new and exciting ways. However, as with any form of entertainment, elements of triumph are often accompanied by elements of tragedy. This means it is of the utmost importance that you take every precaution by ensuring each visitor signs the safety waiver before enjoying the wonders of Dinosaur World!
Each round in Dinosaur World, you draft a new résumé card to acquire new workers; spend workers to take public actions building your park and acquiring DNA; spend further workers to take private actions improving that park; then drive your jeep around experiencing the wonder and excitement of what you have built! Throughout the game you acquire victory points through a variety of means — and possibly a few visitor deaths as a natural consequence of overly enthusiastic dinosaur encounters. At the end of the game, you lose points if you accumulated too many deaths, then the player with the most points wins!
</t>
  </si>
  <si>
    <t>["Brian Lewis", "David McGregor", "Marissa Misura"]</t>
  </si>
  <si>
    <t>["Pandasaurus Games", "La Bo\u00eete de Jeu", "Devir", "Fearless Frog", "Galakta"]</t>
  </si>
  <si>
    <t>["Dice Rolling", "Income", "Movement Points", "Tile Placement", "Worker Placement"]</t>
  </si>
  <si>
    <t>["Kwanchai Moriya", "Joe Shawcross", "Andrew Thompson"]</t>
  </si>
  <si>
    <t>Abstract Strategy, Bluffing, Deduction, Memory, Napoleonic, Wargame</t>
  </si>
  <si>
    <t>/thumbs/186-stratego.jpg</t>
  </si>
  <si>
    <t>2025-10-24T03:24:45.658446</t>
  </si>
  <si>
    <t>186-stratego.jpg</t>
  </si>
  <si>
    <t>Stratego by Jumbo is the most well-known of this type of hidden tactics board games. It was launched just after World War II in 1946 and has led to a variety of various themed versions and spinoff variations.
This game is very similar to, and almost certainly derived directly from, the Gibsons game L'Attaque who had acquired the UK rights in 1925 from the game’s creator Mademoiselle Hermance Edan who launched it in France in 1909. It is not exactly the same, but not far from it (numbered pieces, spy (same name) can kill the strongest piece but only when attacking, flag, bombs, etc.) The game in turn likely drew on various ancient Chinese board games such as Lu Zhan Jun Qi or the classic children's game Jungle.
From the box:
The gameboard is your battlefield.  You have an army of men at your disposal and six bombs.  Your mission--protect your flag and capture your opponent's flag.
Secretly place your men, bombs, and flag on the gameboard with these objectives in mind.  But remember your opponent is doing the same thing, so you must plan a defense as well as an offense.
Once the armies are in place, advance your men.  When you're one space away from an enemy, attack.  You and your opponent declare ranks.  The lower-ranking man is captured and out of play.
You control your pieces and risk your men in battles where the strength of your enemy is unknown. The suspense builds as your men move deeper into enemy territory. Move with caution and courage. The next piece you attack could be a bomb.  And when attacked, it could "blast" your man off the board and out of play.
The first to capture an enemy flag is the winner!
Re-implemented by:
     Stratego (Revised Edition) (aka Stratego Fire &amp; Ice)
     The Generals
     Stratego Legends
     Stratego: Star Wars
     Stratego: Lord of the Rings Trilogy Edition
     Ultimate Stratego
     Electronic Stratego
     Stratego: Marvel Heroes
     Stratego: Star Wars Saga Edition
     Stratego: The Chronicles of Narnia â€“ Th</t>
  </si>
  <si>
    <t>["Jacques Johan Mogendorff"]</t>
  </si>
  <si>
    <t>["Carlit", "(Unknown)", "4Kidz, Inc.", "AS Company", "Barnes &amp; Noble", "Chieftain Products", "Crown &amp; Andrews Ltd.", "danspil", "Dino Toys s. r. o.", "Diset S. A.", "Estrela", "Globo Giocattoli", "Hasbro", "Holdson", "Javos (PaN)", "John Sands Pty Ltd", "Jumbo", "Karto", "Kod Kod", "Milton Bradley", "N.W. Damm &amp; S\u00f8n (Damm)", "PanGraf", "Parker Brothers", "Patch Products", "Piatnik", "PlayMonster", "Popcorn Games", "Premix", "Remoundo", "Smeets &amp; Schippers", "Somerville Ltd.", "Spear's Games", "Spin Master Ltd.", "SuperHeated Neurons", "Tactico", "Takara", "Tilsit", "Trefl", "Winning Moves France", "Yetem S.A.", "Zito! \u038f\u03c1\u03b1 \u03b3\u03b9\u03b1 \u03c0\u03b1\u03b9\u03c7\u03bd\u03af\u03b4\u03b9", "\u039f\u03b4\u03cd\u03c3\u03c3\u03b5\u03b9\u03b1", "\u03a0\u03ad\u03c4\u03b1\u03bb\u03bf (Petalo)", "\u0432\u043d\u0435\u0448\u0442\u043e\u0440\u0433\u0438\u0437\u0434\u0430\u0442 (Foreign Trade Publishing House)"]</t>
  </si>
  <si>
    <t>["Grid Movement", "Memory", "Secret Unit Deployment", "Square Grid"]</t>
  </si>
  <si>
    <t>["Donato Giancola", "Paul Windle"]</t>
  </si>
  <si>
    <t>Puerto Rico 1897</t>
  </si>
  <si>
    <t>Castles of Mad King Ludwig</t>
  </si>
  <si>
    <t>The Quest for El Dorado</t>
  </si>
  <si>
    <t>Maracaibo</t>
  </si>
  <si>
    <t>Wingspan: Oceania Expansion</t>
  </si>
  <si>
    <t>Heat: Heavy Rain Expansion</t>
  </si>
  <si>
    <t>Ticket to Ride Map Collection Vol. 6 – France &amp; Old West</t>
  </si>
  <si>
    <t>Under Falling Skies</t>
  </si>
  <si>
    <t>Res Arcana</t>
  </si>
  <si>
    <t>Clans of Caledonia</t>
  </si>
  <si>
    <t>Nidavellir</t>
  </si>
  <si>
    <t>Arboretum</t>
  </si>
  <si>
    <t>Sprawlopolis</t>
  </si>
  <si>
    <t>Fantastic Factories</t>
  </si>
  <si>
    <t>Point City</t>
  </si>
  <si>
    <t>Coup</t>
  </si>
  <si>
    <t>Cartographers Heroes</t>
  </si>
  <si>
    <t>Hansa Teutonica</t>
  </si>
  <si>
    <t>Burgle Bros.</t>
  </si>
  <si>
    <t>Tiny Epic Galaxies</t>
  </si>
  <si>
    <t>Viticulture: Tuscany Essential Edition</t>
  </si>
  <si>
    <t>Dice Throne: Season One</t>
  </si>
  <si>
    <t>Clank! In! Space!</t>
  </si>
  <si>
    <t>Cat Lady</t>
  </si>
  <si>
    <t>Noctiluca</t>
  </si>
  <si>
    <t>The Bloody Inn</t>
  </si>
  <si>
    <t>El Grande: Big Box</t>
  </si>
  <si>
    <t>OUT_OF_STOCK</t>
  </si>
  <si>
    <t>L.L.A.M.A.</t>
  </si>
  <si>
    <t>https://www.boardgameoracle.com/en-NZ/boardgame/price/ZZsrjOqQFe/the-quest-for-el-dorado</t>
  </si>
  <si>
    <t>https://www.boardgameoracle.com/en-NZ/boardgame/price/JrsCNCAZai/maracaibo</t>
  </si>
  <si>
    <t>https://www.boardgameoracle.com/en-NZ/boardgame/price/JGhEQkoKrF/karuba</t>
  </si>
  <si>
    <t>https://www.boardgameoracle.com/en-NZ/boardgame/price/8Dp1ru1HKU/heat-heavy-rain</t>
  </si>
  <si>
    <t>https://www.boardgameoracle.com/en-NZ/boardgame/price/4b_bwFUYog/res-arcana</t>
  </si>
  <si>
    <t>https://www.boardgameoracle.com/en-NZ/boardgame/price/2SEZhr1QZy/clans-of-caledonia</t>
  </si>
  <si>
    <t>https://www.boardgameoracle.com/en-NZ/boardgame/price/SgoO-Iub1Z/nidavellir</t>
  </si>
  <si>
    <t>https://www.boardgameoracle.com/en-NZ/boardgame/price/7G0rT0RqIm/hanamikoji</t>
  </si>
  <si>
    <t>https://www.boardgameoracle.com/en-NZ/boardgame/price/oTEHQNhsaG/lama</t>
  </si>
  <si>
    <t>https://www.boardgameoracle.com/en-NZ/boardgame/price/5T2DG9cIrd/burgle-bros</t>
  </si>
  <si>
    <t>https://www.boardgameoracle.com/en-NZ/boardgame/price/z3pagk2sas/parks-nightfall-expansion</t>
  </si>
  <si>
    <t>https://www.boardgameoracle.com/en-NZ/boardgame/price/l5rOiw0rWO/noctiluca</t>
  </si>
  <si>
    <t>https://www.boardgameoracle.com/en-NZ/boardgame/price/KZdLev9-7v/the-bloody-inn</t>
  </si>
  <si>
    <t>https://www.boardgameoracle.com/en-NZ/boardgame/price/-IO6W6K0sN/el-grande</t>
  </si>
  <si>
    <t>Gameology</t>
  </si>
  <si>
    <t>Scorpio Books</t>
  </si>
  <si>
    <t>gameology.com.au - 11/09/2025</t>
  </si>
  <si>
    <t>thenile.co.nz - 22/09/2025</t>
  </si>
  <si>
    <t>gameology.com.au - 22/09/2025</t>
  </si>
  <si>
    <t>shop.wizkids.com - 22/09/2025</t>
  </si>
  <si>
    <t>The Palace of Mad King Ludwig</t>
  </si>
  <si>
    <t>Alien Frontiers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</si>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</sst>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i/>
      <sz val="11"/>
      <color theme="1"/>
      <name val="Aptos Narrow"/>
      <family val="2"/>
      <scheme val="minor"/>
    </font>
    <font>
      <sz val="8"/>
      <name val="Aptos Narrow"/>
      <family val="2"/>
      <scheme val="minor"/>
    </font>
    <font>
      <u/>
      <sz val="11"/>
      <color theme="10"/>
      <name val="Aptos Narrow"/>
      <family val="2"/>
      <scheme val="minor"/>
    </font>
    <font>
      <b/>
      <sz val="18"/>
      <color theme="1"/>
      <name val="Aptos Narrow"/>
      <family val="2"/>
      <scheme val="minor"/>
    </font>
    <font>
      <b/>
      <sz val="11"/>
      <color theme="0"/>
      <name val="Aptos Narrow"/>
      <family val="2"/>
      <scheme val="minor"/>
    </font>
    <font>
      <sz val="11"/>
      <color rgb="FFCE9178"/>
      <name val="Consolas"/>
      <family val="3"/>
    </font>
  </fonts>
  <fills count="3">
    <fill>
      <patternFill patternType="none"/>
    </fill>
    <fill>
      <patternFill patternType="gray125"/>
    </fill>
    <fill>
      <patternFill patternType="solid">
        <fgColor theme="9"/>
        <bgColor theme="9"/>
      </patternFill>
    </fill>
  </fills>
  <borders count="7">
    <border>
      <left/>
      <right/>
      <top/>
      <bottom/>
      <diagonal/>
    </border>
    <border>
      <left/>
      <right/>
      <top style="thin">
        <color theme="1"/>
      </top>
      <bottom/>
      <diagonal/>
    </border>
    <border>
      <left/>
      <right/>
      <top style="thin">
        <color theme="1"/>
      </top>
      <bottom style="thin">
        <color theme="1"/>
      </bottom>
      <diagonal/>
    </border>
    <border>
      <left style="thin">
        <color theme="1"/>
      </left>
      <right/>
      <top style="thin">
        <color theme="1"/>
      </top>
      <bottom/>
      <diagonal/>
    </border>
    <border>
      <left style="thin">
        <color theme="1"/>
      </left>
      <right/>
      <top style="thin">
        <color theme="1"/>
      </top>
      <bottom style="thin">
        <color theme="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0" fillId="0" borderId="0" xfId="0" applyAlignment="1">
      <alignment vertical="center"/>
    </xf>
    <xf numFmtId="0" fontId="0" fillId="0" borderId="0" xfId="0" applyAlignment="1">
      <alignment horizontal="left"/>
    </xf>
    <xf numFmtId="15" fontId="0" fillId="0" borderId="0" xfId="0" applyNumberFormat="1"/>
    <xf numFmtId="0" fontId="3" fillId="0" borderId="0" xfId="1"/>
    <xf numFmtId="0" fontId="0" fillId="0" borderId="0" xfId="0" applyAlignment="1">
      <alignment wrapText="1"/>
    </xf>
    <xf numFmtId="0" fontId="4" fillId="0" borderId="0" xfId="0" applyFont="1" applyAlignment="1">
      <alignment horizontal="left"/>
    </xf>
    <xf numFmtId="4" fontId="0" fillId="0" borderId="0" xfId="0" applyNumberFormat="1"/>
    <xf numFmtId="0" fontId="0" fillId="0" borderId="1" xfId="0" applyBorder="1"/>
    <xf numFmtId="0" fontId="0" fillId="0" borderId="2" xfId="0" applyBorder="1"/>
    <xf numFmtId="0" fontId="6" fillId="0" borderId="0" xfId="0" applyFont="1" applyAlignment="1">
      <alignment vertical="center"/>
    </xf>
    <xf numFmtId="0" fontId="0" fillId="0" borderId="0" xfId="0" pivotButton="1"/>
    <xf numFmtId="0" fontId="0" fillId="0" borderId="3" xfId="0" applyBorder="1"/>
    <xf numFmtId="0" fontId="5" fillId="2" borderId="5" xfId="0" applyFont="1" applyFill="1" applyBorder="1"/>
    <xf numFmtId="0" fontId="5" fillId="2" borderId="6" xfId="0" applyFont="1" applyFill="1" applyBorder="1"/>
    <xf numFmtId="0" fontId="0" fillId="0" borderId="4" xfId="0" applyBorder="1"/>
    <xf numFmtId="0" fontId="3" fillId="0" borderId="0" xfId="1" applyNumberFormat="1"/>
    <xf numFmtId="0" fontId="0" fillId="0" borderId="0" xfId="0" applyNumberFormat="1" applyAlignment="1">
      <alignment vertical="center"/>
    </xf>
    <xf numFmtId="0" fontId="0" fillId="0" borderId="0" xfId="0" applyNumberFormat="1"/>
  </cellXfs>
  <cellStyles count="2">
    <cellStyle name="Hyperlink" xfId="1" builtinId="8"/>
    <cellStyle name="Normal" xfId="0" builtinId="0"/>
  </cellStyles>
  <dxfs count="42">
    <dxf>
      <numFmt numFmtId="20" formatCode="d\-mmm\-yy"/>
    </dxf>
    <dxf>
      <numFmt numFmtId="0" formatCode="General"/>
    </dxf>
    <dxf>
      <numFmt numFmtId="0" formatCode="General"/>
    </dxf>
    <dxf>
      <numFmt numFmtId="20" formatCode="d\-m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diagonalUp="0" diagonalDown="0">
        <left/>
        <right/>
        <top style="thin">
          <color theme="1"/>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none">
          <fgColor indexed="64"/>
          <bgColor auto="1"/>
        </patternFill>
      </fill>
    </dxf>
    <dxf>
      <font>
        <b/>
        <strike val="0"/>
        <outline val="0"/>
        <shadow val="0"/>
        <u val="none"/>
        <vertAlign val="baseline"/>
        <sz val="18"/>
        <color theme="1"/>
        <name val="Aptos Narrow"/>
        <family val="2"/>
        <scheme val="minor"/>
      </font>
      <numFmt numFmtId="0" formatCode="General"/>
      <alignment horizontal="left" vertical="bottom"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20/07/relationships/rdRichValueWebImage" Target="richData/rdRichValueWebImage.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laytech" refreshedDate="46001.30839849537" createdVersion="8" refreshedVersion="8" minRefreshableVersion="3" recordCount="204" xr:uid="{C0C2ECD2-C120-44AB-A5D8-8F422125F40C}">
  <cacheSource type="worksheet">
    <worksheetSource name="OWNED"/>
  </cacheSource>
  <cacheFields count="9">
    <cacheField name="name" numFmtId="0">
      <sharedItems/>
    </cacheField>
    <cacheField name="bgg_id" numFmtId="0">
      <sharedItems containsSemiMixedTypes="0" containsString="0" containsNumber="1" containsInteger="1" minValue="7" maxValue="447244"/>
    </cacheField>
    <cacheField name="label" numFmtId="0">
      <sharedItems containsString="0" containsBlank="1" containsNumber="1" containsInteger="1" minValue="1" maxValue="1"/>
    </cacheField>
    <cacheField name="check_unique" numFmtId="0">
      <sharedItems containsSemiMixedTypes="0" containsString="0" containsNumber="1" containsInteger="1" minValue="1" maxValue="2"/>
    </cacheField>
    <cacheField name="bgg_name" numFmtId="0">
      <sharedItems/>
    </cacheField>
    <cacheField name="check_name" numFmtId="0">
      <sharedItems/>
    </cacheField>
    <cacheField name="category" numFmtId="0">
      <sharedItems containsBlank="1" count="6">
        <s v="GATEWAY_STRATEGY"/>
        <s v="CORE_STRATEGY"/>
        <s v="KIDS_FAMILIES"/>
        <m/>
        <s v="PARTY_ICEBREAKERS"/>
        <s v="COOP_ADVENTURE"/>
      </sharedItems>
    </cacheField>
    <cacheField name="lib_cat_chk" numFmtId="0">
      <sharedItems/>
    </cacheField>
    <cacheField name="nz_desgn"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s v="7 Wonders"/>
    <n v="68448"/>
    <m/>
    <n v="1"/>
    <s v="7 Wonders"/>
    <b v="1"/>
    <x v="0"/>
    <b v="1"/>
    <n v="0"/>
  </r>
  <r>
    <s v="7 Wonders Duel"/>
    <n v="173346"/>
    <m/>
    <n v="1"/>
    <s v="7 Wonders Duel"/>
    <b v="1"/>
    <x v="0"/>
    <b v="1"/>
    <n v="0"/>
  </r>
  <r>
    <s v="A Feast for Odin"/>
    <n v="177736"/>
    <m/>
    <n v="1"/>
    <s v="A Feast for Odin"/>
    <b v="1"/>
    <x v="1"/>
    <b v="1"/>
    <n v="0"/>
  </r>
  <r>
    <s v="Abandon All Artichokes"/>
    <n v="302260"/>
    <m/>
    <n v="1"/>
    <s v="Abandon All Artichokes"/>
    <b v="1"/>
    <x v="2"/>
    <b v="1"/>
    <n v="0"/>
  </r>
  <r>
    <s v="Air, Land, &amp; Sea"/>
    <n v="247367"/>
    <n v="1"/>
    <n v="2"/>
    <s v="Air, Land, &amp; Sea"/>
    <b v="1"/>
    <x v="3"/>
    <e v="#N/A"/>
    <n v="0"/>
  </r>
  <r>
    <s v="Akropolis"/>
    <n v="357563"/>
    <m/>
    <n v="1"/>
    <s v="Akropolis"/>
    <b v="1"/>
    <x v="0"/>
    <b v="1"/>
    <n v="0"/>
  </r>
  <r>
    <s v="Animal Upon Animal"/>
    <n v="17329"/>
    <m/>
    <n v="1"/>
    <s v="Animal Upon Animal"/>
    <b v="1"/>
    <x v="2"/>
    <b v="1"/>
    <n v="0"/>
  </r>
  <r>
    <s v="Anomia"/>
    <n v="67877"/>
    <m/>
    <n v="1"/>
    <s v="Anomia"/>
    <b v="1"/>
    <x v="4"/>
    <b v="1"/>
    <n v="0"/>
  </r>
  <r>
    <s v="Ascension: Deckbuilding Game"/>
    <n v="69789"/>
    <m/>
    <n v="1"/>
    <s v="Ascension: Deckbuilding Game"/>
    <b v="1"/>
    <x v="0"/>
    <b v="1"/>
    <n v="0"/>
  </r>
  <r>
    <s v="Azul"/>
    <n v="230802"/>
    <m/>
    <n v="1"/>
    <s v="Azul"/>
    <b v="1"/>
    <x v="0"/>
    <b v="1"/>
    <n v="0"/>
  </r>
  <r>
    <s v="Battlestar Galactica: The Board Game"/>
    <n v="37111"/>
    <m/>
    <n v="1"/>
    <s v="Battlestar Galactica: The Board Game"/>
    <b v="1"/>
    <x v="1"/>
    <b v="1"/>
    <n v="0"/>
  </r>
  <r>
    <s v="Bohnanza"/>
    <n v="11"/>
    <m/>
    <n v="1"/>
    <s v="Bohnanza"/>
    <b v="1"/>
    <x v="0"/>
    <b v="1"/>
    <n v="0"/>
  </r>
  <r>
    <s v="BUILDZI"/>
    <n v="326243"/>
    <m/>
    <n v="1"/>
    <s v="BUILDZI"/>
    <b v="1"/>
    <x v="2"/>
    <b v="1"/>
    <n v="0"/>
  </r>
  <r>
    <s v="Calico"/>
    <n v="283155"/>
    <m/>
    <n v="1"/>
    <s v="Calico"/>
    <b v="1"/>
    <x v="0"/>
    <b v="1"/>
    <n v="0"/>
  </r>
  <r>
    <s v="Camel Up (Second Edition)"/>
    <n v="260605"/>
    <m/>
    <n v="1"/>
    <s v="Camel Up (Second Edition)"/>
    <b v="1"/>
    <x v="4"/>
    <b v="1"/>
    <n v="0"/>
  </r>
  <r>
    <s v="Captain Sonar"/>
    <n v="171131"/>
    <m/>
    <n v="1"/>
    <s v="Captain Sonar"/>
    <b v="1"/>
    <x v="5"/>
    <b v="1"/>
    <n v="0"/>
  </r>
  <r>
    <s v="Carcassonne"/>
    <n v="822"/>
    <m/>
    <n v="1"/>
    <s v="Carcassonne"/>
    <b v="1"/>
    <x v="0"/>
    <b v="1"/>
    <n v="0"/>
  </r>
  <r>
    <s v="Cartographers"/>
    <n v="263918"/>
    <m/>
    <n v="1"/>
    <s v="Cartographers"/>
    <b v="1"/>
    <x v="0"/>
    <b v="1"/>
    <n v="0"/>
  </r>
  <r>
    <s v="Cascadia"/>
    <n v="295947"/>
    <m/>
    <n v="1"/>
    <s v="Cascadia"/>
    <b v="1"/>
    <x v="0"/>
    <b v="1"/>
    <n v="0"/>
  </r>
  <r>
    <s v="Castles of Mad King Ludwig"/>
    <n v="155426"/>
    <n v="1"/>
    <n v="1"/>
    <e v="#N/A"/>
    <e v="#N/A"/>
    <x v="3"/>
    <e v="#N/A"/>
    <n v="0"/>
  </r>
  <r>
    <s v="CATAN"/>
    <n v="13"/>
    <m/>
    <n v="1"/>
    <s v="CATAN"/>
    <b v="1"/>
    <x v="0"/>
    <b v="1"/>
    <n v="0"/>
  </r>
  <r>
    <s v="Category 5 aka. 6 nimmt! aka. Take 5"/>
    <n v="432"/>
    <m/>
    <n v="1"/>
    <s v="Take 5"/>
    <b v="0"/>
    <x v="4"/>
    <b v="1"/>
    <n v="0"/>
  </r>
  <r>
    <s v="Cathedral"/>
    <n v="7"/>
    <m/>
    <n v="1"/>
    <s v="Cathedral"/>
    <b v="1"/>
    <x v="0"/>
    <b v="1"/>
    <n v="1"/>
  </r>
  <r>
    <s v="Caverna: The Cave Farmers"/>
    <n v="102794"/>
    <m/>
    <n v="1"/>
    <s v="Caverna: The Cave Farmers"/>
    <b v="1"/>
    <x v="1"/>
    <b v="1"/>
    <n v="0"/>
  </r>
  <r>
    <s v="Chronicles of Crime"/>
    <n v="239188"/>
    <m/>
    <n v="1"/>
    <s v="Chronicles of Crime"/>
    <b v="1"/>
    <x v="5"/>
    <b v="1"/>
    <n v="0"/>
  </r>
  <r>
    <s v="Citadels"/>
    <n v="205398"/>
    <m/>
    <n v="1"/>
    <s v="Citadels"/>
    <b v="1"/>
    <x v="0"/>
    <b v="1"/>
    <n v="0"/>
  </r>
  <r>
    <s v="Cockroach Soup"/>
    <n v="38391"/>
    <m/>
    <n v="1"/>
    <s v="Kakerlakensuppe"/>
    <b v="0"/>
    <x v="2"/>
    <b v="1"/>
    <n v="0"/>
  </r>
  <r>
    <s v="Codenames"/>
    <n v="178900"/>
    <m/>
    <n v="1"/>
    <s v="Codenames"/>
    <b v="1"/>
    <x v="4"/>
    <b v="1"/>
    <n v="0"/>
  </r>
  <r>
    <s v="Coloretto"/>
    <n v="5782"/>
    <m/>
    <n v="1"/>
    <s v="Coloretto"/>
    <b v="1"/>
    <x v="4"/>
    <b v="1"/>
    <n v="0"/>
  </r>
  <r>
    <s v="Concept"/>
    <n v="147151"/>
    <m/>
    <n v="1"/>
    <s v="Concept"/>
    <b v="1"/>
    <x v="4"/>
    <b v="1"/>
    <n v="0"/>
  </r>
  <r>
    <s v="Cosmolancer"/>
    <n v="119"/>
    <m/>
    <n v="1"/>
    <s v="Cosmolancer"/>
    <b v="1"/>
    <x v="4"/>
    <b v="1"/>
    <n v="0"/>
  </r>
  <r>
    <s v="Dead of Winter: A Crossroads Game"/>
    <n v="150376"/>
    <m/>
    <n v="1"/>
    <s v="Dead of Winter: A Crossroads Game"/>
    <b v="1"/>
    <x v="5"/>
    <b v="1"/>
    <n v="0"/>
  </r>
  <r>
    <s v="Dead of Winter: The Long Night"/>
    <n v="193037"/>
    <m/>
    <n v="1"/>
    <s v="Dead of Winter: The Long Night"/>
    <b v="1"/>
    <x v="5"/>
    <b v="1"/>
    <n v="0"/>
  </r>
  <r>
    <s v="Deception: Murder in Hong Kong"/>
    <n v="156129"/>
    <n v="1"/>
    <n v="1"/>
    <s v="Deception: Murder in Hong Kong"/>
    <b v="1"/>
    <x v="4"/>
    <b v="1"/>
    <n v="0"/>
  </r>
  <r>
    <s v="Decrypto"/>
    <n v="225694"/>
    <m/>
    <n v="1"/>
    <s v="Decrypto"/>
    <b v="1"/>
    <x v="4"/>
    <b v="1"/>
    <n v="0"/>
  </r>
  <r>
    <s v="Descent: Legends of the Dark"/>
    <n v="322708"/>
    <m/>
    <n v="1"/>
    <s v="Descent: Legends of the Dark"/>
    <b v="1"/>
    <x v="5"/>
    <b v="1"/>
    <n v="0"/>
  </r>
  <r>
    <s v="Dinosaur World"/>
    <n v="317457"/>
    <n v="1"/>
    <n v="1"/>
    <s v="Dinosaur World"/>
    <b v="1"/>
    <x v="1"/>
    <b v="1"/>
    <n v="0"/>
  </r>
  <r>
    <s v="Dixit"/>
    <n v="39856"/>
    <m/>
    <n v="1"/>
    <s v="Dixit"/>
    <b v="1"/>
    <x v="4"/>
    <b v="1"/>
    <n v="0"/>
  </r>
  <r>
    <s v="Dominion: Intrigue"/>
    <n v="40834"/>
    <m/>
    <n v="1"/>
    <s v="Dominion: Intrigue"/>
    <b v="1"/>
    <x v="1"/>
    <b v="1"/>
    <n v="0"/>
  </r>
  <r>
    <s v="Dorfromantik: The Board Game"/>
    <n v="370591"/>
    <m/>
    <n v="1"/>
    <s v="Dorfromantik: The Board Game"/>
    <b v="1"/>
    <x v="5"/>
    <b v="1"/>
    <n v="0"/>
  </r>
  <r>
    <s v="Downforce"/>
    <n v="215311"/>
    <m/>
    <n v="1"/>
    <s v="Downforce"/>
    <b v="1"/>
    <x v="0"/>
    <b v="1"/>
    <n v="0"/>
  </r>
  <r>
    <s v="Dragomino"/>
    <n v="300010"/>
    <m/>
    <n v="1"/>
    <s v="Dragomino"/>
    <b v="1"/>
    <x v="2"/>
    <b v="1"/>
    <n v="0"/>
  </r>
  <r>
    <s v="Drop It"/>
    <n v="244916"/>
    <m/>
    <n v="1"/>
    <s v="Drop It"/>
    <b v="1"/>
    <x v="2"/>
    <b v="1"/>
    <n v="0"/>
  </r>
  <r>
    <s v="Dungeons &amp; Dragons: Waterdeep – Dungeon of the Mad Mage Board Game"/>
    <n v="264196"/>
    <m/>
    <n v="1"/>
    <s v="Dungeons &amp; Dragons: Waterdeep – Dungeon of the Mad Mage Board Game"/>
    <b v="1"/>
    <x v="5"/>
    <b v="1"/>
    <n v="0"/>
  </r>
  <r>
    <s v="Eclipse: New Dawn for the Galaxy"/>
    <n v="72125"/>
    <m/>
    <n v="1"/>
    <s v="Eclipse: New Dawn for the Galaxy"/>
    <b v="1"/>
    <x v="1"/>
    <b v="1"/>
    <n v="0"/>
  </r>
  <r>
    <s v="Elder Sign"/>
    <n v="100423"/>
    <m/>
    <n v="1"/>
    <s v="Elder Sign"/>
    <b v="1"/>
    <x v="5"/>
    <b v="1"/>
    <n v="0"/>
  </r>
  <r>
    <s v="Escape Room: The Game"/>
    <n v="204836"/>
    <m/>
    <n v="1"/>
    <s v="Escape Room: The Game"/>
    <b v="1"/>
    <x v="5"/>
    <b v="1"/>
    <n v="0"/>
  </r>
  <r>
    <s v="Exploding Kittens: The Board Game"/>
    <n v="447244"/>
    <m/>
    <n v="1"/>
    <s v="Exploding Kittens: The Board Game"/>
    <b v="1"/>
    <x v="4"/>
    <b v="1"/>
    <n v="0"/>
  </r>
  <r>
    <s v="Finca"/>
    <n v="261720"/>
    <m/>
    <n v="1"/>
    <s v="Finca"/>
    <b v="1"/>
    <x v="0"/>
    <b v="1"/>
    <n v="0"/>
  </r>
  <r>
    <s v="Five Crowns"/>
    <n v="1472"/>
    <n v="1"/>
    <n v="1"/>
    <s v="Five Crowns"/>
    <b v="1"/>
    <x v="2"/>
    <b v="1"/>
    <n v="0"/>
  </r>
  <r>
    <s v="Five Tribes: The Djinns of Naqala"/>
    <n v="157354"/>
    <m/>
    <n v="1"/>
    <s v="Five Tribes: The Djinns of Naqala"/>
    <b v="1"/>
    <x v="1"/>
    <b v="1"/>
    <n v="0"/>
  </r>
  <r>
    <s v="Flaming Pyramids"/>
    <n v="236639"/>
    <m/>
    <n v="1"/>
    <s v="Flaming Pyramids"/>
    <b v="1"/>
    <x v="4"/>
    <b v="1"/>
    <n v="1"/>
  </r>
  <r>
    <s v="Flip 7"/>
    <n v="420087"/>
    <m/>
    <n v="1"/>
    <s v="Flip 7"/>
    <b v="1"/>
    <x v="4"/>
    <b v="1"/>
    <n v="0"/>
  </r>
  <r>
    <s v="Flipology"/>
    <n v="261140"/>
    <m/>
    <n v="1"/>
    <s v="Flipology"/>
    <b v="1"/>
    <x v="4"/>
    <b v="1"/>
    <n v="1"/>
  </r>
  <r>
    <s v="Floating Floors"/>
    <n v="334712"/>
    <m/>
    <n v="1"/>
    <s v="Floating Floors"/>
    <b v="1"/>
    <x v="2"/>
    <b v="1"/>
    <n v="0"/>
  </r>
  <r>
    <s v="Fluxx"/>
    <n v="258"/>
    <m/>
    <n v="1"/>
    <s v="Fluxx"/>
    <b v="1"/>
    <x v="4"/>
    <b v="1"/>
    <n v="0"/>
  </r>
  <r>
    <s v="For Sale"/>
    <n v="172"/>
    <m/>
    <n v="1"/>
    <s v="For Sale"/>
    <b v="1"/>
    <x v="4"/>
    <b v="1"/>
    <n v="0"/>
  </r>
  <r>
    <s v="Forbidden Island"/>
    <n v="65244"/>
    <m/>
    <n v="1"/>
    <s v="Forbidden Island"/>
    <b v="1"/>
    <x v="5"/>
    <b v="1"/>
    <n v="0"/>
  </r>
  <r>
    <s v="Forgotten Waters"/>
    <n v="302723"/>
    <n v="1"/>
    <n v="1"/>
    <s v="Forgotten Waters"/>
    <b v="1"/>
    <x v="5"/>
    <b v="1"/>
    <n v="0"/>
  </r>
  <r>
    <s v="Fort"/>
    <n v="296912"/>
    <m/>
    <n v="1"/>
    <s v="Fort"/>
    <b v="1"/>
    <x v="0"/>
    <b v="1"/>
    <n v="0"/>
  </r>
  <r>
    <s v="Gardeners"/>
    <n v="361840"/>
    <m/>
    <n v="1"/>
    <s v="Gardeners"/>
    <b v="1"/>
    <x v="5"/>
    <b v="1"/>
    <n v="0"/>
  </r>
  <r>
    <s v="Give Me the Brain!"/>
    <n v="176"/>
    <m/>
    <n v="1"/>
    <s v="Give Me the Brain!"/>
    <b v="1"/>
    <x v="4"/>
    <b v="1"/>
    <n v="0"/>
  </r>
  <r>
    <s v="Glimstone Grab"/>
    <n v="303929"/>
    <m/>
    <n v="1"/>
    <s v="Glimstone Grab"/>
    <b v="1"/>
    <x v="2"/>
    <b v="1"/>
    <n v="1"/>
  </r>
  <r>
    <s v="Gloomhaven"/>
    <n v="174430"/>
    <m/>
    <n v="1"/>
    <s v="Gloomhaven"/>
    <b v="1"/>
    <x v="5"/>
    <b v="1"/>
    <n v="0"/>
  </r>
  <r>
    <s v="Granny Wars:  A Game of Tit for Tat"/>
    <n v="146765"/>
    <m/>
    <n v="1"/>
    <s v="Granny Wars:  A Game of Tit for Tat"/>
    <b v="1"/>
    <x v="4"/>
    <b v="1"/>
    <n v="0"/>
  </r>
  <r>
    <s v="Hanabi"/>
    <n v="98778"/>
    <m/>
    <n v="1"/>
    <s v="Hanabi"/>
    <b v="1"/>
    <x v="5"/>
    <b v="1"/>
    <n v="0"/>
  </r>
  <r>
    <s v="Heat: Pedal to the Metal"/>
    <n v="366013"/>
    <m/>
    <n v="1"/>
    <s v="Heat: Pedal to the Metal"/>
    <b v="1"/>
    <x v="0"/>
    <b v="1"/>
    <n v="0"/>
  </r>
  <r>
    <s v="Herd Mentality"/>
    <n v="311322"/>
    <m/>
    <n v="1"/>
    <s v="Herd Mentality"/>
    <b v="1"/>
    <x v="4"/>
    <b v="1"/>
    <n v="0"/>
  </r>
  <r>
    <s v="Hive"/>
    <n v="2655"/>
    <m/>
    <n v="1"/>
    <s v="Hive"/>
    <b v="1"/>
    <x v="0"/>
    <b v="1"/>
    <n v="0"/>
  </r>
  <r>
    <s v="Hoard"/>
    <n v="180471"/>
    <m/>
    <n v="1"/>
    <s v="Hoard"/>
    <b v="1"/>
    <x v="0"/>
    <b v="1"/>
    <n v="1"/>
  </r>
  <r>
    <s v="Horrified"/>
    <n v="282524"/>
    <m/>
    <n v="1"/>
    <s v="Horrified"/>
    <b v="1"/>
    <x v="5"/>
    <b v="1"/>
    <n v="0"/>
  </r>
  <r>
    <s v="Hues and Cues"/>
    <n v="302520"/>
    <m/>
    <n v="1"/>
    <s v="Hues and Cues"/>
    <b v="1"/>
    <x v="4"/>
    <b v="1"/>
    <n v="0"/>
  </r>
  <r>
    <s v="Iberia"/>
    <n v="198928"/>
    <m/>
    <n v="1"/>
    <s v="Iberia"/>
    <b v="1"/>
    <x v="5"/>
    <b v="1"/>
    <n v="0"/>
  </r>
  <r>
    <s v="Infernal Wagon"/>
    <n v="358805"/>
    <m/>
    <n v="1"/>
    <s v="Infernal Wagon"/>
    <b v="1"/>
    <x v="5"/>
    <b v="1"/>
    <n v="0"/>
  </r>
  <r>
    <s v="Jaipur"/>
    <n v="54043"/>
    <m/>
    <n v="1"/>
    <s v="Jaipur"/>
    <b v="1"/>
    <x v="0"/>
    <b v="1"/>
    <n v="0"/>
  </r>
  <r>
    <s v="Jungle Speed"/>
    <n v="8098"/>
    <m/>
    <n v="1"/>
    <s v="Jungle Speed"/>
    <b v="1"/>
    <x v="4"/>
    <b v="1"/>
    <n v="0"/>
  </r>
  <r>
    <s v="Just One"/>
    <n v="254640"/>
    <m/>
    <n v="1"/>
    <s v="Just One"/>
    <b v="1"/>
    <x v="4"/>
    <b v="1"/>
    <n v="0"/>
  </r>
  <r>
    <s v="Kaleidoscope (Enkounter)"/>
    <n v="22123"/>
    <m/>
    <n v="1"/>
    <s v="Enkounter"/>
    <b v="0"/>
    <x v="4"/>
    <b v="1"/>
    <n v="0"/>
  </r>
  <r>
    <s v="Kiitos"/>
    <n v="300509"/>
    <m/>
    <n v="1"/>
    <s v="Kiitos"/>
    <b v="1"/>
    <x v="4"/>
    <b v="1"/>
    <n v="0"/>
  </r>
  <r>
    <s v="King of Tokyo"/>
    <n v="70323"/>
    <m/>
    <n v="1"/>
    <s v="King of Tokyo"/>
    <b v="1"/>
    <x v="0"/>
    <b v="1"/>
    <n v="0"/>
  </r>
  <r>
    <s v="Kingdomino"/>
    <n v="204583"/>
    <m/>
    <n v="1"/>
    <s v="Kingdomino"/>
    <b v="1"/>
    <x v="0"/>
    <b v="1"/>
    <n v="0"/>
  </r>
  <r>
    <s v="Kingdomino Duel"/>
    <n v="281960"/>
    <m/>
    <n v="1"/>
    <s v="Kingdomino Duel"/>
    <b v="1"/>
    <x v="0"/>
    <b v="1"/>
    <n v="0"/>
  </r>
  <r>
    <s v="Kites"/>
    <n v="348096"/>
    <n v="1"/>
    <n v="1"/>
    <s v="Kites"/>
    <b v="1"/>
    <x v="3"/>
    <e v="#N/A"/>
    <n v="0"/>
  </r>
  <r>
    <s v="KLASK"/>
    <n v="165722"/>
    <m/>
    <n v="1"/>
    <s v="KLASK"/>
    <b v="1"/>
    <x v="2"/>
    <b v="1"/>
    <n v="0"/>
  </r>
  <r>
    <s v="Komodo"/>
    <n v="124992"/>
    <m/>
    <n v="1"/>
    <s v="Komodo"/>
    <b v="1"/>
    <x v="0"/>
    <b v="1"/>
    <n v="1"/>
  </r>
  <r>
    <s v="Lanterns: The Harvest Festival"/>
    <n v="160851"/>
    <m/>
    <n v="1"/>
    <s v="Lanterns: The Harvest Festival"/>
    <b v="1"/>
    <x v="0"/>
    <b v="1"/>
    <n v="0"/>
  </r>
  <r>
    <s v="Leaping Lemmings"/>
    <n v="29687"/>
    <m/>
    <n v="1"/>
    <s v="Leaping Lemmings"/>
    <b v="1"/>
    <x v="0"/>
    <b v="1"/>
    <n v="0"/>
  </r>
  <r>
    <s v="Libertalia: Winds of Galecrest"/>
    <n v="356033"/>
    <m/>
    <n v="1"/>
    <s v="Libertalia: Winds of Galecrest"/>
    <b v="1"/>
    <x v="1"/>
    <b v="1"/>
    <n v="0"/>
  </r>
  <r>
    <s v="Lindyhop"/>
    <n v="367829"/>
    <m/>
    <n v="1"/>
    <s v="Lindyhop"/>
    <b v="1"/>
    <x v="4"/>
    <b v="1"/>
    <n v="1"/>
  </r>
  <r>
    <s v="Little Town"/>
    <n v="241266"/>
    <m/>
    <n v="1"/>
    <s v="Little Town"/>
    <b v="1"/>
    <x v="0"/>
    <b v="1"/>
    <n v="0"/>
  </r>
  <r>
    <s v="Long Shot: The Dice Game"/>
    <n v="295374"/>
    <m/>
    <n v="1"/>
    <s v="Long Shot: The Dice Game"/>
    <b v="1"/>
    <x v="4"/>
    <b v="1"/>
    <n v="0"/>
  </r>
  <r>
    <s v="Lost Ruins of Arnak"/>
    <n v="312484"/>
    <n v="1"/>
    <n v="1"/>
    <s v="Lost Ruins of Arnak"/>
    <b v="1"/>
    <x v="3"/>
    <e v="#N/A"/>
    <n v="0"/>
  </r>
  <r>
    <s v="Love Letter"/>
    <n v="277085"/>
    <m/>
    <n v="1"/>
    <s v="Love Letter"/>
    <b v="1"/>
    <x v="4"/>
    <b v="1"/>
    <n v="0"/>
  </r>
  <r>
    <s v="Lunar"/>
    <n v="383452"/>
    <m/>
    <n v="1"/>
    <s v="Lunar"/>
    <b v="1"/>
    <x v="0"/>
    <b v="1"/>
    <n v="0"/>
  </r>
  <r>
    <s v="Mage Knight Board Game"/>
    <n v="96848"/>
    <m/>
    <n v="1"/>
    <s v="Mage Knight Board Game"/>
    <b v="1"/>
    <x v="1"/>
    <b v="1"/>
    <n v="0"/>
  </r>
  <r>
    <s v="Magic Maze"/>
    <n v="209778"/>
    <m/>
    <n v="1"/>
    <s v="Magic Maze"/>
    <b v="1"/>
    <x v="5"/>
    <b v="1"/>
    <n v="0"/>
  </r>
  <r>
    <s v="Magic: The Gathering – Arena of the Planeswalkers"/>
    <n v="167698"/>
    <m/>
    <n v="1"/>
    <s v="Magic: The Gathering – Arena of the Planeswalkers"/>
    <b v="1"/>
    <x v="1"/>
    <b v="1"/>
    <n v="0"/>
  </r>
  <r>
    <s v="Manifest"/>
    <n v="152471"/>
    <m/>
    <n v="1"/>
    <s v="Manifest"/>
    <b v="1"/>
    <x v="1"/>
    <b v="1"/>
    <n v="1"/>
  </r>
  <r>
    <s v="Mansions of Madness: Second Edition"/>
    <n v="205059"/>
    <m/>
    <n v="1"/>
    <s v="Mansions of Madness: Second Edition"/>
    <b v="1"/>
    <x v="5"/>
    <b v="1"/>
    <n v="0"/>
  </r>
  <r>
    <s v="Meadow"/>
    <n v="314491"/>
    <m/>
    <n v="1"/>
    <s v="Meadow"/>
    <b v="1"/>
    <x v="0"/>
    <b v="1"/>
    <n v="0"/>
  </r>
  <r>
    <s v="Meeple Circus"/>
    <n v="193214"/>
    <m/>
    <n v="1"/>
    <s v="Meeple Circus"/>
    <b v="1"/>
    <x v="2"/>
    <b v="1"/>
    <n v="0"/>
  </r>
  <r>
    <s v="Mermaid Island"/>
    <n v="94486"/>
    <m/>
    <n v="1"/>
    <s v="Mermaid Island"/>
    <b v="1"/>
    <x v="2"/>
    <b v="1"/>
    <n v="0"/>
  </r>
  <r>
    <s v="Minecraft: Builders &amp; Biomes"/>
    <n v="269603"/>
    <m/>
    <n v="1"/>
    <s v="Minecraft: Builders &amp; Biomes"/>
    <b v="1"/>
    <x v="0"/>
    <b v="1"/>
    <n v="0"/>
  </r>
  <r>
    <s v="Modern Art"/>
    <n v="118"/>
    <m/>
    <n v="1"/>
    <s v="Modern Art"/>
    <b v="1"/>
    <x v="0"/>
    <b v="1"/>
    <n v="0"/>
  </r>
  <r>
    <s v="Monikers"/>
    <n v="156546"/>
    <n v="1"/>
    <n v="1"/>
    <s v="Monikers"/>
    <b v="1"/>
    <x v="3"/>
    <e v="#N/A"/>
    <n v="0"/>
  </r>
  <r>
    <s v="My City"/>
    <n v="295486"/>
    <m/>
    <n v="1"/>
    <s v="My City"/>
    <b v="1"/>
    <x v="0"/>
    <b v="1"/>
    <n v="0"/>
  </r>
  <r>
    <s v="My First Bohnanza"/>
    <n v="171419"/>
    <m/>
    <n v="1"/>
    <s v="My First Bohnanza"/>
    <b v="1"/>
    <x v="2"/>
    <b v="1"/>
    <n v="0"/>
  </r>
  <r>
    <s v="My First Castle Panic"/>
    <n v="267314"/>
    <m/>
    <n v="1"/>
    <s v="My First Castle Panic"/>
    <b v="1"/>
    <x v="2"/>
    <b v="1"/>
    <n v="0"/>
  </r>
  <r>
    <s v="My First Stone Age"/>
    <n v="191004"/>
    <m/>
    <n v="1"/>
    <s v="My First Stone Age"/>
    <b v="1"/>
    <x v="2"/>
    <b v="1"/>
    <n v="0"/>
  </r>
  <r>
    <s v="Mysterium Park"/>
    <n v="301767"/>
    <m/>
    <n v="1"/>
    <s v="Mysterium Park"/>
    <b v="1"/>
    <x v="5"/>
    <b v="1"/>
    <n v="0"/>
  </r>
  <r>
    <s v="Nemesis"/>
    <n v="167355"/>
    <m/>
    <n v="1"/>
    <s v="Nemesis"/>
    <b v="1"/>
    <x v="5"/>
    <b v="1"/>
    <n v="0"/>
  </r>
  <r>
    <s v="Next Station: London"/>
    <n v="353545"/>
    <n v="1"/>
    <n v="1"/>
    <s v="Next Station: London"/>
    <b v="1"/>
    <x v="3"/>
    <e v="#N/A"/>
    <n v="0"/>
  </r>
  <r>
    <s v="Ni no Kuni II: The Board Game"/>
    <n v="285125"/>
    <m/>
    <n v="1"/>
    <s v="Ni no Kuni II: The Board Game"/>
    <b v="1"/>
    <x v="1"/>
    <b v="1"/>
    <n v="0"/>
  </r>
  <r>
    <s v="No Mercy for Monsters"/>
    <n v="299574"/>
    <m/>
    <n v="1"/>
    <s v="No Mercy for Monsters"/>
    <b v="1"/>
    <x v="2"/>
    <b v="1"/>
    <n v="0"/>
  </r>
  <r>
    <s v="No Thanks!"/>
    <n v="12942"/>
    <m/>
    <n v="1"/>
    <s v="No Thanks!"/>
    <b v="1"/>
    <x v="4"/>
    <b v="1"/>
    <n v="0"/>
  </r>
  <r>
    <s v="Nunatak: Temple of Ice"/>
    <n v="383158"/>
    <m/>
    <n v="1"/>
    <s v="Nunatak: Temple of Ice"/>
    <b v="1"/>
    <x v="0"/>
    <b v="1"/>
    <n v="0"/>
  </r>
  <r>
    <s v="Oaxaca: Crafts of a Culture"/>
    <n v="147241"/>
    <m/>
    <n v="1"/>
    <s v="Oaxaca: Crafts of a Culture"/>
    <b v="1"/>
    <x v="0"/>
    <b v="1"/>
    <n v="0"/>
  </r>
  <r>
    <s v="Obscurio"/>
    <n v="273477"/>
    <n v="1"/>
    <n v="1"/>
    <s v="Obscurio"/>
    <b v="1"/>
    <x v="5"/>
    <b v="1"/>
    <n v="0"/>
  </r>
  <r>
    <s v="On Tour"/>
    <n v="251412"/>
    <m/>
    <n v="1"/>
    <s v="On Tour"/>
    <b v="1"/>
    <x v="4"/>
    <b v="1"/>
    <n v="0"/>
  </r>
  <r>
    <s v="Outfoxed!"/>
    <n v="172931"/>
    <m/>
    <n v="1"/>
    <s v="Outfoxed!"/>
    <b v="1"/>
    <x v="2"/>
    <b v="1"/>
    <n v="0"/>
  </r>
  <r>
    <s v="Ovation"/>
    <n v="326264"/>
    <m/>
    <n v="1"/>
    <s v="Ovation"/>
    <b v="1"/>
    <x v="0"/>
    <b v="1"/>
    <n v="0"/>
  </r>
  <r>
    <s v="Paladins of the West Kingdom"/>
    <n v="266810"/>
    <m/>
    <n v="1"/>
    <s v="Paladins of the West Kingdom"/>
    <b v="1"/>
    <x v="1"/>
    <b v="1"/>
    <n v="1"/>
  </r>
  <r>
    <s v="Pandemic"/>
    <n v="30549"/>
    <m/>
    <n v="1"/>
    <s v="Pandemic"/>
    <b v="1"/>
    <x v="5"/>
    <b v="1"/>
    <n v="0"/>
  </r>
  <r>
    <s v="Patchwork"/>
    <n v="163412"/>
    <m/>
    <n v="1"/>
    <s v="Patchwork"/>
    <b v="1"/>
    <x v="0"/>
    <b v="1"/>
    <n v="0"/>
  </r>
  <r>
    <s v="Pictionary Air"/>
    <n v="272889"/>
    <m/>
    <n v="1"/>
    <s v="Pictionary Air"/>
    <b v="1"/>
    <x v="4"/>
    <b v="1"/>
    <n v="0"/>
  </r>
  <r>
    <s v="Planted: A Game of Nature &amp; Nurture"/>
    <n v="365104"/>
    <m/>
    <n v="1"/>
    <s v="Planted: A Game of Nature &amp; Nurture"/>
    <b v="1"/>
    <x v="0"/>
    <b v="1"/>
    <n v="0"/>
  </r>
  <r>
    <s v="Point Salad"/>
    <n v="274960"/>
    <m/>
    <n v="1"/>
    <s v="Point Salad"/>
    <b v="1"/>
    <x v="4"/>
    <b v="1"/>
    <n v="0"/>
  </r>
  <r>
    <s v="Power Grid"/>
    <n v="2651"/>
    <m/>
    <n v="1"/>
    <s v="Power Grid"/>
    <b v="1"/>
    <x v="1"/>
    <b v="1"/>
    <n v="0"/>
  </r>
  <r>
    <s v="Puerto Rico 1897"/>
    <n v="367272"/>
    <n v="1"/>
    <n v="1"/>
    <e v="#N/A"/>
    <e v="#N/A"/>
    <x v="3"/>
    <e v="#N/A"/>
    <n v="0"/>
  </r>
  <r>
    <s v="Pylos"/>
    <n v="1419"/>
    <m/>
    <n v="1"/>
    <s v="Pylos"/>
    <b v="1"/>
    <x v="1"/>
    <b v="1"/>
    <n v="0"/>
  </r>
  <r>
    <s v="Raccoon Tycoon"/>
    <n v="254386"/>
    <m/>
    <n v="1"/>
    <s v="Raccoon Tycoon"/>
    <b v="1"/>
    <x v="0"/>
    <b v="1"/>
    <n v="0"/>
  </r>
  <r>
    <s v="Race for the Galaxy"/>
    <n v="28143"/>
    <m/>
    <n v="1"/>
    <s v="Race for the Galaxy"/>
    <b v="1"/>
    <x v="1"/>
    <b v="1"/>
    <n v="0"/>
  </r>
  <r>
    <s v="Raid the Pantry"/>
    <n v="124918"/>
    <m/>
    <n v="1"/>
    <s v="Raid the Pantry"/>
    <b v="1"/>
    <x v="0"/>
    <b v="1"/>
    <n v="1"/>
  </r>
  <r>
    <s v="Ready Set Bet"/>
    <n v="351040"/>
    <m/>
    <n v="1"/>
    <s v="Ready Set Bet"/>
    <b v="1"/>
    <x v="4"/>
    <b v="1"/>
    <n v="0"/>
  </r>
  <r>
    <s v="Regicide"/>
    <n v="307002"/>
    <m/>
    <n v="1"/>
    <s v="Regicide"/>
    <b v="1"/>
    <x v="5"/>
    <b v="1"/>
    <n v="1"/>
  </r>
  <r>
    <s v="Rhino Hero"/>
    <n v="91514"/>
    <m/>
    <n v="1"/>
    <s v="Rhino Hero"/>
    <b v="1"/>
    <x v="2"/>
    <b v="1"/>
    <n v="0"/>
  </r>
  <r>
    <s v="Rivals for Catan"/>
    <n v="66056"/>
    <m/>
    <n v="1"/>
    <s v="Rivals for Catan"/>
    <b v="1"/>
    <x v="0"/>
    <b v="1"/>
    <n v="0"/>
  </r>
  <r>
    <s v="River Dragons"/>
    <n v="634"/>
    <m/>
    <n v="1"/>
    <s v="River Dragons"/>
    <b v="1"/>
    <x v="0"/>
    <b v="1"/>
    <n v="0"/>
  </r>
  <r>
    <s v="RoboRally"/>
    <n v="18"/>
    <m/>
    <n v="1"/>
    <s v="RoboRally"/>
    <b v="1"/>
    <x v="1"/>
    <b v="1"/>
    <n v="0"/>
  </r>
  <r>
    <s v="Roller Coaster Rush"/>
    <n v="379644"/>
    <m/>
    <n v="1"/>
    <s v="Roller Coaster Rush"/>
    <b v="1"/>
    <x v="0"/>
    <b v="1"/>
    <n v="0"/>
  </r>
  <r>
    <s v="Rolling Realms"/>
    <n v="305682"/>
    <n v="1"/>
    <n v="1"/>
    <s v="Rolling Realms"/>
    <b v="1"/>
    <x v="3"/>
    <e v="#N/A"/>
    <n v="0"/>
  </r>
  <r>
    <s v="Rummikub"/>
    <n v="811"/>
    <m/>
    <n v="1"/>
    <s v="Rummikub"/>
    <b v="1"/>
    <x v="0"/>
    <b v="1"/>
    <n v="0"/>
  </r>
  <r>
    <s v="Saboteur"/>
    <n v="9220"/>
    <m/>
    <n v="1"/>
    <s v="Saboteur"/>
    <b v="1"/>
    <x v="0"/>
    <b v="1"/>
    <n v="0"/>
  </r>
  <r>
    <s v="Scythe"/>
    <n v="169786"/>
    <m/>
    <n v="1"/>
    <s v="Scythe"/>
    <b v="1"/>
    <x v="1"/>
    <b v="1"/>
    <n v="0"/>
  </r>
  <r>
    <s v="Sea Salt &amp; Paper"/>
    <n v="367220"/>
    <m/>
    <n v="1"/>
    <s v="Sea Salt &amp; Paper"/>
    <b v="1"/>
    <x v="4"/>
    <b v="1"/>
    <n v="0"/>
  </r>
  <r>
    <s v="Sequence"/>
    <n v="2375"/>
    <m/>
    <n v="1"/>
    <s v="Sequence"/>
    <b v="1"/>
    <x v="4"/>
    <b v="1"/>
    <n v="0"/>
  </r>
  <r>
    <s v="Sheriff of Nottingham: 2nd Edition"/>
    <n v="298638"/>
    <m/>
    <n v="1"/>
    <s v="Sheriff of Nottingham: 2nd Edition"/>
    <b v="1"/>
    <x v="4"/>
    <b v="1"/>
    <n v="0"/>
  </r>
  <r>
    <s v="Skull"/>
    <n v="92415"/>
    <m/>
    <n v="1"/>
    <s v="Skull"/>
    <b v="1"/>
    <x v="4"/>
    <b v="1"/>
    <n v="0"/>
  </r>
  <r>
    <s v="Sky Team"/>
    <n v="373106"/>
    <m/>
    <n v="1"/>
    <s v="Sky Team"/>
    <b v="1"/>
    <x v="5"/>
    <b v="1"/>
    <n v="0"/>
  </r>
  <r>
    <s v="Skyjo"/>
    <n v="204135"/>
    <n v="1"/>
    <n v="1"/>
    <s v="Skyjo"/>
    <b v="1"/>
    <x v="2"/>
    <b v="1"/>
    <n v="0"/>
  </r>
  <r>
    <s v="Slay the Spire: The Board Game"/>
    <n v="338960"/>
    <m/>
    <n v="1"/>
    <s v="Slay the Spire: The Board Game"/>
    <b v="1"/>
    <x v="5"/>
    <b v="1"/>
    <n v="0"/>
  </r>
  <r>
    <s v="Sleeping Queens 2: The Rescue!"/>
    <n v="358050"/>
    <m/>
    <n v="1"/>
    <s v="Sleeping Queens 2: The Rescue!"/>
    <b v="1"/>
    <x v="2"/>
    <b v="1"/>
    <n v="0"/>
  </r>
  <r>
    <s v="Space Alert"/>
    <n v="38453"/>
    <m/>
    <n v="1"/>
    <s v="Space Alert"/>
    <b v="1"/>
    <x v="5"/>
    <b v="1"/>
    <n v="0"/>
  </r>
  <r>
    <s v="Splendor"/>
    <n v="148228"/>
    <m/>
    <n v="1"/>
    <s v="Splendor"/>
    <b v="1"/>
    <x v="0"/>
    <b v="1"/>
    <n v="0"/>
  </r>
  <r>
    <s v="Spot it!"/>
    <n v="63268"/>
    <m/>
    <n v="1"/>
    <s v="Spot it!"/>
    <b v="1"/>
    <x v="2"/>
    <b v="1"/>
    <n v="0"/>
  </r>
  <r>
    <s v="Star Wars: Battle of Hoth"/>
    <n v="444481"/>
    <m/>
    <n v="1"/>
    <s v="Star Wars: Battle of Hoth"/>
    <b v="1"/>
    <x v="5"/>
    <b v="1"/>
    <n v="0"/>
  </r>
  <r>
    <s v="Stratego"/>
    <n v="1917"/>
    <n v="1"/>
    <n v="1"/>
    <s v="Stratego"/>
    <b v="1"/>
    <x v="0"/>
    <b v="1"/>
    <n v="0"/>
  </r>
  <r>
    <s v="Sushi Go Party!"/>
    <n v="192291"/>
    <m/>
    <n v="1"/>
    <s v="Sushi Go Party!"/>
    <b v="1"/>
    <x v="4"/>
    <b v="1"/>
    <n v="0"/>
  </r>
  <r>
    <s v="Telestrations: Upside Drawn"/>
    <n v="302463"/>
    <m/>
    <n v="1"/>
    <s v="Telestrations: Upside Drawn"/>
    <b v="1"/>
    <x v="4"/>
    <b v="1"/>
    <n v="0"/>
  </r>
  <r>
    <s v="That's Pretty Clever!"/>
    <n v="244522"/>
    <m/>
    <n v="1"/>
    <s v="That's Pretty Clever!"/>
    <b v="1"/>
    <x v="4"/>
    <b v="1"/>
    <n v="0"/>
  </r>
  <r>
    <s v="The 7th Citadel"/>
    <n v="286063"/>
    <m/>
    <n v="1"/>
    <s v="The 7th Citadel"/>
    <b v="1"/>
    <x v="5"/>
    <b v="1"/>
    <n v="0"/>
  </r>
  <r>
    <s v="The 7th Continent"/>
    <n v="180263"/>
    <m/>
    <n v="1"/>
    <s v="The 7th Continent"/>
    <b v="1"/>
    <x v="5"/>
    <b v="1"/>
    <n v="0"/>
  </r>
  <r>
    <s v="The Chameleon"/>
    <n v="227072"/>
    <n v="1"/>
    <n v="1"/>
    <s v="The Chameleon"/>
    <b v="1"/>
    <x v="4"/>
    <b v="1"/>
    <n v="0"/>
  </r>
  <r>
    <s v="The Crew: Mission Deep Sea"/>
    <n v="324856"/>
    <m/>
    <n v="1"/>
    <s v="The Crew: Mission Deep Sea"/>
    <b v="1"/>
    <x v="5"/>
    <b v="1"/>
    <n v="0"/>
  </r>
  <r>
    <s v="The Crew: The Quest for Planet Nine"/>
    <n v="284083"/>
    <n v="1"/>
    <n v="1"/>
    <s v="The Crew: The Quest for Planet Nine"/>
    <b v="1"/>
    <x v="3"/>
    <e v="#N/A"/>
    <n v="0"/>
  </r>
  <r>
    <s v="The Fellowship of the Ring: Trick-Taking Game"/>
    <n v="429293"/>
    <m/>
    <n v="1"/>
    <s v="The Lord of the Rings: The Fellowship of the Ring – Trick-Taking Game"/>
    <b v="0"/>
    <x v="5"/>
    <b v="1"/>
    <n v="0"/>
  </r>
  <r>
    <s v="The Fox in the Forest"/>
    <n v="221965"/>
    <m/>
    <n v="1"/>
    <s v="The Fox in the Forest"/>
    <b v="1"/>
    <x v="0"/>
    <b v="1"/>
    <n v="0"/>
  </r>
  <r>
    <s v="The Fox in the Forest Duet"/>
    <n v="288169"/>
    <m/>
    <n v="1"/>
    <s v="The Fox in the Forest Duet"/>
    <b v="1"/>
    <x v="5"/>
    <b v="1"/>
    <n v="0"/>
  </r>
  <r>
    <s v="The Fuzzies"/>
    <n v="314421"/>
    <n v="1"/>
    <n v="1"/>
    <s v="The Fuzzies"/>
    <b v="1"/>
    <x v="3"/>
    <e v="#N/A"/>
    <n v="0"/>
  </r>
  <r>
    <s v="The Game of Life (2013- Editions)"/>
    <n v="172307"/>
    <m/>
    <n v="1"/>
    <s v="The Game of Life (2013- Editions)"/>
    <b v="1"/>
    <x v="2"/>
    <b v="1"/>
    <n v="0"/>
  </r>
  <r>
    <s v="The Gang"/>
    <n v="411567"/>
    <m/>
    <n v="1"/>
    <s v="The Gang"/>
    <b v="1"/>
    <x v="4"/>
    <b v="1"/>
    <n v="0"/>
  </r>
  <r>
    <s v="The Hobbit: An Unexpected Party"/>
    <n v="287174"/>
    <m/>
    <n v="1"/>
    <s v="The Hobbit: An Unexpected Party"/>
    <b v="1"/>
    <x v="5"/>
    <b v="1"/>
    <n v="1"/>
  </r>
  <r>
    <s v="The Mind"/>
    <n v="244992"/>
    <m/>
    <n v="1"/>
    <s v="The Mind"/>
    <b v="1"/>
    <x v="4"/>
    <b v="1"/>
    <n v="0"/>
  </r>
  <r>
    <s v="The White Castle"/>
    <n v="371942"/>
    <m/>
    <n v="1"/>
    <s v="The White Castle"/>
    <b v="1"/>
    <x v="1"/>
    <b v="1"/>
    <n v="0"/>
  </r>
  <r>
    <s v="Three Arrows"/>
    <n v="423789"/>
    <m/>
    <n v="1"/>
    <s v="Three Arrows"/>
    <b v="1"/>
    <x v="4"/>
    <b v="1"/>
    <n v="1"/>
  </r>
  <r>
    <s v="Through the Desert"/>
    <n v="503"/>
    <m/>
    <n v="1"/>
    <s v="Through the Desert"/>
    <b v="1"/>
    <x v="0"/>
    <b v="1"/>
    <n v="0"/>
  </r>
  <r>
    <s v="Tichu"/>
    <n v="215"/>
    <m/>
    <n v="1"/>
    <s v="Tichu"/>
    <b v="1"/>
    <x v="4"/>
    <b v="1"/>
    <n v="0"/>
  </r>
  <r>
    <s v="Ticket to Ride: Europe"/>
    <n v="14996"/>
    <m/>
    <n v="1"/>
    <s v="Ticket to Ride: Europe"/>
    <b v="1"/>
    <x v="0"/>
    <b v="1"/>
    <n v="0"/>
  </r>
  <r>
    <s v="Ticket to Ride: First Journey (U.S.)"/>
    <n v="205125"/>
    <m/>
    <n v="1"/>
    <s v="Ticket to Ride: First Journey (U.S.)"/>
    <b v="1"/>
    <x v="2"/>
    <b v="1"/>
    <n v="0"/>
  </r>
  <r>
    <s v="Tinderblox"/>
    <n v="295192"/>
    <m/>
    <n v="1"/>
    <s v="Tinderblox"/>
    <b v="1"/>
    <x v="2"/>
    <b v="1"/>
    <n v="0"/>
  </r>
  <r>
    <s v="Trapwords"/>
    <n v="257527"/>
    <n v="1"/>
    <n v="1"/>
    <s v="Trapwords"/>
    <b v="1"/>
    <x v="3"/>
    <e v="#N/A"/>
    <n v="0"/>
  </r>
  <r>
    <s v="Tsuro"/>
    <n v="16992"/>
    <m/>
    <n v="1"/>
    <s v="Tsuro"/>
    <b v="1"/>
    <x v="4"/>
    <b v="1"/>
    <n v="0"/>
  </r>
  <r>
    <s v="Twilight Imperium: Fourth Edition"/>
    <n v="233078"/>
    <m/>
    <n v="1"/>
    <s v="Twilight Imperium: Fourth Edition"/>
    <b v="1"/>
    <x v="1"/>
    <b v="1"/>
    <n v="0"/>
  </r>
  <r>
    <s v="Twilight Struggle"/>
    <n v="12333"/>
    <m/>
    <n v="1"/>
    <s v="Twilight Struggle"/>
    <b v="1"/>
    <x v="1"/>
    <b v="1"/>
    <n v="0"/>
  </r>
  <r>
    <s v="Ulterior Design"/>
    <n v="374447"/>
    <m/>
    <n v="1"/>
    <s v="Ulterior Design"/>
    <b v="1"/>
    <x v="4"/>
    <b v="1"/>
    <n v="1"/>
  </r>
  <r>
    <s v="Unlock!: Short Adventures – Red Mask"/>
    <n v="391995"/>
    <m/>
    <n v="1"/>
    <s v="Unlock!: Short Adventures – Red Mask"/>
    <b v="1"/>
    <x v="5"/>
    <b v="1"/>
    <n v="0"/>
  </r>
  <r>
    <s v="UNO"/>
    <n v="2223"/>
    <m/>
    <n v="1"/>
    <s v="UNO"/>
    <b v="1"/>
    <x v="4"/>
    <b v="1"/>
    <n v="0"/>
  </r>
  <r>
    <s v="UNO: Show 'Em No Mercy"/>
    <n v="399088"/>
    <m/>
    <n v="1"/>
    <s v="UNO: Show 'Em No Mercy"/>
    <b v="1"/>
    <x v="4"/>
    <b v="1"/>
    <n v="0"/>
  </r>
  <r>
    <s v="Viticulture Essential Edition"/>
    <n v="183394"/>
    <m/>
    <n v="1"/>
    <s v="Viticulture Essential Edition"/>
    <b v="1"/>
    <x v="1"/>
    <b v="1"/>
    <n v="0"/>
  </r>
  <r>
    <s v="Wavelength"/>
    <n v="262543"/>
    <m/>
    <n v="1"/>
    <s v="Wavelength"/>
    <b v="1"/>
    <x v="4"/>
    <b v="1"/>
    <n v="0"/>
  </r>
  <r>
    <s v="Welcome To..."/>
    <n v="233867"/>
    <n v="1"/>
    <n v="1"/>
    <s v="Welcome To..."/>
    <b v="1"/>
    <x v="3"/>
    <e v="#N/A"/>
    <n v="0"/>
  </r>
  <r>
    <s v="Western Legends"/>
    <n v="232405"/>
    <m/>
    <n v="1"/>
    <s v="Western Legends"/>
    <b v="1"/>
    <x v="1"/>
    <b v="1"/>
    <n v="0"/>
  </r>
  <r>
    <s v="Wingspan"/>
    <n v="266192"/>
    <m/>
    <n v="1"/>
    <s v="Wingspan"/>
    <b v="1"/>
    <x v="1"/>
    <b v="1"/>
    <n v="0"/>
  </r>
  <r>
    <s v="Wingspan Asia"/>
    <n v="366161"/>
    <m/>
    <n v="1"/>
    <s v="Wingspan Asia"/>
    <b v="1"/>
    <x v="1"/>
    <b v="1"/>
    <n v="0"/>
  </r>
  <r>
    <s v="World Changers"/>
    <n v="315624"/>
    <m/>
    <n v="1"/>
    <s v="World Changers"/>
    <b v="1"/>
    <x v="4"/>
    <b v="1"/>
    <n v="1"/>
  </r>
  <r>
    <s v="XCOM: The Board Game"/>
    <n v="163602"/>
    <m/>
    <n v="1"/>
    <s v="XCOM: The Board Game"/>
    <b v="1"/>
    <x v="5"/>
    <b v="1"/>
    <n v="0"/>
  </r>
  <r>
    <s v="Zombie Dice"/>
    <n v="62871"/>
    <m/>
    <n v="1"/>
    <s v="Zombie Dice"/>
    <b v="1"/>
    <x v="4"/>
    <b v="1"/>
    <n v="0"/>
  </r>
  <r>
    <s v="Zombie Kidz Evolution"/>
    <n v="256952"/>
    <m/>
    <n v="1"/>
    <s v="Zombie Kidz Evolution"/>
    <b v="1"/>
    <x v="2"/>
    <b v="1"/>
    <n v="0"/>
  </r>
  <r>
    <s v="Ticket to Ride"/>
    <n v="9209"/>
    <n v="1"/>
    <n v="1"/>
    <s v="Ticket to Ride"/>
    <b v="1"/>
    <x v="3"/>
    <e v="#N/A"/>
    <n v="0"/>
  </r>
  <r>
    <s v="Hadrian's Wall"/>
    <n v="304783"/>
    <m/>
    <n v="1"/>
    <s v="Hadrian's Wall"/>
    <b v="1"/>
    <x v="3"/>
    <e v="#N/A"/>
    <n v="0"/>
  </r>
  <r>
    <s v="So Clover!"/>
    <n v="329839"/>
    <n v="1"/>
    <n v="1"/>
    <s v="So Clover!"/>
    <b v="1"/>
    <x v="3"/>
    <e v="#N/A"/>
    <n v="0"/>
  </r>
  <r>
    <s v="The Palace of Mad King Ludwig"/>
    <n v="223278"/>
    <m/>
    <n v="1"/>
    <e v="#N/A"/>
    <e v="#N/A"/>
    <x v="3"/>
    <e v="#N/A"/>
    <n v="0"/>
  </r>
  <r>
    <s v="Alien Frontiers"/>
    <n v="48726"/>
    <m/>
    <n v="1"/>
    <e v="#N/A"/>
    <e v="#N/A"/>
    <x v="3"/>
    <e v="#N/A"/>
    <n v="0"/>
  </r>
  <r>
    <s v="Air, Land, &amp; Sea"/>
    <n v="247367"/>
    <m/>
    <n v="2"/>
    <s v="Air, Land, &amp; Sea"/>
    <b v="1"/>
    <x v="3"/>
    <e v="#N/A"/>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0FB704-B18C-4ABF-9B99-75BF9A24F15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6:M13" firstHeaderRow="1" firstDataRow="1" firstDataCol="1"/>
  <pivotFields count="9">
    <pivotField dataField="1" showAll="0"/>
    <pivotField showAll="0"/>
    <pivotField showAll="0"/>
    <pivotField showAll="0"/>
    <pivotField showAll="0"/>
    <pivotField showAll="0"/>
    <pivotField axis="axisRow" showAll="0">
      <items count="7">
        <item x="5"/>
        <item x="1"/>
        <item x="0"/>
        <item x="2"/>
        <item x="4"/>
        <item x="3"/>
        <item t="default"/>
      </items>
    </pivotField>
    <pivotField showAll="0"/>
    <pivotField showAll="0"/>
  </pivotFields>
  <rowFields count="1">
    <field x="6"/>
  </rowFields>
  <rowItems count="7">
    <i>
      <x/>
    </i>
    <i>
      <x v="1"/>
    </i>
    <i>
      <x v="2"/>
    </i>
    <i>
      <x v="3"/>
    </i>
    <i>
      <x v="4"/>
    </i>
    <i>
      <x v="5"/>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200-000000000000}" autoFormatId="16" applyNumberFormats="0" applyBorderFormats="0" applyFontFormats="0" applyPatternFormats="0" applyAlignmentFormats="0" applyWidthHeightFormats="0">
  <queryTableRefresh nextId="29" unboundColumnsRight="1">
    <queryTableFields count="28">
      <queryTableField id="1" name="id" tableColumnId="1"/>
      <queryTableField id="2" name="title" tableColumnId="2"/>
      <queryTableField id="3" name="categories" tableColumnId="3"/>
      <queryTableField id="4" name="year" tableColumnId="4"/>
      <queryTableField id="5" name="players_min" tableColumnId="5"/>
      <queryTableField id="6" name="players_max" tableColumnId="6"/>
      <queryTableField id="7" name="playtime_min" tableColumnId="7"/>
      <queryTableField id="8" name="playtime_max" tableColumnId="8"/>
      <queryTableField id="9" name="thumbnail_url" tableColumnId="9"/>
      <queryTableField id="10" name="image" tableColumnId="10"/>
      <queryTableField id="11" name="created_at" tableColumnId="11"/>
      <queryTableField id="12" name="bgg_id" tableColumnId="12"/>
      <queryTableField id="13" name="thumbnail_file" tableColumnId="13"/>
      <queryTableField id="14" name="mana_meeple_category" tableColumnId="14"/>
      <queryTableField id="15" name="description" tableColumnId="15"/>
      <queryTableField id="16" name="designers" tableColumnId="16"/>
      <queryTableField id="17" name="publishers" tableColumnId="17"/>
      <queryTableField id="18" name="mechanics" tableColumnId="18"/>
      <queryTableField id="19" name="artists" tableColumnId="19"/>
      <queryTableField id="20" name="average_rating" tableColumnId="20"/>
      <queryTableField id="21" name="complexity" tableColumnId="21"/>
      <queryTableField id="22" name="bgg_rank" tableColumnId="22"/>
      <queryTableField id="23" name="users_rated" tableColumnId="23"/>
      <queryTableField id="24" name="min_age" tableColumnId="24"/>
      <queryTableField id="25" name="is_cooperative" tableColumnId="25"/>
      <queryTableField id="26" name="nz_designer" tableColumnId="27"/>
      <queryTableField id="27" name="game_type" tableColumnId="26"/>
      <queryTableField id="28" dataBound="0" tableColumnId="2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00000000-0016-0000-0400-000001000000}" autoFormatId="16" applyNumberFormats="0" applyBorderFormats="0" applyFontFormats="0" applyPatternFormats="0" applyAlignmentFormats="0" applyWidthHeightFormats="0">
  <queryTableRefresh nextId="21">
    <queryTableFields count="13">
      <queryTableField id="1" name="checked_at" tableColumnId="1"/>
      <queryTableField id="2" name="game" tableColumnId="2"/>
      <queryTableField id="3" name="site_mean_nzd" tableColumnId="3"/>
      <queryTableField id="6" name="discount_abs_vs_site_mean" tableColumnId="6"/>
      <queryTableField id="8" name="mean_nzd_all_offers_calc" tableColumnId="8"/>
      <queryTableField id="9" name="mean_nzd_in_stock_calc" tableColumnId="9"/>
      <queryTableField id="10" name="site_disc_mean_pct" tableColumnId="10"/>
      <queryTableField id="11" name="site_disc_mean_calc_pct" tableColumnId="11"/>
      <queryTableField id="12" name="site_low_nzd" tableColumnId="12"/>
      <queryTableField id="4" name="best_in_stock_nzd" tableColumnId="4"/>
      <queryTableField id="5" name="best_in_stock_store" tableColumnId="5"/>
      <queryTableField id="7" name="discount_pct_vs_site_mean" tableColumnId="7"/>
      <queryTableField id="13" name="delta_vs_site_disc_mean_pp"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00000000-0016-0000-0600-000002000000}" autoFormatId="16" applyNumberFormats="0" applyBorderFormats="0" applyFontFormats="0" applyPatternFormats="0" applyAlignmentFormats="0" applyWidthHeightFormats="0">
  <queryTableRefresh nextId="19">
    <queryTableFields count="16">
      <queryTableField id="1" name="id" tableColumnId="1"/>
      <queryTableField id="2" name="status" tableColumnId="2"/>
      <queryTableField id="3" name="title" tableColumnId="3"/>
      <queryTableField id="4" name="year" tableColumnId="4"/>
      <queryTableField id="15" name="thumbnail_url" tableColumnId="15"/>
      <queryTableField id="16" name="image_url" tableColumnId="16"/>
      <queryTableField id="5" name="min_players" tableColumnId="5"/>
      <queryTableField id="6" name="max_players" tableColumnId="6"/>
      <queryTableField id="7" name="min_playtime" tableColumnId="7"/>
      <queryTableField id="8" name="max_playtime" tableColumnId="8"/>
      <queryTableField id="9" name="min_age" tableColumnId="9"/>
      <queryTableField id="10" name="weight" tableColumnId="10"/>
      <queryTableField id="11" name="avg_rating" tableColumnId="11"/>
      <queryTableField id="12" name="bgg_rank" tableColumnId="12"/>
      <queryTableField id="13" name="game_type" tableColumnId="13"/>
      <queryTableField id="14" name="coop_type" tableColumnId="14"/>
    </queryTableFields>
  </queryTableRefresh>
</queryTable>
</file>

<file path=xl/richData/_rels/rdRichValueWebImage.xml.rels><?xml version="1.0" encoding="UTF-8" standalone="yes"?>
<Relationships xmlns="http://schemas.openxmlformats.org/package/2006/relationships"><Relationship Id="rId117" Type="http://schemas.openxmlformats.org/officeDocument/2006/relationships/hyperlink" Target="https://cf.geekdo-images.com/x3hjEgkxZE9M96o6wgj6Tw__small/img/idn6fyLMcqvmxqKXU57rAuLgMvg=/fit-in/200x150/filters:strip_icc()/pic4097632.png" TargetMode="External"/><Relationship Id="rId21" Type="http://schemas.openxmlformats.org/officeDocument/2006/relationships/hyperlink" Target="https://cf.geekdo-images.com/nagl1li6kYt9elV9jbfVQw__small/img/ykeqdM_Naz4IiqOgyB1arzteOiU=/fit-in/200x150/filters:strip_icc()/pic6228507.jpg" TargetMode="External"/><Relationship Id="rId42" Type="http://schemas.openxmlformats.org/officeDocument/2006/relationships/image" Target="../media/image21.png"/><Relationship Id="rId63" Type="http://schemas.openxmlformats.org/officeDocument/2006/relationships/hyperlink" Target="https://cf.geekdo-images.com/665Ply7Ho1WVf1v1iZlWeg__small/img/BKnSb6kAhpVFHV8cyUXrs3EF_dw=/fit-in/200x150/filters:strip_icc()/pic3283110.png" TargetMode="External"/><Relationship Id="rId84" Type="http://schemas.openxmlformats.org/officeDocument/2006/relationships/image" Target="../media/image42.jpg"/><Relationship Id="rId16" Type="http://schemas.openxmlformats.org/officeDocument/2006/relationships/image" Target="../media/image8.png"/><Relationship Id="rId107" Type="http://schemas.openxmlformats.org/officeDocument/2006/relationships/hyperlink" Target="https://cf.geekdo-images.com/uiVZ7QVfRFQx3EBG8eDU8w__small/img/SUy42NMiK5gx-kLqmV47drIxEU0=/fit-in/200x150/filters:strip_icc()/pic6339446.png" TargetMode="External"/><Relationship Id="rId11" Type="http://schemas.openxmlformats.org/officeDocument/2006/relationships/hyperlink" Target="https://cf.geekdo-images.com/CzwSm8i7tkLz6cBnrILZBg__small/img/ESPSltYYSFK-aJw6jOTdQrJGpOc=/fit-in/200x150/filters:strip_icc()/pic3453267.jpg" TargetMode="External"/><Relationship Id="rId32" Type="http://schemas.openxmlformats.org/officeDocument/2006/relationships/image" Target="../media/image16.jpg"/><Relationship Id="rId37" Type="http://schemas.openxmlformats.org/officeDocument/2006/relationships/hyperlink" Target="https://cf.geekdo-images.com/BfEHqHQAvZLbRX7y7e9TWg__small/img/6rZLxebQyTXasbAPddxpdE1LVls=/fit-in/200x150/filters:strip_icc()/pic5617866.jpg" TargetMode="External"/><Relationship Id="rId53" Type="http://schemas.openxmlformats.org/officeDocument/2006/relationships/hyperlink" Target="https://cf.geekdo-images.com/DOwZ7_Q1w68iBhARcDAxig__small/img/nkY1mEj6fItSXJHctfzFcRIcDT0=/fit-in/200x150/filters:strip_icc()/pic8549797.jpg" TargetMode="External"/><Relationship Id="rId58" Type="http://schemas.openxmlformats.org/officeDocument/2006/relationships/image" Target="../media/image29.jpg"/><Relationship Id="rId74" Type="http://schemas.openxmlformats.org/officeDocument/2006/relationships/image" Target="../media/image37.jpg"/><Relationship Id="rId79" Type="http://schemas.openxmlformats.org/officeDocument/2006/relationships/hyperlink" Target="https://cf.geekdo-images.com/HINb2nkFn5IiZxAlzQIs4g__small/img/cRCX-PIROiSFG5aLvwkn2O7tHsg=/fit-in/200x150/filters:strip_icc()/pic7009391.jpg" TargetMode="External"/><Relationship Id="rId102" Type="http://schemas.openxmlformats.org/officeDocument/2006/relationships/image" Target="../media/image51.jpg"/><Relationship Id="rId123" Type="http://schemas.openxmlformats.org/officeDocument/2006/relationships/hyperlink" Target="https://cf.geekdo-images.com/PHH9Mreen2sBcxV6ZsE3ew__small/img/Vzpg3sdeAbCy0IxSAoh1aH9nvDE=/fit-in/200x150/filters:strip_icc()/pic1885326.jpg" TargetMode="External"/><Relationship Id="rId128" Type="http://schemas.openxmlformats.org/officeDocument/2006/relationships/image" Target="../media/image64.jpg"/><Relationship Id="rId5" Type="http://schemas.openxmlformats.org/officeDocument/2006/relationships/hyperlink" Target="https://cf.geekdo-images.com/UVUkjMV_Q2paVUIUP30Vvw__small/img/H6qmxJrRFjtOAPZOfDoZ480-46I=/fit-in/200x150/filters:strip_icc()/pic7664424.jpg" TargetMode="External"/><Relationship Id="rId90" Type="http://schemas.openxmlformats.org/officeDocument/2006/relationships/image" Target="../media/image45.jpg"/><Relationship Id="rId95" Type="http://schemas.openxmlformats.org/officeDocument/2006/relationships/hyperlink" Target="https://cf.geekdo-images.com/843kZ6WR0HfyXWEybA6L7A__small/img/sOiQSPo_DM7G1Om0PF1T2Z8ACcA=/fit-in/200x150/filters:strip_icc()/pic4930887.jpg" TargetMode="External"/><Relationship Id="rId22" Type="http://schemas.openxmlformats.org/officeDocument/2006/relationships/image" Target="../media/image11.jpg"/><Relationship Id="rId27" Type="http://schemas.openxmlformats.org/officeDocument/2006/relationships/hyperlink" Target="https://cf.geekdo-images.com/hHnw1JGLaEkJXaOv8bm6YQ__small/img/VueCGH75QOD4dv0yeaKqQZgTqMo=/fit-in/200x150/filters:strip_icc()/pic8660069.jpg" TargetMode="External"/><Relationship Id="rId43" Type="http://schemas.openxmlformats.org/officeDocument/2006/relationships/hyperlink" Target="https://cf.geekdo-images.com/0qxz9DRRhsJrIW1TJ-kz0w__small/img/ma4yc5wbMVrfbg9r21-LxGVwRKw=/fit-in/200x150/filters:strip_icc()/pic5710736.jpg" TargetMode="External"/><Relationship Id="rId48" Type="http://schemas.openxmlformats.org/officeDocument/2006/relationships/image" Target="../media/image24.png"/><Relationship Id="rId64" Type="http://schemas.openxmlformats.org/officeDocument/2006/relationships/image" Target="../media/image32.png"/><Relationship Id="rId69" Type="http://schemas.openxmlformats.org/officeDocument/2006/relationships/hyperlink" Target="https://cf.geekdo-images.com/XVqx-bp37COAHcyYUB7KNQ__small/img/8i8qQZPAwkAm7yyaLbdn8I6mjmM=/fit-in/200x150/filters:strip_icc()/pic3690447.jpg" TargetMode="External"/><Relationship Id="rId113" Type="http://schemas.openxmlformats.org/officeDocument/2006/relationships/hyperlink" Target="https://cf.geekdo-images.com/V1PyFDPNFY4bJFgreLPxmQ__small/img/E0OuG2X4HsbOdCh1uLyZZcMiapQ=/fit-in/200x150/filters:strip_icc()/pic6929347.jpg" TargetMode="External"/><Relationship Id="rId118" Type="http://schemas.openxmlformats.org/officeDocument/2006/relationships/image" Target="../media/image59.png"/><Relationship Id="rId134" Type="http://schemas.openxmlformats.org/officeDocument/2006/relationships/image" Target="../media/image67.jpg"/><Relationship Id="rId80" Type="http://schemas.openxmlformats.org/officeDocument/2006/relationships/image" Target="../media/image40.jpg"/><Relationship Id="rId85" Type="http://schemas.openxmlformats.org/officeDocument/2006/relationships/hyperlink" Target="https://cf.geekdo-images.com/aUPeXVwc40xrgud2XeZwyA__small/img/1TYDRYM7iz0-jLJ-YZj6d5bhweg=/fit-in/200x150/filters:strip_icc()/pic5671087.png" TargetMode="External"/><Relationship Id="rId12" Type="http://schemas.openxmlformats.org/officeDocument/2006/relationships/image" Target="../media/image6.jpg"/><Relationship Id="rId17" Type="http://schemas.openxmlformats.org/officeDocument/2006/relationships/hyperlink" Target="https://cf.geekdo-images.com/fjE7V5LNq31yVEW_yuqI-Q__small/img/Cf_mYxR_VvdjTEPXseSurni2JNI=/fit-in/200x150/filters:strip_icc()/pic3918905.png" TargetMode="External"/><Relationship Id="rId33" Type="http://schemas.openxmlformats.org/officeDocument/2006/relationships/hyperlink" Target="https://cf.geekdo-images.com/JahbLRZ_jEe8P8gisXUtJw__small/img/XGKi6qBOizS_IdLqOHny-rf0JZw=/fit-in/200x150/filters:strip_icc()/pic4447676.jpg" TargetMode="External"/><Relationship Id="rId38" Type="http://schemas.openxmlformats.org/officeDocument/2006/relationships/image" Target="../media/image19.jpg"/><Relationship Id="rId59" Type="http://schemas.openxmlformats.org/officeDocument/2006/relationships/hyperlink" Target="https://cf.geekdo-images.com/hhV3JiYZUHEi_glLhC0v8w__small/img/_XHxgYraTvLmBnHpY8snFa2ma9o=/fit-in/200x150/filters:strip_icc()/pic2727088.jpg" TargetMode="External"/><Relationship Id="rId103" Type="http://schemas.openxmlformats.org/officeDocument/2006/relationships/hyperlink" Target="https://cf.geekdo-images.com/M1gT_9LjNqUzAx3RAqdGRQ__small/img/3I1JU_hP5YtIg6RzcJePmmNOWAQ=/fit-in/200x150/filters:strip_icc()/pic6731829.jpg" TargetMode="External"/><Relationship Id="rId108" Type="http://schemas.openxmlformats.org/officeDocument/2006/relationships/image" Target="../media/image54.png"/><Relationship Id="rId124" Type="http://schemas.openxmlformats.org/officeDocument/2006/relationships/image" Target="../media/image62.jpg"/><Relationship Id="rId129" Type="http://schemas.openxmlformats.org/officeDocument/2006/relationships/hyperlink" Target="https://cf.geekdo-images.com/LPa6rsGcv8S0-OeNjCOAEQ__small/img/RKui79VjUbQAzTWaPu44ytupzDs=/fit-in/200x150/filters:strip_icc()/pic1398895.jpg" TargetMode="External"/><Relationship Id="rId54" Type="http://schemas.openxmlformats.org/officeDocument/2006/relationships/image" Target="../media/image27.jpg"/><Relationship Id="rId70" Type="http://schemas.openxmlformats.org/officeDocument/2006/relationships/image" Target="../media/image35.jpg"/><Relationship Id="rId75" Type="http://schemas.openxmlformats.org/officeDocument/2006/relationships/hyperlink" Target="https://cf.geekdo-images.com/sD3EGm2CyvQGrp7FhScs0w__small/img/wPg8YV5oURy3SQ18vYrpBf-R3_s=/fit-in/200x150/filters:strip_icc()/pic7453773.jpg" TargetMode="External"/><Relationship Id="rId91" Type="http://schemas.openxmlformats.org/officeDocument/2006/relationships/hyperlink" Target="https://cf.geekdo-images.com/aE1EoOzr530gQin8bj8QDA__small/img/AI-Ro3wLJtpyZLmCMNywOlpz0S8=/fit-in/200x150/filters:strip_icc()/pic4460401.jpg" TargetMode="External"/><Relationship Id="rId96" Type="http://schemas.openxmlformats.org/officeDocument/2006/relationships/image" Target="../media/image48.jpg"/><Relationship Id="rId1" Type="http://schemas.openxmlformats.org/officeDocument/2006/relationships/hyperlink" Target="https://cf.geekdo-images.com/wg9oOLcsKvDesSUdZQ4rxw__small/img/BTxqxgYay5tHJfVoJ2NF5g43_gA=/fit-in/200x150/filters:strip_icc()/pic3536616.jpg" TargetMode="External"/><Relationship Id="rId6" Type="http://schemas.openxmlformats.org/officeDocument/2006/relationships/image" Target="../media/image3.jpg"/><Relationship Id="rId23" Type="http://schemas.openxmlformats.org/officeDocument/2006/relationships/hyperlink" Target="https://cf.geekdo-images.com/JUAUWaVUzeBgzirhZNmHHw__small/img/ACovMZzGGIsBRyEQXFnsT8282NM=/fit-in/200x150/filters:strip_icc()/pic4254509.jpg" TargetMode="External"/><Relationship Id="rId28" Type="http://schemas.openxmlformats.org/officeDocument/2006/relationships/image" Target="../media/image14.jpg"/><Relationship Id="rId49" Type="http://schemas.openxmlformats.org/officeDocument/2006/relationships/hyperlink" Target="https://cf.geekdo-images.com/85t1wkwgvh3d2mmjsRcDrw__small/img/K1IMVdd39Or51HpLAfiXz3JNUvI=/fit-in/200x150/filters:strip_icc()/pic6039256.jpg" TargetMode="External"/><Relationship Id="rId114" Type="http://schemas.openxmlformats.org/officeDocument/2006/relationships/image" Target="../media/image57.jpg"/><Relationship Id="rId119" Type="http://schemas.openxmlformats.org/officeDocument/2006/relationships/hyperlink" Target="https://cf.geekdo-images.com/1nQ3ZKudtDeAP7IiKE-kNg__small/img/sW38512N2r1ZuuPE2TUD2LNfoxM=/fit-in/200x150/filters:strip_icc()/pic8625343.jpg" TargetMode="External"/><Relationship Id="rId44" Type="http://schemas.openxmlformats.org/officeDocument/2006/relationships/image" Target="../media/image22.jpg"/><Relationship Id="rId60" Type="http://schemas.openxmlformats.org/officeDocument/2006/relationships/image" Target="../media/image30.jpg"/><Relationship Id="rId65" Type="http://schemas.openxmlformats.org/officeDocument/2006/relationships/hyperlink" Target="https://cf.geekdo-images.com/FZUJ_Ieaw83mpz1eL-dY_g__small/img/o8B080rjfGtNloX7wMa_IRthuXo=/fit-in/200x150/filters:strip_icc()/pic5056121.jpg" TargetMode="External"/><Relationship Id="rId81" Type="http://schemas.openxmlformats.org/officeDocument/2006/relationships/hyperlink" Target="https://cf.geekdo-images.com/jmf0M01DsReKLByori6OGg__small/img/L5WTzC1_QyuIddhi248RG5hYVvc=/fit-in/200x150/filters:strip_icc()/pic2335221.png" TargetMode="External"/><Relationship Id="rId86" Type="http://schemas.openxmlformats.org/officeDocument/2006/relationships/image" Target="../media/image43.png"/><Relationship Id="rId130" Type="http://schemas.openxmlformats.org/officeDocument/2006/relationships/image" Target="../media/image65.jpg"/><Relationship Id="rId135" Type="http://schemas.openxmlformats.org/officeDocument/2006/relationships/hyperlink" Target="https://cf.geekdo-images.com/soAzNVWglCdVBacNjoCTJw__small/img/0UPEyOaSFyqEH1ikrSig_218RQ0=/fit-in/200x150/filters:strip_icc()/pic2338267.jpg" TargetMode="External"/><Relationship Id="rId13" Type="http://schemas.openxmlformats.org/officeDocument/2006/relationships/hyperlink" Target="https://cf.geekdo-images.com/X4KaD6ADLW1ohOznNay7xg__small/img/iCWpe4ydO3Rtu6yBjn01eQ97xLc=/fit-in/200x150/filters:strip_icc()/pic7350809.png" TargetMode="External"/><Relationship Id="rId18" Type="http://schemas.openxmlformats.org/officeDocument/2006/relationships/image" Target="../media/image9.png"/><Relationship Id="rId39" Type="http://schemas.openxmlformats.org/officeDocument/2006/relationships/hyperlink" Target="https://cf.geekdo-images.com/PwOwTVHovJAUQgghnGqCOg__small/img/1gGYiRBx7W4wyLy826EHGTdjsKA=/fit-in/200x150/filters:strip_icc()/pic4837710.png" TargetMode="External"/><Relationship Id="rId109" Type="http://schemas.openxmlformats.org/officeDocument/2006/relationships/hyperlink" Target="https://cf.geekdo-images.com/fl0hNCmltu2hpcmXaVnmLg__small/img/Nwxz6SRTlKky0ynhYUEk2ooRZc4=/fit-in/200x150/filters:strip_icc()/pic6417388.png" TargetMode="External"/><Relationship Id="rId34" Type="http://schemas.openxmlformats.org/officeDocument/2006/relationships/image" Target="../media/image17.jpg"/><Relationship Id="rId50" Type="http://schemas.openxmlformats.org/officeDocument/2006/relationships/image" Target="../media/image25.jpg"/><Relationship Id="rId55" Type="http://schemas.openxmlformats.org/officeDocument/2006/relationships/hyperlink" Target="https://cf.geekdo-images.com/AbGDmFZgW2huIxU4SgJ7jQ__small/img/hs_LkM0fQ-l4-5XudoU7qdOzMno=/fit-in/200x150/filters:strip_icc()/pic8935838.jpg" TargetMode="External"/><Relationship Id="rId76" Type="http://schemas.openxmlformats.org/officeDocument/2006/relationships/image" Target="../media/image38.jpg"/><Relationship Id="rId97" Type="http://schemas.openxmlformats.org/officeDocument/2006/relationships/hyperlink" Target="https://cf.geekdo-images.com/3HkjDovk8Yr2wMumcSUGog__small/img/4pF1oDpvn1VR3rbvW88xLK86xmA=/fit-in/200x150/filters:strip_icc()/pic4843622.jpg" TargetMode="External"/><Relationship Id="rId104" Type="http://schemas.openxmlformats.org/officeDocument/2006/relationships/image" Target="../media/image52.jpg"/><Relationship Id="rId120" Type="http://schemas.openxmlformats.org/officeDocument/2006/relationships/image" Target="../media/image60.jpg"/><Relationship Id="rId125" Type="http://schemas.openxmlformats.org/officeDocument/2006/relationships/hyperlink" Target="https://cf.geekdo-images.com/l-NBWJ1gIcfOCfrvAw8qvw__small/img/kvxUPoBvCzjV5r6poE29LFUQnSM=/fit-in/200x150/filters:strip_icc()/pic6389125.jpg" TargetMode="External"/><Relationship Id="rId7" Type="http://schemas.openxmlformats.org/officeDocument/2006/relationships/hyperlink" Target="https://cf.geekdo-images.com/x3zxjr-Vw5iU4yDPg70Jgw__small/img/o18rjEemoWaVru9Y2TyPwuIaRfE=/fit-in/200x150/filters:strip_icc()/pic3490053.jpg" TargetMode="External"/><Relationship Id="rId71" Type="http://schemas.openxmlformats.org/officeDocument/2006/relationships/hyperlink" Target="https://cf.geekdo-images.com/4ngyBZXLLKIOdGuUHE7baw__small/img/gSGfC0ZMYbOXukqfdBBuxULmyJU=/fit-in/200x150/filters:strip_icc()/pic4415135.jpg" TargetMode="External"/><Relationship Id="rId92" Type="http://schemas.openxmlformats.org/officeDocument/2006/relationships/image" Target="../media/image46.jpg"/><Relationship Id="rId2" Type="http://schemas.openxmlformats.org/officeDocument/2006/relationships/image" Target="../media/image1.jpg"/><Relationship Id="rId29" Type="http://schemas.openxmlformats.org/officeDocument/2006/relationships/hyperlink" Target="https://cf.geekdo-images.com/d50LceHj6LIafa4S_qIsCg__small/img/KMFA-gXm_LbZpyXSAHbIZm-eAcQ=/fit-in/200x150/filters:strip_icc()/pic3189350.jpg" TargetMode="External"/><Relationship Id="rId24" Type="http://schemas.openxmlformats.org/officeDocument/2006/relationships/image" Target="../media/image12.jpg"/><Relationship Id="rId40" Type="http://schemas.openxmlformats.org/officeDocument/2006/relationships/image" Target="../media/image20.png"/><Relationship Id="rId45" Type="http://schemas.openxmlformats.org/officeDocument/2006/relationships/hyperlink" Target="https://cf.geekdo-images.com/7SrPNGBKg9IIsP4UQpOi8g__small/img/gAxzddRVQiRdjZHYFUZ2xc5Jlbw=/fit-in/200x150/filters:strip_icc()/pic4325841.jpg" TargetMode="External"/><Relationship Id="rId66" Type="http://schemas.openxmlformats.org/officeDocument/2006/relationships/image" Target="../media/image33.jpg"/><Relationship Id="rId87" Type="http://schemas.openxmlformats.org/officeDocument/2006/relationships/hyperlink" Target="https://cf.geekdo-images.com/cf0xxkevbwTGF3VUZymKjg__small/img/NUcMdmZ3_eA1YfIwL8iRgkZKaHw=/fit-in/200x150/filters:strip_icc()/pic6398727.png" TargetMode="External"/><Relationship Id="rId110" Type="http://schemas.openxmlformats.org/officeDocument/2006/relationships/image" Target="../media/image55.png"/><Relationship Id="rId115" Type="http://schemas.openxmlformats.org/officeDocument/2006/relationships/hyperlink" Target="https://cf.geekdo-images.com/iZl2U-2BjftbWfLw5y25Vg__small/img/36X5ESX-n44TFPf8V97Cvr1yPao=/fit-in/200x150/filters:strip_icc()/pic7069377.jpg" TargetMode="External"/><Relationship Id="rId131" Type="http://schemas.openxmlformats.org/officeDocument/2006/relationships/hyperlink" Target="https://cf.geekdo-images.com/ucDMn6DilNfP6MgrgVJ8ng__small/img/mDOqTDPCmECGyHlJ1n_JR5v0NOA=/fit-in/200x150/filters:strip_icc()/pic5673231.jpg" TargetMode="External"/><Relationship Id="rId136" Type="http://schemas.openxmlformats.org/officeDocument/2006/relationships/image" Target="../media/image68.jpg"/><Relationship Id="rId61" Type="http://schemas.openxmlformats.org/officeDocument/2006/relationships/hyperlink" Target="https://cf.geekdo-images.com/Zwx2ZXS6r6PaxhkaVEe75Q__small/img/3x5kSxZlvLK6PdeMHX9xd_sSTMs=/fit-in/200x150/filters:strip_icc()/pic4309147.jpg" TargetMode="External"/><Relationship Id="rId82" Type="http://schemas.openxmlformats.org/officeDocument/2006/relationships/image" Target="../media/image41.png"/><Relationship Id="rId19" Type="http://schemas.openxmlformats.org/officeDocument/2006/relationships/hyperlink" Target="https://cf.geekdo-images.com/DPjV1iI0ygo5Bl3XLNRiIg__small/img/O2WnqJew5gNjQqPUH3gqmTBc1pQ=/fit-in/200x150/filters:strip_icc()/pic4449526.jpg" TargetMode="External"/><Relationship Id="rId14" Type="http://schemas.openxmlformats.org/officeDocument/2006/relationships/image" Target="../media/image7.png"/><Relationship Id="rId30" Type="http://schemas.openxmlformats.org/officeDocument/2006/relationships/image" Target="../media/image15.jpg"/><Relationship Id="rId35" Type="http://schemas.openxmlformats.org/officeDocument/2006/relationships/hyperlink" Target="https://cf.geekdo-images.com/GJKuOCy5HGAYgVH_Rei5mA__small/img/Q3W4poMS4btD-HZLervgqbSCtmE=/fit-in/200x150/filters:strip_icc()/pic7070194.jpg" TargetMode="External"/><Relationship Id="rId56" Type="http://schemas.openxmlformats.org/officeDocument/2006/relationships/image" Target="../media/image28.jpg"/><Relationship Id="rId77" Type="http://schemas.openxmlformats.org/officeDocument/2006/relationships/hyperlink" Target="https://cf.geekdo-images.com/tEX_U-X8sJ1v6_AIz3xYrw__small/img/glxCbLZDMJ-2VPRPfwYfWKxcQ9E=/fit-in/200x150/filters:strip_icc()/pic4628941.jpg" TargetMode="External"/><Relationship Id="rId100" Type="http://schemas.openxmlformats.org/officeDocument/2006/relationships/image" Target="../media/image50.jpg"/><Relationship Id="rId105" Type="http://schemas.openxmlformats.org/officeDocument/2006/relationships/hyperlink" Target="https://cf.geekdo-images.com/EvGtnsBDcfnKiqSiXHothQ__small/img/bQcyvzYRdMFFvcdQkFVnIRiCPjE=/fit-in/200x150/filters:strip_icc()/pic6605448.jpg" TargetMode="External"/><Relationship Id="rId126" Type="http://schemas.openxmlformats.org/officeDocument/2006/relationships/image" Target="../media/image63.jpg"/><Relationship Id="rId8" Type="http://schemas.openxmlformats.org/officeDocument/2006/relationships/image" Target="../media/image4.jpg"/><Relationship Id="rId51" Type="http://schemas.openxmlformats.org/officeDocument/2006/relationships/hyperlink" Target="https://cf.geekdo-images.com/NPWdxDD5uLOBLBDdVgdLvA__small/img/7464PJPFWWPzsOUMvf8t860zct0=/fit-in/200x150/filters:strip_icc()/pic6034093.png" TargetMode="External"/><Relationship Id="rId72" Type="http://schemas.openxmlformats.org/officeDocument/2006/relationships/image" Target="../media/image36.jpg"/><Relationship Id="rId93" Type="http://schemas.openxmlformats.org/officeDocument/2006/relationships/hyperlink" Target="https://cf.geekdo-images.com/AuAheDzhkLufiZFE9JaRNA__small/img/gENtMHYJDff6XaGGOYw9oSZShCs=/fit-in/200x150/filters:strip_icc()/pic4781085.jpg" TargetMode="External"/><Relationship Id="rId98" Type="http://schemas.openxmlformats.org/officeDocument/2006/relationships/image" Target="../media/image49.jpg"/><Relationship Id="rId121" Type="http://schemas.openxmlformats.org/officeDocument/2006/relationships/hyperlink" Target="https://cf.geekdo-images.com/GCxsnITFBO1pNXiBYkq_qA__small/img/0BJUretj0lJj09f2JjDGrQzmakI=/fit-in/200x150/filters:strip_icc()/pic2524838.jpg" TargetMode="External"/><Relationship Id="rId3" Type="http://schemas.openxmlformats.org/officeDocument/2006/relationships/hyperlink" Target="https://cf.geekdo-images.com/SoU8p28Sk1s8MSvoM4N8pQ__small/img/4KuHNTWSMPf8vTNDKSRMMI3oOv8=/fit-in/200x150/filters:strip_icc()/pic6293412.jpg" TargetMode="External"/><Relationship Id="rId25" Type="http://schemas.openxmlformats.org/officeDocument/2006/relationships/hyperlink" Target="https://cf.geekdo-images.com/hGWFm3hbMlCDsfCsauOQ4g__small/img/NNG7Ijyx4evp5gcVReis9i0koas=/fit-in/200x150/filters:strip_icc()/pic5375625.png" TargetMode="External"/><Relationship Id="rId46" Type="http://schemas.openxmlformats.org/officeDocument/2006/relationships/image" Target="../media/image23.jpg"/><Relationship Id="rId67" Type="http://schemas.openxmlformats.org/officeDocument/2006/relationships/hyperlink" Target="https://cf.geekdo-images.com/5Q5YHxJeVp6PAhfv5Ct0-g__small/img/nqo8xhGEWnqXYDEvYcVpBpABBI4=/fit-in/200x150/filters:strip_icc()/pic3678404.png" TargetMode="External"/><Relationship Id="rId116" Type="http://schemas.openxmlformats.org/officeDocument/2006/relationships/image" Target="../media/image58.jpg"/><Relationship Id="rId20" Type="http://schemas.openxmlformats.org/officeDocument/2006/relationships/image" Target="../media/image10.jpg"/><Relationship Id="rId41" Type="http://schemas.openxmlformats.org/officeDocument/2006/relationships/hyperlink" Target="https://cf.geekdo-images.com/jEPmWvvYpqkWrKOzqIHFsg__small/img/kMLIpeqA6UcUvQg2AdMwwQoEIfU=/fit-in/200x150/filters:strip_icc()/pic4336469.png" TargetMode="External"/><Relationship Id="rId62" Type="http://schemas.openxmlformats.org/officeDocument/2006/relationships/image" Target="../media/image31.jpg"/><Relationship Id="rId83" Type="http://schemas.openxmlformats.org/officeDocument/2006/relationships/hyperlink" Target="https://cf.geekdo-images.com/wW5xjgBJcFyLaEWZwrYuKA__small/img/MppmP7GtDAfKiB5LiAl-ZtPxOPE=/fit-in/200x150/filters:strip_icc()/pic4583626.jpg" TargetMode="External"/><Relationship Id="rId88" Type="http://schemas.openxmlformats.org/officeDocument/2006/relationships/image" Target="../media/image44.png"/><Relationship Id="rId111" Type="http://schemas.openxmlformats.org/officeDocument/2006/relationships/hyperlink" Target="https://cf.geekdo-images.com/1qvA21HdRaPYwrn4tGDNaQ__small/img/3tBwuRBxhDuhcTvA1g-IjVuUXqY=/fit-in/200x150/filters:strip_icc()/pic8689185.jpg" TargetMode="External"/><Relationship Id="rId132" Type="http://schemas.openxmlformats.org/officeDocument/2006/relationships/image" Target="../media/image66.jpg"/><Relationship Id="rId15" Type="http://schemas.openxmlformats.org/officeDocument/2006/relationships/hyperlink" Target="https://cf.geekdo-images.com/B1bLRWzTASZ-xx9NoAE79A__small/img/deG3pr-ORZ3JrGvQA-oQNrwh0l0=/fit-in/200x150/filters:strip_icc()/pic8780293.png" TargetMode="External"/><Relationship Id="rId36" Type="http://schemas.openxmlformats.org/officeDocument/2006/relationships/image" Target="../media/image18.jpg"/><Relationship Id="rId57" Type="http://schemas.openxmlformats.org/officeDocument/2006/relationships/hyperlink" Target="https://cf.geekdo-images.com/VTq3Cdf00f2S4VVLkEgl3g__small/img/tMKmqEWGUe8mwOS8k1aEyrCsbEE=/fit-in/200x150/filters:strip_icc()/pic5726956.jpg" TargetMode="External"/><Relationship Id="rId106" Type="http://schemas.openxmlformats.org/officeDocument/2006/relationships/image" Target="../media/image53.jpg"/><Relationship Id="rId127" Type="http://schemas.openxmlformats.org/officeDocument/2006/relationships/hyperlink" Target="https://cf.geekdo-images.com/alEgV88cpqFtaHAklI6lbw__small/img/Zjwu-ZXktck4EIrVDhMqjLsZmsQ=/fit-in/200x150/filters:strip_icc()/pic6214088.jpg" TargetMode="External"/><Relationship Id="rId10" Type="http://schemas.openxmlformats.org/officeDocument/2006/relationships/image" Target="../media/image5.jpg"/><Relationship Id="rId31" Type="http://schemas.openxmlformats.org/officeDocument/2006/relationships/hyperlink" Target="https://cf.geekdo-images.com/Dd94J37Oi1tgL7HAAaOfAQ__small/img/CcgassIExgVh2dwANVY_Srp6be0=/fit-in/200x150/filters:strip_icc()/pic8855812.jpg" TargetMode="External"/><Relationship Id="rId52" Type="http://schemas.openxmlformats.org/officeDocument/2006/relationships/image" Target="../media/image26.png"/><Relationship Id="rId73" Type="http://schemas.openxmlformats.org/officeDocument/2006/relationships/hyperlink" Target="https://cf.geekdo-images.com/Fy-jrkPaNbPEOV8414pKqw__small/img/QADFRTNGx45dtrGDh5hWvyi2z3M=/fit-in/200x150/filters:strip_icc()/pic4783811.jpg" TargetMode="External"/><Relationship Id="rId78" Type="http://schemas.openxmlformats.org/officeDocument/2006/relationships/image" Target="../media/image39.jpg"/><Relationship Id="rId94" Type="http://schemas.openxmlformats.org/officeDocument/2006/relationships/image" Target="../media/image47.jpg"/><Relationship Id="rId99" Type="http://schemas.openxmlformats.org/officeDocument/2006/relationships/hyperlink" Target="https://cf.geekdo-images.com/bLL3P-G25nIUkFjHxfJfnw__small/img/XY_Z5rRJe3IPLRfOvWp70OM2B68=/fit-in/200x150/filters:strip_icc()/pic7632081.jpg" TargetMode="External"/><Relationship Id="rId101" Type="http://schemas.openxmlformats.org/officeDocument/2006/relationships/hyperlink" Target="https://cf.geekdo-images.com/HZQAedsq10yAgotyNth4og__small/img/56IVwtzXk9WZz750cekqFYWw16g=/fit-in/200x150/filters:strip_icc()/pic6670587.jpg" TargetMode="External"/><Relationship Id="rId122" Type="http://schemas.openxmlformats.org/officeDocument/2006/relationships/image" Target="../media/image61.jpg"/><Relationship Id="rId4" Type="http://schemas.openxmlformats.org/officeDocument/2006/relationships/image" Target="../media/image2.jpg"/><Relationship Id="rId9" Type="http://schemas.openxmlformats.org/officeDocument/2006/relationships/hyperlink" Target="https://cf.geekdo-images.com/kjCm4ZvPjIZxS-mYgSPy1g__small/img/aUlIih2_R7P8IYKeyNl2heLQbu8=/fit-in/200x150/filters:strip_icc()/pic7013651.jpg" TargetMode="External"/><Relationship Id="rId26" Type="http://schemas.openxmlformats.org/officeDocument/2006/relationships/image" Target="../media/image13.png"/><Relationship Id="rId47" Type="http://schemas.openxmlformats.org/officeDocument/2006/relationships/hyperlink" Target="https://cf.geekdo-images.com/Zdt8l4oTBpFICsMyNof7Jg__small/img/71w4Tt3xOnuDEDTCG8ni63QUhVE=/fit-in/200x150/filters:strip_icc()/pic5975244.png" TargetMode="External"/><Relationship Id="rId68" Type="http://schemas.openxmlformats.org/officeDocument/2006/relationships/image" Target="../media/image34.png"/><Relationship Id="rId89" Type="http://schemas.openxmlformats.org/officeDocument/2006/relationships/hyperlink" Target="https://cf.geekdo-images.com/_3wm5Ikl8NtF6oTQ5KT-1g__small/img/m5NSJT2r-BoSXYt9d1wQGT4dbUA=/fit-in/200x150/filters:strip_icc()/pic3894197.jpg" TargetMode="External"/><Relationship Id="rId112" Type="http://schemas.openxmlformats.org/officeDocument/2006/relationships/image" Target="../media/image56.jpg"/><Relationship Id="rId133" Type="http://schemas.openxmlformats.org/officeDocument/2006/relationships/hyperlink" Target="https://cf.geekdo-images.com/S8cE-Ld7XP5sVz-upKJ-Bg__small/img/gE--xqnuor4bft2J361zxJJGCjM=/fit-in/200x150/filters:strip_icc()/pic1521633.jpg"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rd>
    <address r:id="rId15"/>
    <blip r:id="rId16"/>
  </webImageSrd>
  <webImageSrd>
    <address r:id="rId17"/>
    <blip r:id="rId18"/>
  </webImageSrd>
  <webImageSrd>
    <address r:id="rId19"/>
    <blip r:id="rId20"/>
  </webImageSrd>
  <webImageSrd>
    <address r:id="rId21"/>
    <blip r:id="rId22"/>
  </webImageSrd>
  <webImageSrd>
    <address r:id="rId23"/>
    <blip r:id="rId24"/>
  </webImageSrd>
  <webImageSrd>
    <address r:id="rId25"/>
    <blip r:id="rId26"/>
  </webImageSrd>
  <webImageSrd>
    <address r:id="rId27"/>
    <blip r:id="rId28"/>
  </webImageSrd>
  <webImageSrd>
    <address r:id="rId29"/>
    <blip r:id="rId30"/>
  </webImageSrd>
  <webImageSrd>
    <address r:id="rId31"/>
    <blip r:id="rId32"/>
  </webImageSrd>
  <webImageSrd>
    <address r:id="rId33"/>
    <blip r:id="rId34"/>
  </webImageSrd>
  <webImageSrd>
    <address r:id="rId35"/>
    <blip r:id="rId36"/>
  </webImageSrd>
  <webImageSrd>
    <address r:id="rId37"/>
    <blip r:id="rId38"/>
  </webImageSrd>
  <webImageSrd>
    <address r:id="rId39"/>
    <blip r:id="rId40"/>
  </webImageSrd>
  <webImageSrd>
    <address r:id="rId41"/>
    <blip r:id="rId42"/>
  </webImageSrd>
  <webImageSrd>
    <address r:id="rId43"/>
    <blip r:id="rId44"/>
  </webImageSrd>
  <webImageSrd>
    <address r:id="rId45"/>
    <blip r:id="rId46"/>
  </webImageSrd>
  <webImageSrd>
    <address r:id="rId47"/>
    <blip r:id="rId48"/>
  </webImageSrd>
  <webImageSrd>
    <address r:id="rId49"/>
    <blip r:id="rId50"/>
  </webImageSrd>
  <webImageSrd>
    <address r:id="rId51"/>
    <blip r:id="rId52"/>
  </webImageSrd>
  <webImageSrd>
    <address r:id="rId53"/>
    <blip r:id="rId54"/>
  </webImageSrd>
  <webImageSrd>
    <address r:id="rId55"/>
    <blip r:id="rId56"/>
  </webImageSrd>
  <webImageSrd>
    <address r:id="rId57"/>
    <blip r:id="rId58"/>
  </webImageSrd>
  <webImageSrd>
    <address r:id="rId59"/>
    <blip r:id="rId60"/>
  </webImageSrd>
  <webImageSrd>
    <address r:id="rId61"/>
    <blip r:id="rId62"/>
  </webImageSrd>
  <webImageSrd>
    <address r:id="rId63"/>
    <blip r:id="rId64"/>
  </webImageSrd>
  <webImageSrd>
    <address r:id="rId65"/>
    <blip r:id="rId66"/>
  </webImageSrd>
  <webImageSrd>
    <address r:id="rId67"/>
    <blip r:id="rId68"/>
  </webImageSrd>
  <webImageSrd>
    <address r:id="rId69"/>
    <blip r:id="rId70"/>
  </webImageSrd>
  <webImageSrd>
    <address r:id="rId71"/>
    <blip r:id="rId72"/>
  </webImageSrd>
  <webImageSrd>
    <address r:id="rId73"/>
    <blip r:id="rId74"/>
  </webImageSrd>
  <webImageSrd>
    <address r:id="rId75"/>
    <blip r:id="rId76"/>
  </webImageSrd>
  <webImageSrd>
    <address r:id="rId77"/>
    <blip r:id="rId78"/>
  </webImageSrd>
  <webImageSrd>
    <address r:id="rId79"/>
    <blip r:id="rId80"/>
  </webImageSrd>
  <webImageSrd>
    <address r:id="rId81"/>
    <blip r:id="rId82"/>
  </webImageSrd>
  <webImageSrd>
    <address r:id="rId83"/>
    <blip r:id="rId84"/>
  </webImageSrd>
  <webImageSrd>
    <address r:id="rId85"/>
    <blip r:id="rId86"/>
  </webImageSrd>
  <webImageSrd>
    <address r:id="rId87"/>
    <blip r:id="rId88"/>
  </webImageSrd>
  <webImageSrd>
    <address r:id="rId89"/>
    <blip r:id="rId90"/>
  </webImageSrd>
  <webImageSrd>
    <address r:id="rId91"/>
    <blip r:id="rId92"/>
  </webImageSrd>
  <webImageSrd>
    <address r:id="rId93"/>
    <blip r:id="rId94"/>
  </webImageSrd>
  <webImageSrd>
    <address r:id="rId95"/>
    <blip r:id="rId96"/>
  </webImageSrd>
  <webImageSrd>
    <address r:id="rId97"/>
    <blip r:id="rId98"/>
  </webImageSrd>
  <webImageSrd>
    <address r:id="rId99"/>
    <blip r:id="rId100"/>
  </webImageSrd>
  <webImageSrd>
    <address r:id="rId101"/>
    <blip r:id="rId102"/>
  </webImageSrd>
  <webImageSrd>
    <address r:id="rId103"/>
    <blip r:id="rId104"/>
  </webImageSrd>
  <webImageSrd>
    <address r:id="rId105"/>
    <blip r:id="rId106"/>
  </webImageSrd>
  <webImageSrd>
    <address r:id="rId107"/>
    <blip r:id="rId108"/>
  </webImageSrd>
  <webImageSrd>
    <address r:id="rId109"/>
    <blip r:id="rId110"/>
  </webImageSrd>
  <webImageSrd>
    <address r:id="rId111"/>
    <blip r:id="rId112"/>
  </webImageSrd>
  <webImageSrd>
    <address r:id="rId113"/>
    <blip r:id="rId114"/>
  </webImageSrd>
  <webImageSrd>
    <address r:id="rId115"/>
    <blip r:id="rId116"/>
  </webImageSrd>
  <webImageSrd>
    <address r:id="rId117"/>
    <blip r:id="rId118"/>
  </webImageSrd>
  <webImageSrd>
    <address r:id="rId119"/>
    <blip r:id="rId120"/>
  </webImageSrd>
  <webImageSrd>
    <address r:id="rId121"/>
    <blip r:id="rId122"/>
  </webImageSrd>
  <webImageSrd>
    <address r:id="rId123"/>
    <blip r:id="rId124"/>
  </webImageSrd>
  <webImageSrd>
    <address r:id="rId125"/>
    <blip r:id="rId126"/>
  </webImageSrd>
  <webImageSrd>
    <address r:id="rId127"/>
    <blip r:id="rId128"/>
  </webImageSrd>
  <webImageSrd>
    <address r:id="rId129"/>
    <blip r:id="rId130"/>
  </webImageSrd>
  <webImageSrd>
    <address r:id="rId131"/>
    <blip r:id="rId132"/>
  </webImageSrd>
  <webImageSrd>
    <address r:id="rId133"/>
    <blip r:id="rId134"/>
  </webImageSrd>
  <webImageSrd>
    <address r:id="rId135"/>
    <blip r:id="rId136"/>
  </webImageSrd>
</webImagesSrd>
</file>

<file path=xl/richData/rdrichvalue.xml><?xml version="1.0" encoding="utf-8"?>
<rvData xmlns="http://schemas.microsoft.com/office/spreadsheetml/2017/richdata" count="68">
  <rv s="0">
    <v>0</v>
    <v>1</v>
    <v>0</v>
    <v>80</v>
    <v>3</v>
  </rv>
  <rv s="0">
    <v>1</v>
    <v>1</v>
    <v>0</v>
    <v>80</v>
    <v>3</v>
  </rv>
  <rv s="0">
    <v>2</v>
    <v>1</v>
    <v>0</v>
    <v>80</v>
    <v>3</v>
  </rv>
  <rv s="0">
    <v>3</v>
    <v>1</v>
    <v>0</v>
    <v>80</v>
    <v>3</v>
  </rv>
  <rv s="0">
    <v>4</v>
    <v>1</v>
    <v>0</v>
    <v>80</v>
    <v>3</v>
  </rv>
  <rv s="0">
    <v>5</v>
    <v>1</v>
    <v>0</v>
    <v>80</v>
    <v>3</v>
  </rv>
  <rv s="0">
    <v>6</v>
    <v>1</v>
    <v>0</v>
    <v>80</v>
    <v>3</v>
  </rv>
  <rv s="0">
    <v>7</v>
    <v>1</v>
    <v>0</v>
    <v>80</v>
    <v>3</v>
  </rv>
  <rv s="0">
    <v>8</v>
    <v>1</v>
    <v>0</v>
    <v>80</v>
    <v>3</v>
  </rv>
  <rv s="0">
    <v>9</v>
    <v>1</v>
    <v>0</v>
    <v>80</v>
    <v>3</v>
  </rv>
  <rv s="0">
    <v>10</v>
    <v>1</v>
    <v>0</v>
    <v>80</v>
    <v>3</v>
  </rv>
  <rv s="0">
    <v>11</v>
    <v>1</v>
    <v>0</v>
    <v>80</v>
    <v>3</v>
  </rv>
  <rv s="0">
    <v>12</v>
    <v>1</v>
    <v>0</v>
    <v>80</v>
    <v>3</v>
  </rv>
  <rv s="0">
    <v>13</v>
    <v>1</v>
    <v>0</v>
    <v>80</v>
    <v>3</v>
  </rv>
  <rv s="0">
    <v>14</v>
    <v>1</v>
    <v>0</v>
    <v>80</v>
    <v>3</v>
  </rv>
  <rv s="0">
    <v>15</v>
    <v>1</v>
    <v>0</v>
    <v>80</v>
    <v>3</v>
  </rv>
  <rv s="0">
    <v>16</v>
    <v>1</v>
    <v>0</v>
    <v>80</v>
    <v>3</v>
  </rv>
  <rv s="0">
    <v>17</v>
    <v>1</v>
    <v>0</v>
    <v>80</v>
    <v>3</v>
  </rv>
  <rv s="0">
    <v>18</v>
    <v>1</v>
    <v>0</v>
    <v>80</v>
    <v>3</v>
  </rv>
  <rv s="0">
    <v>19</v>
    <v>1</v>
    <v>0</v>
    <v>80</v>
    <v>3</v>
  </rv>
  <rv s="0">
    <v>20</v>
    <v>1</v>
    <v>0</v>
    <v>80</v>
    <v>3</v>
  </rv>
  <rv s="0">
    <v>21</v>
    <v>1</v>
    <v>0</v>
    <v>80</v>
    <v>3</v>
  </rv>
  <rv s="0">
    <v>22</v>
    <v>1</v>
    <v>0</v>
    <v>80</v>
    <v>3</v>
  </rv>
  <rv s="0">
    <v>23</v>
    <v>1</v>
    <v>0</v>
    <v>80</v>
    <v>3</v>
  </rv>
  <rv s="0">
    <v>24</v>
    <v>1</v>
    <v>0</v>
    <v>80</v>
    <v>3</v>
  </rv>
  <rv s="0">
    <v>25</v>
    <v>1</v>
    <v>0</v>
    <v>80</v>
    <v>3</v>
  </rv>
  <rv s="0">
    <v>26</v>
    <v>1</v>
    <v>0</v>
    <v>80</v>
    <v>3</v>
  </rv>
  <rv s="0">
    <v>27</v>
    <v>1</v>
    <v>0</v>
    <v>80</v>
    <v>3</v>
  </rv>
  <rv s="0">
    <v>28</v>
    <v>1</v>
    <v>0</v>
    <v>80</v>
    <v>3</v>
  </rv>
  <rv s="0">
    <v>29</v>
    <v>1</v>
    <v>0</v>
    <v>80</v>
    <v>3</v>
  </rv>
  <rv s="0">
    <v>30</v>
    <v>1</v>
    <v>0</v>
    <v>80</v>
    <v>3</v>
  </rv>
  <rv s="0">
    <v>31</v>
    <v>1</v>
    <v>0</v>
    <v>80</v>
    <v>3</v>
  </rv>
  <rv s="0">
    <v>32</v>
    <v>1</v>
    <v>0</v>
    <v>80</v>
    <v>3</v>
  </rv>
  <rv s="0">
    <v>33</v>
    <v>1</v>
    <v>0</v>
    <v>80</v>
    <v>3</v>
  </rv>
  <rv s="0">
    <v>34</v>
    <v>1</v>
    <v>0</v>
    <v>80</v>
    <v>3</v>
  </rv>
  <rv s="0">
    <v>35</v>
    <v>1</v>
    <v>0</v>
    <v>80</v>
    <v>3</v>
  </rv>
  <rv s="0">
    <v>36</v>
    <v>1</v>
    <v>0</v>
    <v>80</v>
    <v>3</v>
  </rv>
  <rv s="0">
    <v>37</v>
    <v>1</v>
    <v>0</v>
    <v>80</v>
    <v>3</v>
  </rv>
  <rv s="0">
    <v>38</v>
    <v>1</v>
    <v>0</v>
    <v>80</v>
    <v>3</v>
  </rv>
  <rv s="0">
    <v>39</v>
    <v>1</v>
    <v>0</v>
    <v>80</v>
    <v>3</v>
  </rv>
  <rv s="0">
    <v>40</v>
    <v>1</v>
    <v>0</v>
    <v>80</v>
    <v>3</v>
  </rv>
  <rv s="0">
    <v>41</v>
    <v>1</v>
    <v>0</v>
    <v>80</v>
    <v>3</v>
  </rv>
  <rv s="0">
    <v>42</v>
    <v>1</v>
    <v>0</v>
    <v>80</v>
    <v>3</v>
  </rv>
  <rv s="0">
    <v>43</v>
    <v>1</v>
    <v>0</v>
    <v>80</v>
    <v>3</v>
  </rv>
  <rv s="0">
    <v>44</v>
    <v>1</v>
    <v>0</v>
    <v>80</v>
    <v>3</v>
  </rv>
  <rv s="0">
    <v>45</v>
    <v>1</v>
    <v>0</v>
    <v>80</v>
    <v>3</v>
  </rv>
  <rv s="0">
    <v>46</v>
    <v>1</v>
    <v>0</v>
    <v>80</v>
    <v>3</v>
  </rv>
  <rv s="0">
    <v>47</v>
    <v>1</v>
    <v>0</v>
    <v>80</v>
    <v>3</v>
  </rv>
  <rv s="0">
    <v>48</v>
    <v>1</v>
    <v>0</v>
    <v>80</v>
    <v>3</v>
  </rv>
  <rv s="0">
    <v>49</v>
    <v>1</v>
    <v>0</v>
    <v>80</v>
    <v>3</v>
  </rv>
  <rv s="0">
    <v>50</v>
    <v>1</v>
    <v>0</v>
    <v>80</v>
    <v>3</v>
  </rv>
  <rv s="0">
    <v>51</v>
    <v>1</v>
    <v>0</v>
    <v>80</v>
    <v>3</v>
  </rv>
  <rv s="0">
    <v>52</v>
    <v>1</v>
    <v>0</v>
    <v>80</v>
    <v>3</v>
  </rv>
  <rv s="0">
    <v>53</v>
    <v>1</v>
    <v>0</v>
    <v>80</v>
    <v>3</v>
  </rv>
  <rv s="0">
    <v>54</v>
    <v>1</v>
    <v>0</v>
    <v>80</v>
    <v>3</v>
  </rv>
  <rv s="0">
    <v>55</v>
    <v>1</v>
    <v>0</v>
    <v>80</v>
    <v>3</v>
  </rv>
  <rv s="0">
    <v>56</v>
    <v>1</v>
    <v>0</v>
    <v>80</v>
    <v>3</v>
  </rv>
  <rv s="0">
    <v>57</v>
    <v>1</v>
    <v>0</v>
    <v>80</v>
    <v>3</v>
  </rv>
  <rv s="0">
    <v>58</v>
    <v>1</v>
    <v>0</v>
    <v>80</v>
    <v>3</v>
  </rv>
  <rv s="0">
    <v>59</v>
    <v>1</v>
    <v>0</v>
    <v>80</v>
    <v>3</v>
  </rv>
  <rv s="0">
    <v>60</v>
    <v>1</v>
    <v>0</v>
    <v>80</v>
    <v>3</v>
  </rv>
  <rv s="0">
    <v>61</v>
    <v>1</v>
    <v>0</v>
    <v>80</v>
    <v>3</v>
  </rv>
  <rv s="0">
    <v>62</v>
    <v>1</v>
    <v>0</v>
    <v>80</v>
    <v>3</v>
  </rv>
  <rv s="0">
    <v>63</v>
    <v>1</v>
    <v>0</v>
    <v>80</v>
    <v>3</v>
  </rv>
  <rv s="0">
    <v>64</v>
    <v>1</v>
    <v>0</v>
    <v>80</v>
    <v>3</v>
  </rv>
  <rv s="0">
    <v>65</v>
    <v>1</v>
    <v>0</v>
    <v>80</v>
    <v>3</v>
  </rv>
  <rv s="0">
    <v>66</v>
    <v>1</v>
    <v>0</v>
    <v>80</v>
    <v>3</v>
  </rv>
  <rv s="0">
    <v>67</v>
    <v>1</v>
    <v>0</v>
    <v>80</v>
    <v>3</v>
  </rv>
</rvData>
</file>

<file path=xl/richData/rdrichvaluestructure.xml><?xml version="1.0" encoding="utf-8"?>
<rvStructures xmlns="http://schemas.microsoft.com/office/spreadsheetml/2017/richdata" count="1">
  <s t="_webimage">
    <k n="WebImageIdentifier" t="i"/>
    <k n="CalcOrigin" t="i"/>
    <k n="ComputedImage" t="b"/>
    <k n="ImageHeight"/>
    <k n="ImageSizing" t="i"/>
  </s>
</rvStructure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632BE4-2367-42B4-AACD-21C98E43ED6E}" name="OWNED" displayName="OWNED" ref="A1:I204" totalsRowShown="0">
  <autoFilter ref="A1:I204" xr:uid="{DD632BE4-2367-42B4-AACD-21C98E43ED6E}"/>
  <tableColumns count="9">
    <tableColumn id="1" xr3:uid="{519B4F2E-0ACC-4603-8155-D268CD38285A}" name="name" dataDxfId="41"/>
    <tableColumn id="2" xr3:uid="{BF187F0A-0F43-4CB2-8C25-1C0AE8756566}" name="bgg_id" dataDxfId="40"/>
    <tableColumn id="3" xr3:uid="{2FD3F8D1-1DE5-4273-B357-4FF603B91AA2}" name="label" dataDxfId="39"/>
    <tableColumn id="4" xr3:uid="{108F5F18-5C67-41EE-9707-C9A005635279}" name="check_unique" dataDxfId="38">
      <calculatedColumnFormula>COUNTIF(OWNED[bgg_id],OWNED[[#This Row],[bgg_id]])</calculatedColumnFormula>
    </tableColumn>
    <tableColumn id="5" xr3:uid="{B7515A76-6AC9-4CCC-B368-1781061FAC19}" name="bgg_name" dataDxfId="37">
      <calculatedColumnFormula>_xlfn.XLOOKUP(OWNED[[#This Row],[bgg_id]],bgg_cache[id],bgg_cache[title])</calculatedColumnFormula>
    </tableColumn>
    <tableColumn id="6" xr3:uid="{7560B392-1E91-46E4-B9C9-BEAA24A8C63C}" name="check_name" dataDxfId="36">
      <calculatedColumnFormula>EXACT(OWNED[[#This Row],[name]],OWNED[[#This Row],[bgg_name]])</calculatedColumnFormula>
    </tableColumn>
    <tableColumn id="7" xr3:uid="{C7D52E0F-72EC-40E7-B4DE-742AE14D27EF}" name="category" dataDxfId="35"/>
    <tableColumn id="11" xr3:uid="{DB7E310A-B8F6-4C74-8E13-B5751A117758}" name="lib_cat_chk" dataDxfId="34">
      <calculatedColumnFormula>_xlfn.XLOOKUP(OWNED[[#This Row],[bgg_id]],library_data[bgg_id],library_data[mana_meeple_category])=OWNED[[#This Row],[category]]</calculatedColumnFormula>
    </tableColumn>
    <tableColumn id="9" xr3:uid="{C3531F29-551C-40EE-8B9D-CFF6D5E0956D}" name="nz_desgn" dataDxfId="33">
      <calculatedColumnFormula>COUNTIF(nzdesgn[NAME],OWNED[[#This Row],[bgg_name]])</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FF49863-46CD-4893-B1FA-5D3429A05CB8}" name="BUYLIST10" displayName="BUYLIST10" ref="A1:P95" totalsRowShown="0">
  <autoFilter ref="A1:P95" xr:uid="{67AA886E-4FB0-43CF-B660-752FB3FF8251}">
    <filterColumn colId="11">
      <filters>
        <filter val="TRUE"/>
      </filters>
    </filterColumn>
  </autoFilter>
  <tableColumns count="16">
    <tableColumn id="5" xr3:uid="{54B714FF-DCA6-433A-9B34-9AEDA107C931}" name="RANK" dataDxfId="32"/>
    <tableColumn id="1" xr3:uid="{4C2385A9-9631-4E57-A955-C9D13788ACB4}" name="NAME" dataDxfId="31">
      <calculatedColumnFormula>IFERROR(_xlfn.XLOOKUP(BUYLIST10[[#This Row],[BGG ID]],bgg_cache[id],bgg_cache[title]),_xlfn.XLOOKUP(BUYLIST10[[#This Row],[BGG ID]],manual_bgg!B:B,manual_bgg!D:D))</calculatedColumnFormula>
    </tableColumn>
    <tableColumn id="15" xr3:uid="{0C30DA0D-BB46-49F4-B378-A5159DB51683}" name="Column1" dataDxfId="30">
      <calculatedColumnFormula>_xlfn.IMAGE(_xlfn.XLOOKUP(BUYLIST10[[#This Row],[BGG ID]],bgg_cache[id],bgg_cache[thumbnail_url]),,3,80)</calculatedColumnFormula>
    </tableColumn>
    <tableColumn id="12" xr3:uid="{E944A039-4DCB-4D12-B719-BD5C49057F0A}" name="BGG ID" dataDxfId="29"/>
    <tableColumn id="14" xr3:uid="{2A51C360-2D81-43C0-816E-3E1F19868C56}" name="LPG_Status" dataDxfId="28">
      <calculatedColumnFormula>_xlfn.XLOOKUP(BUYLIST10[[#This Row],[BGG ID]],STOREURL[BGG ID],STOREURL[STATUS])</calculatedColumnFormula>
    </tableColumn>
    <tableColumn id="16" xr3:uid="{523C2B6A-98D4-42B9-9BD2-E3F5EEDA6400}" name="LPG_RRP" dataDxfId="27">
      <calculatedColumnFormula>_xlfn.XLOOKUP(BUYLIST10[[#This Row],[BGG ID]],STOREURL[BGG ID],STOREURL[LPG_RRP])</calculatedColumnFormula>
    </tableColumn>
    <tableColumn id="2" xr3:uid="{6B2B6366-48D2-48A1-82BC-06B36A219D18}" name="Low" dataDxfId="26">
      <calculatedColumnFormula>_xlfn.XLOOKUP(BUYLIST10[[#This Row],[NAME]],summary_prices[game],summary_prices[site_low_nzd])</calculatedColumnFormula>
    </tableColumn>
    <tableColumn id="3" xr3:uid="{1FB9F33F-E8F1-4A45-A1FD-5D22786F3FD0}" name="Mean" dataDxfId="25">
      <calculatedColumnFormula>_xlfn.XLOOKUP(BUYLIST10[[#This Row],[NAME]],summary_prices[game],summary_prices[site_mean_nzd])</calculatedColumnFormula>
    </tableColumn>
    <tableColumn id="6" xr3:uid="{425308CE-B99F-4A12-90BA-EFD41B98BED4}" name="BEST" dataDxfId="24">
      <calculatedColumnFormula>_xlfn.XLOOKUP(BUYLIST10[[#This Row],[NAME]],summary_prices[game],summary_prices[best_in_stock_nzd])</calculatedColumnFormula>
    </tableColumn>
    <tableColumn id="13" xr3:uid="{B72A0CC3-B2DC-4886-881D-7B8E38E34938}" name="Discount" dataDxfId="23">
      <calculatedColumnFormula>IFERROR(_xlfn.XLOOKUP(BUYLIST10[[#This Row],[NAME]],summary_prices[game],summary_prices[discount_pct_vs_site_mean]),-99)</calculatedColumnFormula>
    </tableColumn>
    <tableColumn id="4" xr3:uid="{9655C060-D6E8-4BC4-BD3D-D03E93443556}" name="Delta" dataDxfId="22">
      <calculatedColumnFormula>_xlfn.XLOOKUP(BUYLIST10[[#This Row],[NAME]],summary_prices[game],summary_prices[delta_vs_site_disc_mean_pp])</calculatedColumnFormula>
    </tableColumn>
    <tableColumn id="17" xr3:uid="{4191C8AC-9FC8-4604-AD5F-CDCD6562C01D}" name="QF" dataDxfId="21">
      <calculatedColumnFormula array="1">_xlfn.LET(
  _xlpm.b, BUYLIST10[[#This Row],[BEST]],
  _xlpm.s, BUYLIST10[[#This Row],[LPG_Status]],
  _xlpm.r, BUYLIST10[[#This Row],[LPG_RRP]],
  _xlpm.d, BUYLIST10[[#This Row],[Discount]],
  OR(
    AND(
      OR(_xlpm.s={"AVAILABLE","BACK_ORDER"}),
      IF(ISNUMBER(_xlpm.b), AND(_xlpm.b&lt;&gt;0, _xlpm.b*2&lt;=_xlpm.r), FALSE)
    ),
    AND(
      OR(_xlpm.s={"NOT_FOUND","BACK_ORDER_OOS"}),
      _xlpm.d&gt;30
    )
  )
)</calculatedColumnFormula>
    </tableColumn>
    <tableColumn id="10" xr3:uid="{62766BBD-0838-4233-8E20-5572B9D93B06}" name="STORE" dataDxfId="20">
      <calculatedColumnFormula>_xlfn.XLOOKUP(BUYLIST10[[#This Row],[NAME]],summary_prices[game],summary_prices[best_in_stock_store])</calculatedColumnFormula>
    </tableColumn>
    <tableColumn id="8" xr3:uid="{F72EDAEF-966C-4DB4-9AF6-A2CE19D843C4}" name="BGO LINK" dataDxfId="19">
      <calculatedColumnFormula>HYPERLINK(_xlfn.XLOOKUP(BUYLIST10[[#This Row],[BGG ID]],STOREURL[BGG ID],STOREURL[BGO LINK]))</calculatedColumnFormula>
    </tableColumn>
    <tableColumn id="7" xr3:uid="{BEF80931-A979-4BA7-BA64-B3FA9E6D4132}" name="HAVE" dataDxfId="18">
      <calculatedColumnFormula>COUNTIF(OWNED[bgg_id],BUYLIST10[[#This Row],[BGG ID]])</calculatedColumnFormula>
    </tableColumn>
    <tableColumn id="11" xr3:uid="{111963A6-9489-4B8D-B734-D0798BB4BF2F}" name="DUP" dataDxfId="17">
      <calculatedColumnFormula>COUNTIF(BUYLIST10[NAME],BUYLIST10[[#This Row],[NAME]])</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EBB441-9195-494B-9A42-9F6A02668D19}" name="library_data" displayName="library_data" ref="A1:AB187" tableType="queryTable" totalsRowShown="0">
  <autoFilter ref="A1:AB187" xr:uid="{D2EBB441-9195-494B-9A42-9F6A02668D19}"/>
  <tableColumns count="28">
    <tableColumn id="1" xr3:uid="{231B71C5-0C93-4CFF-A9CF-E5745E46A495}" uniqueName="1" name="id" queryTableFieldId="1"/>
    <tableColumn id="2" xr3:uid="{DE9BC507-A374-4172-B813-E8DC766451E6}" uniqueName="2" name="title" queryTableFieldId="2"/>
    <tableColumn id="3" xr3:uid="{69654F63-A466-4BC0-8A51-DD0CC28DEAB8}" uniqueName="3" name="categories" queryTableFieldId="3"/>
    <tableColumn id="4" xr3:uid="{F8F2FC43-3CC0-4CBE-AB41-62186D15FA97}" uniqueName="4" name="year" queryTableFieldId="4"/>
    <tableColumn id="5" xr3:uid="{2028E83D-205D-4850-80E2-1C79A2BB6464}" uniqueName="5" name="players_min" queryTableFieldId="5"/>
    <tableColumn id="6" xr3:uid="{9A48E212-5C44-42DB-B404-49156EC49736}" uniqueName="6" name="players_max" queryTableFieldId="6"/>
    <tableColumn id="7" xr3:uid="{26FFC868-76FB-43E3-813C-5C1444C0E52E}" uniqueName="7" name="playtime_min" queryTableFieldId="7"/>
    <tableColumn id="8" xr3:uid="{AED96DB1-6F58-40E9-9C46-92E1128A6E6B}" uniqueName="8" name="playtime_max" queryTableFieldId="8"/>
    <tableColumn id="9" xr3:uid="{AEA294CE-629F-48D7-9B41-090AD33CAFBF}" uniqueName="9" name="thumbnail_url" queryTableFieldId="9"/>
    <tableColumn id="10" xr3:uid="{33FF71ED-FC25-4699-B951-B7C78B5DDDF5}" uniqueName="10" name="image" queryTableFieldId="10"/>
    <tableColumn id="11" xr3:uid="{651ED8CE-F7B8-40ED-A525-A143F25BA281}" uniqueName="11" name="created_at" queryTableFieldId="11"/>
    <tableColumn id="12" xr3:uid="{363E4000-33C7-41DA-A7B4-8485E6468C9F}" uniqueName="12" name="bgg_id" queryTableFieldId="12"/>
    <tableColumn id="13" xr3:uid="{37D288A3-7010-445C-AF21-2B3FF0FB90C6}" uniqueName="13" name="thumbnail_file" queryTableFieldId="13"/>
    <tableColumn id="14" xr3:uid="{BC3C8238-627D-4166-9267-829AA133C5F6}" uniqueName="14" name="mana_meeple_category" queryTableFieldId="14"/>
    <tableColumn id="15" xr3:uid="{6C186C9C-E0EC-4EC6-839C-CBA3F9363C97}" uniqueName="15" name="description" queryTableFieldId="15"/>
    <tableColumn id="16" xr3:uid="{594A1E24-A15B-4F67-A0F3-7222B635A631}" uniqueName="16" name="designers" queryTableFieldId="16"/>
    <tableColumn id="17" xr3:uid="{207DBA0F-89EC-471F-93AD-0787A871B9F2}" uniqueName="17" name="publishers" queryTableFieldId="17"/>
    <tableColumn id="18" xr3:uid="{4C878DD7-04B4-487A-957C-EE013D7DA156}" uniqueName="18" name="mechanics" queryTableFieldId="18"/>
    <tableColumn id="19" xr3:uid="{75913F96-057E-4650-BBED-831A7915B4DC}" uniqueName="19" name="artists" queryTableFieldId="19"/>
    <tableColumn id="20" xr3:uid="{E44C9F16-D4D9-445D-B062-BB72B793015C}" uniqueName="20" name="average_rating" queryTableFieldId="20"/>
    <tableColumn id="21" xr3:uid="{E48796CE-5EB8-4372-8A78-D9BDA4F274CA}" uniqueName="21" name="complexity" queryTableFieldId="21"/>
    <tableColumn id="22" xr3:uid="{A94DB7CB-AD5F-4C72-9D1D-1D98AFEFA9B5}" uniqueName="22" name="bgg_rank" queryTableFieldId="22"/>
    <tableColumn id="23" xr3:uid="{5622C172-11E4-4466-8F08-AAA06E8FAE5F}" uniqueName="23" name="users_rated" queryTableFieldId="23"/>
    <tableColumn id="24" xr3:uid="{7F222493-44DF-4384-9C6E-48A9A4C2BD7B}" uniqueName="24" name="min_age" queryTableFieldId="24"/>
    <tableColumn id="25" xr3:uid="{A60CC473-E495-4A93-8C60-DD5B6EAC7021}" uniqueName="25" name="is_cooperative" queryTableFieldId="25"/>
    <tableColumn id="27" xr3:uid="{55FAC880-E5C5-4D65-AC6C-613554EFC733}" uniqueName="27" name="nz_designer" queryTableFieldId="26"/>
    <tableColumn id="26" xr3:uid="{BE030BD1-2775-4827-898A-85D79C1425E5}" uniqueName="26" name="game_type" queryTableFieldId="27"/>
    <tableColumn id="28" xr3:uid="{3A7E0E89-6C9E-4D90-B921-879C05A7EF14}" uniqueName="28" name="in_owned" queryTableFieldId="28" dataDxfId="16">
      <calculatedColumnFormula>COUNTIF(OWNED[bgg_id],library_data[[#This Row],[bgg_id]])</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402930B-1DB5-4D2F-B885-F6088D038699}" name="STOREURL" displayName="STOREURL" ref="A1:G270" totalsRowShown="0">
  <autoFilter ref="A1:G270" xr:uid="{C402930B-1DB5-4D2F-B885-F6088D038699}"/>
  <tableColumns count="7">
    <tableColumn id="1" xr3:uid="{7846DAA9-6182-46E9-94F4-E3070BB7B18D}" name="BGG ID" dataDxfId="15"/>
    <tableColumn id="2" xr3:uid="{4D36C465-560E-4908-A415-55E232D4BB18}" name="BGO LINK"/>
    <tableColumn id="3" xr3:uid="{21EFCE4A-7DED-4587-B584-05A6B1FBF99C}" name="MA LINK" dataDxfId="14"/>
    <tableColumn id="4" xr3:uid="{A8556985-F5A1-48A1-8936-46DE6623B26D}" name="LPG_RRP" dataDxfId="13"/>
    <tableColumn id="7" xr3:uid="{1445AC71-C842-4D85-AE23-B1DCA910C625}" name="STATUS" dataDxfId="12"/>
    <tableColumn id="5" xr3:uid="{075C5704-D13F-4006-B76F-2F7AF434CBC1}" name="NAME" dataDxfId="11">
      <calculatedColumnFormula>IFERROR(_xlfn.XLOOKUP(STOREURL[[#This Row],[BGG ID]],bgg_cache[id],bgg_cache[title]),_xlfn.XLOOKUP(STOREURL[[#This Row],[BGG ID]],manual_bgg!B:B,manual_bgg!D:D))</calculatedColumnFormula>
    </tableColumn>
    <tableColumn id="6" xr3:uid="{51C5DF4E-09C7-4DA8-8B2A-09430130C286}" name="TOP100" dataDxfId="10">
      <calculatedColumnFormula>COUNTIF(BUYLIST10[BGG ID],STOREURL[[#This Row],[BGG ID]])</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867316-137B-46D2-8133-974D3D00E831}" name="summary_prices" displayName="summary_prices" ref="A1:M104" tableType="queryTable" totalsRowShown="0">
  <autoFilter ref="A1:M104" xr:uid="{85867316-137B-46D2-8133-974D3D00E831}"/>
  <sortState xmlns:xlrd2="http://schemas.microsoft.com/office/spreadsheetml/2017/richdata2" ref="A2:M104">
    <sortCondition ref="B1:B104"/>
  </sortState>
  <tableColumns count="13">
    <tableColumn id="1" xr3:uid="{1A0502DD-6907-4621-942C-053B2207FE50}" uniqueName="1" name="checked_at" queryTableFieldId="1" dataDxfId="0"/>
    <tableColumn id="2" xr3:uid="{3F7B762B-FBC5-4B9E-B64A-CD2B139E07CF}" uniqueName="2" name="game" queryTableFieldId="2" dataDxfId="9"/>
    <tableColumn id="3" xr3:uid="{870C9712-38DC-4B0F-B4B4-12BD49C1D42E}" uniqueName="3" name="site_mean_nzd" queryTableFieldId="3"/>
    <tableColumn id="6" xr3:uid="{71E84647-C9EE-4FC6-9433-5534BFB5BF3D}" uniqueName="6" name="discount_abs_vs_site_mean" queryTableFieldId="6"/>
    <tableColumn id="8" xr3:uid="{A2BC3AF4-F830-44BD-9A71-97D8298D3309}" uniqueName="8" name="mean_nzd_all_offers_calc" queryTableFieldId="8"/>
    <tableColumn id="9" xr3:uid="{6B16BF96-9C32-49F3-B483-D39E3B5D412F}" uniqueName="9" name="mean_nzd_in_stock_calc" queryTableFieldId="9"/>
    <tableColumn id="10" xr3:uid="{8B54E55C-F21F-48B8-B004-FA9707E7F20E}" uniqueName="10" name="site_disc_mean_pct" queryTableFieldId="10" dataDxfId="8"/>
    <tableColumn id="11" xr3:uid="{8A34BB21-594C-43CB-83B7-BDFAB0ECD9D4}" uniqueName="11" name="site_disc_mean_calc_pct" queryTableFieldId="11"/>
    <tableColumn id="12" xr3:uid="{0E8FE6C8-D057-45DC-A4FA-8F43C574C07F}" uniqueName="12" name="site_low_nzd" queryTableFieldId="12"/>
    <tableColumn id="4" xr3:uid="{359C1604-0121-432E-A0A9-1E2806618931}" uniqueName="4" name="best_in_stock_nzd" queryTableFieldId="4" dataDxfId="7"/>
    <tableColumn id="5" xr3:uid="{788A0C19-B33E-42F4-8810-E6B906250440}" uniqueName="5" name="best_in_stock_store" queryTableFieldId="5" dataDxfId="6"/>
    <tableColumn id="7" xr3:uid="{75D5D31C-4E16-42FD-A1B2-7875EC03607D}" uniqueName="7" name="discount_pct_vs_site_mean" queryTableFieldId="7" dataDxfId="5"/>
    <tableColumn id="13" xr3:uid="{866AD9FD-7D3E-469C-90B6-08AE5164C087}" uniqueName="13" name="delta_vs_site_disc_mean_pp" queryTableFieldId="13" dataDxf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16067C-F218-462F-A9BF-15BDF2CD4175}" name="Table4" displayName="Table4" ref="A1:E80" totalsRowShown="0">
  <autoFilter ref="A1:E80" xr:uid="{5C16067C-F218-462F-A9BF-15BDF2CD4175}"/>
  <sortState xmlns:xlrd2="http://schemas.microsoft.com/office/spreadsheetml/2017/richdata2" ref="A2:E5">
    <sortCondition ref="C1:C5"/>
  </sortState>
  <tableColumns count="5">
    <tableColumn id="1" xr3:uid="{19A72F6A-AD9E-4F27-9AAF-CBC7E7EFDB9C}" name="checked_at" dataDxfId="3"/>
    <tableColumn id="5" xr3:uid="{DFD11E02-80FF-4159-A207-1DDC33C1C3A7}" name="bgg_id" dataDxfId="2"/>
    <tableColumn id="2" xr3:uid="{408768CA-740F-41E2-B8B9-1B17D587DF41}" name="game" dataDxfId="1">
      <calculatedColumnFormula>_xlfn.XLOOKUP(Table4[[#This Row],[bgg_id]],bgg_cache[id],bgg_cache[title])</calculatedColumnFormula>
    </tableColumn>
    <tableColumn id="3" xr3:uid="{0E71868B-F148-4DF6-8F6D-C6A2D35B95D7}" name="website"/>
    <tableColumn id="4" xr3:uid="{383B7CA0-0E94-48EA-993B-80EEF0E587C2}" name="pric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B7C98C-11EA-403B-A8A9-6C921D650C67}" name="bgg_cache" displayName="bgg_cache" ref="A1:P590" tableType="queryTable" totalsRowShown="0">
  <autoFilter ref="A1:P590" xr:uid="{BCB7C98C-11EA-403B-A8A9-6C921D650C67}"/>
  <sortState xmlns:xlrd2="http://schemas.microsoft.com/office/spreadsheetml/2017/richdata2" ref="A2:P590">
    <sortCondition ref="C1:C590"/>
  </sortState>
  <tableColumns count="16">
    <tableColumn id="1" xr3:uid="{1F0BF988-A076-4F5A-8AE7-2754D6161800}" uniqueName="1" name="id" queryTableFieldId="1"/>
    <tableColumn id="2" xr3:uid="{CF075AE8-4076-4EAF-9A9B-06921B6A9EEA}" uniqueName="2" name="status" queryTableFieldId="2"/>
    <tableColumn id="3" xr3:uid="{F7248008-BF86-40AE-A6A1-BC4521C5788C}" uniqueName="3" name="title" queryTableFieldId="3"/>
    <tableColumn id="4" xr3:uid="{D77193FD-6FC8-4AAC-B23E-EFCB3AC871EF}" uniqueName="4" name="year" queryTableFieldId="4"/>
    <tableColumn id="15" xr3:uid="{43FA99A9-12C2-4853-8DD5-3F892673FFD1}" uniqueName="15" name="thumbnail_url" queryTableFieldId="15"/>
    <tableColumn id="16" xr3:uid="{599C4217-9BDC-4717-9C27-5D3CA2ACA97B}" uniqueName="16" name="image_url" queryTableFieldId="16"/>
    <tableColumn id="5" xr3:uid="{CC0C1DC7-709B-4500-B6CA-21A2B80C7F1C}" uniqueName="5" name="min_players" queryTableFieldId="5"/>
    <tableColumn id="6" xr3:uid="{A942FF9C-F363-4BE9-A684-3EAF755D5026}" uniqueName="6" name="max_players" queryTableFieldId="6"/>
    <tableColumn id="7" xr3:uid="{DD8D5BE6-E1C0-4E59-8A0B-AF49C34D53A1}" uniqueName="7" name="min_playtime" queryTableFieldId="7"/>
    <tableColumn id="8" xr3:uid="{6824C554-C46C-4892-B2DD-088A741E1040}" uniqueName="8" name="max_playtime" queryTableFieldId="8"/>
    <tableColumn id="9" xr3:uid="{34053487-D211-48AA-BC5B-AA2A80B67F60}" uniqueName="9" name="min_age" queryTableFieldId="9"/>
    <tableColumn id="10" xr3:uid="{7EDD25DF-A3CF-4A67-869D-C88E4A0A008D}" uniqueName="10" name="weight" queryTableFieldId="10"/>
    <tableColumn id="11" xr3:uid="{6C0BE9DC-4832-4C58-8DD8-77650E26AA2E}" uniqueName="11" name="avg_rating" queryTableFieldId="11"/>
    <tableColumn id="12" xr3:uid="{0089B26C-C81E-442D-9EB3-C5DC6F85B494}" uniqueName="12" name="bgg_rank" queryTableFieldId="12"/>
    <tableColumn id="13" xr3:uid="{8A0615A6-DFB8-4E19-B993-F6478E3A5195}" uniqueName="13" name="game_type" queryTableFieldId="13"/>
    <tableColumn id="14" xr3:uid="{32673468-307F-4088-A2B7-C34862B32643}" uniqueName="14" name="coop_type" queryTableFieldId="1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E86EE6-0551-4E97-B68A-B7EF44136A2A}" name="nzdesgn" displayName="nzdesgn" ref="A1:A17" totalsRowShown="0">
  <autoFilter ref="A1:A17" xr:uid="{D8E86EE6-0551-4E97-B68A-B7EF44136A2A}"/>
  <tableColumns count="1">
    <tableColumn id="1" xr3:uid="{16C6C371-3F16-4D93-B2EA-798C07B068BE}" name="NAM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E83ED-FFE0-4009-8094-A11DC302D7D8}">
  <dimension ref="A1:O204"/>
  <sheetViews>
    <sheetView tabSelected="1" topLeftCell="A10" workbookViewId="0">
      <selection activeCell="A38" sqref="A38"/>
    </sheetView>
  </sheetViews>
  <sheetFormatPr defaultRowHeight="15" x14ac:dyDescent="0.25"/>
  <cols>
    <col min="1" max="1" width="39" customWidth="1"/>
    <col min="2" max="2" width="9" bestFit="1" customWidth="1"/>
    <col min="3" max="3" width="7.7109375" bestFit="1" customWidth="1"/>
    <col min="4" max="4" width="15.85546875" bestFit="1" customWidth="1"/>
    <col min="5" max="5" width="41" customWidth="1"/>
    <col min="6" max="6" width="14.42578125" bestFit="1" customWidth="1"/>
    <col min="7" max="7" width="19" bestFit="1" customWidth="1"/>
    <col min="8" max="8" width="13.140625" bestFit="1" customWidth="1"/>
    <col min="9" max="9" width="11.5703125" bestFit="1" customWidth="1"/>
    <col min="12" max="12" width="19" bestFit="1" customWidth="1"/>
    <col min="13" max="13" width="14.7109375" bestFit="1" customWidth="1"/>
    <col min="14" max="14" width="18.140625" bestFit="1" customWidth="1"/>
    <col min="15" max="15" width="18.42578125" bestFit="1" customWidth="1"/>
  </cols>
  <sheetData>
    <row r="1" spans="1:15" x14ac:dyDescent="0.25">
      <c r="A1" t="s">
        <v>4098</v>
      </c>
      <c r="B1" t="s">
        <v>2475</v>
      </c>
      <c r="C1" t="s">
        <v>4097</v>
      </c>
      <c r="D1" t="s">
        <v>2479</v>
      </c>
      <c r="E1" t="s">
        <v>2477</v>
      </c>
      <c r="F1" t="s">
        <v>2478</v>
      </c>
      <c r="G1" t="s">
        <v>2476</v>
      </c>
      <c r="H1" t="s">
        <v>4095</v>
      </c>
      <c r="I1" t="s">
        <v>4096</v>
      </c>
      <c r="O1" cm="1">
        <f t="array" ref="O1:O17">IFERROR(_xlfn._xlws.FILTER(OWNED[bgg_id], ISNA(MATCH(OWNED[bgg_id], library_data[bgg_id], 0))),"OWNED AND LIBRARY MATCH")</f>
        <v>247367</v>
      </c>
    </row>
    <row r="2" spans="1:15" x14ac:dyDescent="0.25">
      <c r="A2" s="1" t="s">
        <v>8</v>
      </c>
      <c r="B2" s="1">
        <v>68448</v>
      </c>
      <c r="C2" s="1"/>
      <c r="D2" s="1">
        <f>COUNTIF(OWNED[bgg_id],OWNED[[#This Row],[bgg_id]])</f>
        <v>1</v>
      </c>
      <c r="E2" s="1" t="str">
        <f>_xlfn.XLOOKUP(OWNED[[#This Row],[bgg_id]],bgg_cache[id],bgg_cache[title])</f>
        <v>7 Wonders</v>
      </c>
      <c r="F2" s="1" t="b">
        <f>EXACT(OWNED[[#This Row],[name]],OWNED[[#This Row],[bgg_name]])</f>
        <v>1</v>
      </c>
      <c r="G2" s="1" t="s">
        <v>2471</v>
      </c>
      <c r="H2" s="1" t="b">
        <f>_xlfn.XLOOKUP(OWNED[[#This Row],[bgg_id]],library_data[bgg_id],library_data[mana_meeple_category])=OWNED[[#This Row],[category]]</f>
        <v>1</v>
      </c>
      <c r="I2" s="1">
        <f>COUNTIF(nzdesgn[NAME],OWNED[[#This Row],[bgg_name]])</f>
        <v>0</v>
      </c>
      <c r="O2">
        <v>155426</v>
      </c>
    </row>
    <row r="3" spans="1:15" x14ac:dyDescent="0.25">
      <c r="A3" s="1" t="s">
        <v>27</v>
      </c>
      <c r="B3" s="1">
        <v>173346</v>
      </c>
      <c r="C3" s="1"/>
      <c r="D3" s="1">
        <f>COUNTIF(OWNED[bgg_id],OWNED[[#This Row],[bgg_id]])</f>
        <v>1</v>
      </c>
      <c r="E3" s="1" t="str">
        <f>_xlfn.XLOOKUP(OWNED[[#This Row],[bgg_id]],bgg_cache[id],bgg_cache[title])</f>
        <v>7 Wonders Duel</v>
      </c>
      <c r="F3" s="1" t="b">
        <f>EXACT(OWNED[[#This Row],[name]],OWNED[[#This Row],[bgg_name]])</f>
        <v>1</v>
      </c>
      <c r="G3" s="1" t="s">
        <v>2471</v>
      </c>
      <c r="H3" s="1" t="b">
        <f>_xlfn.XLOOKUP(OWNED[[#This Row],[bgg_id]],library_data[bgg_id],library_data[mana_meeple_category])=OWNED[[#This Row],[category]]</f>
        <v>1</v>
      </c>
      <c r="I3" s="1">
        <f>COUNTIF(nzdesgn[NAME],OWNED[[#This Row],[bgg_name]])</f>
        <v>0</v>
      </c>
      <c r="O3">
        <v>348096</v>
      </c>
    </row>
    <row r="4" spans="1:15" x14ac:dyDescent="0.25">
      <c r="A4" s="1" t="s">
        <v>472</v>
      </c>
      <c r="B4" s="1">
        <v>177736</v>
      </c>
      <c r="C4" s="1"/>
      <c r="D4" s="1">
        <f>COUNTIF(OWNED[bgg_id],OWNED[[#This Row],[bgg_id]])</f>
        <v>1</v>
      </c>
      <c r="E4" s="1" t="str">
        <f>_xlfn.XLOOKUP(OWNED[[#This Row],[bgg_id]],bgg_cache[id],bgg_cache[title])</f>
        <v>A Feast for Odin</v>
      </c>
      <c r="F4" s="1" t="b">
        <f>EXACT(OWNED[[#This Row],[name]],OWNED[[#This Row],[bgg_name]])</f>
        <v>1</v>
      </c>
      <c r="G4" s="1" t="s">
        <v>2474</v>
      </c>
      <c r="H4" s="1" t="b">
        <f>_xlfn.XLOOKUP(OWNED[[#This Row],[bgg_id]],library_data[bgg_id],library_data[mana_meeple_category])=OWNED[[#This Row],[category]]</f>
        <v>1</v>
      </c>
      <c r="I4" s="1">
        <f>COUNTIF(nzdesgn[NAME],OWNED[[#This Row],[bgg_name]])</f>
        <v>0</v>
      </c>
      <c r="O4">
        <v>312484</v>
      </c>
    </row>
    <row r="5" spans="1:15" x14ac:dyDescent="0.25">
      <c r="A5" s="1" t="s">
        <v>190</v>
      </c>
      <c r="B5" s="1">
        <v>302260</v>
      </c>
      <c r="C5" s="1"/>
      <c r="D5" s="1">
        <f>COUNTIF(OWNED[bgg_id],OWNED[[#This Row],[bgg_id]])</f>
        <v>1</v>
      </c>
      <c r="E5" s="1" t="str">
        <f>_xlfn.XLOOKUP(OWNED[[#This Row],[bgg_id]],bgg_cache[id],bgg_cache[title])</f>
        <v>Abandon All Artichokes</v>
      </c>
      <c r="F5" s="1" t="b">
        <f>EXACT(OWNED[[#This Row],[name]],OWNED[[#This Row],[bgg_name]])</f>
        <v>1</v>
      </c>
      <c r="G5" s="1" t="s">
        <v>2472</v>
      </c>
      <c r="H5" s="1" t="b">
        <f>_xlfn.XLOOKUP(OWNED[[#This Row],[bgg_id]],library_data[bgg_id],library_data[mana_meeple_category])=OWNED[[#This Row],[category]]</f>
        <v>1</v>
      </c>
      <c r="I5" s="1">
        <f>COUNTIF(nzdesgn[NAME],OWNED[[#This Row],[bgg_name]])</f>
        <v>0</v>
      </c>
      <c r="O5">
        <v>156546</v>
      </c>
    </row>
    <row r="6" spans="1:15" x14ac:dyDescent="0.25">
      <c r="A6" s="1" t="str">
        <f>_xlfn.XLOOKUP(OWNED[[#This Row],[bgg_id]],bgg_cache[id],bgg_cache[title])</f>
        <v>Air, Land, &amp; Sea</v>
      </c>
      <c r="B6" s="1">
        <v>247367</v>
      </c>
      <c r="C6" s="1">
        <v>1</v>
      </c>
      <c r="D6" s="1">
        <f>COUNTIF(OWNED[bgg_id],OWNED[[#This Row],[bgg_id]])</f>
        <v>1</v>
      </c>
      <c r="E6" s="1" t="str">
        <f>_xlfn.XLOOKUP(OWNED[[#This Row],[bgg_id]],bgg_cache[id],bgg_cache[title])</f>
        <v>Air, Land, &amp; Sea</v>
      </c>
      <c r="F6" s="1" t="b">
        <f>EXACT(OWNED[[#This Row],[name]],OWNED[[#This Row],[bgg_name]])</f>
        <v>1</v>
      </c>
      <c r="G6" s="1"/>
      <c r="H6" s="1" t="e">
        <f>_xlfn.XLOOKUP(OWNED[[#This Row],[bgg_id]],library_data[bgg_id],library_data[mana_meeple_category])=OWNED[[#This Row],[category]]</f>
        <v>#N/A</v>
      </c>
      <c r="I6" s="1">
        <f>COUNTIF(nzdesgn[NAME],OWNED[[#This Row],[bgg_name]])</f>
        <v>0</v>
      </c>
      <c r="L6" s="11" t="s">
        <v>3976</v>
      </c>
      <c r="M6" t="s">
        <v>215</v>
      </c>
      <c r="O6">
        <v>353545</v>
      </c>
    </row>
    <row r="7" spans="1:15" x14ac:dyDescent="0.25">
      <c r="A7" s="1" t="s">
        <v>122</v>
      </c>
      <c r="B7" s="1">
        <v>357563</v>
      </c>
      <c r="C7" s="1"/>
      <c r="D7" s="1">
        <f>COUNTIF(OWNED[bgg_id],OWNED[[#This Row],[bgg_id]])</f>
        <v>1</v>
      </c>
      <c r="E7" s="1" t="str">
        <f>_xlfn.XLOOKUP(OWNED[[#This Row],[bgg_id]],bgg_cache[id],bgg_cache[title])</f>
        <v>Akropolis</v>
      </c>
      <c r="F7" s="1" t="b">
        <f>EXACT(OWNED[[#This Row],[name]],OWNED[[#This Row],[bgg_name]])</f>
        <v>1</v>
      </c>
      <c r="G7" s="1" t="s">
        <v>2471</v>
      </c>
      <c r="H7" s="1" t="b">
        <f>_xlfn.XLOOKUP(OWNED[[#This Row],[bgg_id]],library_data[bgg_id],library_data[mana_meeple_category])=OWNED[[#This Row],[category]]</f>
        <v>1</v>
      </c>
      <c r="I7" s="1">
        <f>COUNTIF(nzdesgn[NAME],OWNED[[#This Row],[bgg_name]])</f>
        <v>0</v>
      </c>
      <c r="K7" s="2"/>
      <c r="L7" s="2" t="s">
        <v>2470</v>
      </c>
      <c r="M7" s="18">
        <v>36</v>
      </c>
      <c r="O7">
        <v>367272</v>
      </c>
    </row>
    <row r="8" spans="1:15" x14ac:dyDescent="0.25">
      <c r="A8" s="1" t="s">
        <v>30</v>
      </c>
      <c r="B8" s="1">
        <v>17329</v>
      </c>
      <c r="C8" s="1"/>
      <c r="D8" s="1">
        <f>COUNTIF(OWNED[bgg_id],OWNED[[#This Row],[bgg_id]])</f>
        <v>1</v>
      </c>
      <c r="E8" s="1" t="str">
        <f>_xlfn.XLOOKUP(OWNED[[#This Row],[bgg_id]],bgg_cache[id],bgg_cache[title])</f>
        <v>Animal Upon Animal</v>
      </c>
      <c r="F8" s="1" t="b">
        <f>EXACT(OWNED[[#This Row],[name]],OWNED[[#This Row],[bgg_name]])</f>
        <v>1</v>
      </c>
      <c r="G8" s="1" t="s">
        <v>2472</v>
      </c>
      <c r="H8" s="1" t="b">
        <f>_xlfn.XLOOKUP(OWNED[[#This Row],[bgg_id]],library_data[bgg_id],library_data[mana_meeple_category])=OWNED[[#This Row],[category]]</f>
        <v>1</v>
      </c>
      <c r="I8" s="1">
        <f>COUNTIF(nzdesgn[NAME],OWNED[[#This Row],[bgg_name]])</f>
        <v>0</v>
      </c>
      <c r="K8" s="10"/>
      <c r="L8" s="2" t="s">
        <v>2474</v>
      </c>
      <c r="M8" s="18">
        <v>25</v>
      </c>
      <c r="O8">
        <v>305682</v>
      </c>
    </row>
    <row r="9" spans="1:15" x14ac:dyDescent="0.25">
      <c r="A9" s="1" t="s">
        <v>222</v>
      </c>
      <c r="B9" s="1">
        <v>67877</v>
      </c>
      <c r="C9" s="1"/>
      <c r="D9" s="1">
        <f>COUNTIF(OWNED[bgg_id],OWNED[[#This Row],[bgg_id]])</f>
        <v>1</v>
      </c>
      <c r="E9" s="1" t="str">
        <f>_xlfn.XLOOKUP(OWNED[[#This Row],[bgg_id]],bgg_cache[id],bgg_cache[title])</f>
        <v>Anomia</v>
      </c>
      <c r="F9" s="1" t="b">
        <f>EXACT(OWNED[[#This Row],[name]],OWNED[[#This Row],[bgg_name]])</f>
        <v>1</v>
      </c>
      <c r="G9" s="1" t="s">
        <v>2473</v>
      </c>
      <c r="H9" s="1" t="b">
        <f>_xlfn.XLOOKUP(OWNED[[#This Row],[bgg_id]],library_data[bgg_id],library_data[mana_meeple_category])=OWNED[[#This Row],[category]]</f>
        <v>1</v>
      </c>
      <c r="I9" s="1">
        <f>COUNTIF(nzdesgn[NAME],OWNED[[#This Row],[bgg_name]])</f>
        <v>0</v>
      </c>
      <c r="K9" s="2"/>
      <c r="L9" s="2" t="s">
        <v>2471</v>
      </c>
      <c r="M9" s="18">
        <v>49</v>
      </c>
      <c r="O9">
        <v>284083</v>
      </c>
    </row>
    <row r="10" spans="1:15" x14ac:dyDescent="0.25">
      <c r="A10" s="1" t="s">
        <v>21</v>
      </c>
      <c r="B10" s="1">
        <v>69789</v>
      </c>
      <c r="C10" s="1"/>
      <c r="D10" s="1">
        <f>COUNTIF(OWNED[bgg_id],OWNED[[#This Row],[bgg_id]])</f>
        <v>1</v>
      </c>
      <c r="E10" s="1" t="str">
        <f>_xlfn.XLOOKUP(OWNED[[#This Row],[bgg_id]],bgg_cache[id],bgg_cache[title])</f>
        <v>Ascension: Deckbuilding Game</v>
      </c>
      <c r="F10" s="1" t="b">
        <f>EXACT(OWNED[[#This Row],[name]],OWNED[[#This Row],[bgg_name]])</f>
        <v>1</v>
      </c>
      <c r="G10" s="1" t="s">
        <v>2471</v>
      </c>
      <c r="H10" s="1" t="b">
        <f>_xlfn.XLOOKUP(OWNED[[#This Row],[bgg_id]],library_data[bgg_id],library_data[mana_meeple_category])=OWNED[[#This Row],[category]]</f>
        <v>1</v>
      </c>
      <c r="I10" s="1">
        <f>COUNTIF(nzdesgn[NAME],OWNED[[#This Row],[bgg_name]])</f>
        <v>0</v>
      </c>
      <c r="K10" s="2"/>
      <c r="L10" s="2" t="s">
        <v>2472</v>
      </c>
      <c r="M10" s="18">
        <v>25</v>
      </c>
      <c r="O10">
        <v>314421</v>
      </c>
    </row>
    <row r="11" spans="1:15" x14ac:dyDescent="0.25">
      <c r="A11" s="1" t="s">
        <v>46</v>
      </c>
      <c r="B11" s="1">
        <v>230802</v>
      </c>
      <c r="C11" s="1"/>
      <c r="D11" s="1">
        <f>COUNTIF(OWNED[bgg_id],OWNED[[#This Row],[bgg_id]])</f>
        <v>1</v>
      </c>
      <c r="E11" s="1" t="str">
        <f>_xlfn.XLOOKUP(OWNED[[#This Row],[bgg_id]],bgg_cache[id],bgg_cache[title])</f>
        <v>Azul</v>
      </c>
      <c r="F11" s="1" t="b">
        <f>EXACT(OWNED[[#This Row],[name]],OWNED[[#This Row],[bgg_name]])</f>
        <v>1</v>
      </c>
      <c r="G11" s="1" t="s">
        <v>2471</v>
      </c>
      <c r="H11" s="1" t="b">
        <f>_xlfn.XLOOKUP(OWNED[[#This Row],[bgg_id]],library_data[bgg_id],library_data[mana_meeple_category])=OWNED[[#This Row],[category]]</f>
        <v>1</v>
      </c>
      <c r="I11" s="1">
        <f>COUNTIF(nzdesgn[NAME],OWNED[[#This Row],[bgg_name]])</f>
        <v>0</v>
      </c>
      <c r="K11" s="10"/>
      <c r="L11" s="2" t="s">
        <v>2473</v>
      </c>
      <c r="M11" s="18">
        <v>51</v>
      </c>
      <c r="O11">
        <v>257527</v>
      </c>
    </row>
    <row r="12" spans="1:15" x14ac:dyDescent="0.25">
      <c r="A12" s="1" t="s">
        <v>1734</v>
      </c>
      <c r="B12" s="1">
        <v>37111</v>
      </c>
      <c r="C12" s="1"/>
      <c r="D12" s="1">
        <f>COUNTIF(OWNED[bgg_id],OWNED[[#This Row],[bgg_id]])</f>
        <v>1</v>
      </c>
      <c r="E12" s="1" t="str">
        <f>_xlfn.XLOOKUP(OWNED[[#This Row],[bgg_id]],bgg_cache[id],bgg_cache[title])</f>
        <v>Battlestar Galactica: The Board Game</v>
      </c>
      <c r="F12" s="1" t="b">
        <f>EXACT(OWNED[[#This Row],[name]],OWNED[[#This Row],[bgg_name]])</f>
        <v>1</v>
      </c>
      <c r="G12" s="1" t="s">
        <v>2474</v>
      </c>
      <c r="H12" s="1" t="b">
        <f>_xlfn.XLOOKUP(OWNED[[#This Row],[bgg_id]],library_data[bgg_id],library_data[mana_meeple_category])=OWNED[[#This Row],[category]]</f>
        <v>1</v>
      </c>
      <c r="I12" s="1">
        <f>COUNTIF(nzdesgn[NAME],OWNED[[#This Row],[bgg_name]])</f>
        <v>0</v>
      </c>
      <c r="K12" s="2"/>
      <c r="L12" s="2" t="s">
        <v>5397</v>
      </c>
      <c r="M12" s="18">
        <v>18</v>
      </c>
      <c r="O12">
        <v>233867</v>
      </c>
    </row>
    <row r="13" spans="1:15" x14ac:dyDescent="0.25">
      <c r="A13" s="1" t="s">
        <v>275</v>
      </c>
      <c r="B13" s="1">
        <v>11</v>
      </c>
      <c r="C13" s="1"/>
      <c r="D13" s="1">
        <f>COUNTIF(OWNED[bgg_id],OWNED[[#This Row],[bgg_id]])</f>
        <v>1</v>
      </c>
      <c r="E13" s="1" t="str">
        <f>_xlfn.XLOOKUP(OWNED[[#This Row],[bgg_id]],bgg_cache[id],bgg_cache[title])</f>
        <v>Bohnanza</v>
      </c>
      <c r="F13" s="1" t="b">
        <f>EXACT(OWNED[[#This Row],[name]],OWNED[[#This Row],[bgg_name]])</f>
        <v>1</v>
      </c>
      <c r="G13" s="1" t="s">
        <v>2471</v>
      </c>
      <c r="H13" s="1" t="b">
        <f>_xlfn.XLOOKUP(OWNED[[#This Row],[bgg_id]],library_data[bgg_id],library_data[mana_meeple_category])=OWNED[[#This Row],[category]]</f>
        <v>1</v>
      </c>
      <c r="I13" s="1">
        <f>COUNTIF(nzdesgn[NAME],OWNED[[#This Row],[bgg_name]])</f>
        <v>0</v>
      </c>
      <c r="K13" s="2"/>
      <c r="L13" s="2" t="s">
        <v>3977</v>
      </c>
      <c r="M13" s="18">
        <v>204</v>
      </c>
      <c r="O13">
        <v>9209</v>
      </c>
    </row>
    <row r="14" spans="1:15" x14ac:dyDescent="0.25">
      <c r="A14" s="1" t="s">
        <v>314</v>
      </c>
      <c r="B14" s="1">
        <v>326243</v>
      </c>
      <c r="C14" s="1"/>
      <c r="D14" s="1">
        <f>COUNTIF(OWNED[bgg_id],OWNED[[#This Row],[bgg_id]])</f>
        <v>1</v>
      </c>
      <c r="E14" s="1" t="str">
        <f>_xlfn.XLOOKUP(OWNED[[#This Row],[bgg_id]],bgg_cache[id],bgg_cache[title])</f>
        <v>BUILDZI</v>
      </c>
      <c r="F14" s="1" t="b">
        <f>EXACT(OWNED[[#This Row],[name]],OWNED[[#This Row],[bgg_name]])</f>
        <v>1</v>
      </c>
      <c r="G14" s="1" t="s">
        <v>2472</v>
      </c>
      <c r="H14" s="1" t="b">
        <f>_xlfn.XLOOKUP(OWNED[[#This Row],[bgg_id]],library_data[bgg_id],library_data[mana_meeple_category])=OWNED[[#This Row],[category]]</f>
        <v>1</v>
      </c>
      <c r="I14" s="1">
        <f>COUNTIF(nzdesgn[NAME],OWNED[[#This Row],[bgg_name]])</f>
        <v>0</v>
      </c>
      <c r="K14" s="2"/>
      <c r="O14">
        <v>304783</v>
      </c>
    </row>
    <row r="15" spans="1:15" x14ac:dyDescent="0.25">
      <c r="A15" s="1" t="s">
        <v>106</v>
      </c>
      <c r="B15" s="1">
        <v>283155</v>
      </c>
      <c r="C15" s="1"/>
      <c r="D15" s="1">
        <f>COUNTIF(OWNED[bgg_id],OWNED[[#This Row],[bgg_id]])</f>
        <v>1</v>
      </c>
      <c r="E15" s="1" t="str">
        <f>_xlfn.XLOOKUP(OWNED[[#This Row],[bgg_id]],bgg_cache[id],bgg_cache[title])</f>
        <v>Calico</v>
      </c>
      <c r="F15" s="1" t="b">
        <f>EXACT(OWNED[[#This Row],[name]],OWNED[[#This Row],[bgg_name]])</f>
        <v>1</v>
      </c>
      <c r="G15" s="1" t="s">
        <v>2471</v>
      </c>
      <c r="H15" s="1" t="b">
        <f>_xlfn.XLOOKUP(OWNED[[#This Row],[bgg_id]],library_data[bgg_id],library_data[mana_meeple_category])=OWNED[[#This Row],[category]]</f>
        <v>1</v>
      </c>
      <c r="I15" s="1">
        <f>COUNTIF(nzdesgn[NAME],OWNED[[#This Row],[bgg_name]])</f>
        <v>0</v>
      </c>
      <c r="O15">
        <v>329839</v>
      </c>
    </row>
    <row r="16" spans="1:15" x14ac:dyDescent="0.25">
      <c r="A16" s="1" t="s">
        <v>261</v>
      </c>
      <c r="B16" s="1">
        <v>260605</v>
      </c>
      <c r="C16" s="1"/>
      <c r="D16" s="1">
        <f>COUNTIF(OWNED[bgg_id],OWNED[[#This Row],[bgg_id]])</f>
        <v>1</v>
      </c>
      <c r="E16" s="1" t="str">
        <f>_xlfn.XLOOKUP(OWNED[[#This Row],[bgg_id]],bgg_cache[id],bgg_cache[title])</f>
        <v>Camel Up (Second Edition)</v>
      </c>
      <c r="F16" s="1" t="b">
        <f>EXACT(OWNED[[#This Row],[name]],OWNED[[#This Row],[bgg_name]])</f>
        <v>1</v>
      </c>
      <c r="G16" s="1" t="s">
        <v>2473</v>
      </c>
      <c r="H16" s="1" t="b">
        <f>_xlfn.XLOOKUP(OWNED[[#This Row],[bgg_id]],library_data[bgg_id],library_data[mana_meeple_category])=OWNED[[#This Row],[category]]</f>
        <v>1</v>
      </c>
      <c r="I16" s="1">
        <f>COUNTIF(nzdesgn[NAME],OWNED[[#This Row],[bgg_name]])</f>
        <v>0</v>
      </c>
      <c r="O16">
        <v>223278</v>
      </c>
    </row>
    <row r="17" spans="1:15" x14ac:dyDescent="0.25">
      <c r="A17" s="1" t="s">
        <v>219</v>
      </c>
      <c r="B17">
        <v>171131</v>
      </c>
      <c r="C17" s="1"/>
      <c r="D17" s="1">
        <f>COUNTIF(OWNED[bgg_id],OWNED[[#This Row],[bgg_id]])</f>
        <v>1</v>
      </c>
      <c r="E17" s="1" t="str">
        <f>_xlfn.XLOOKUP(OWNED[[#This Row],[bgg_id]],bgg_cache[id],bgg_cache[title])</f>
        <v>Captain Sonar</v>
      </c>
      <c r="F17" s="1" t="b">
        <f>EXACT(OWNED[[#This Row],[name]],OWNED[[#This Row],[bgg_name]])</f>
        <v>1</v>
      </c>
      <c r="G17" t="s">
        <v>2470</v>
      </c>
      <c r="H17" t="b">
        <f>_xlfn.XLOOKUP(OWNED[[#This Row],[bgg_id]],library_data[bgg_id],library_data[mana_meeple_category])=OWNED[[#This Row],[category]]</f>
        <v>1</v>
      </c>
      <c r="I17" s="1">
        <f>COUNTIF(nzdesgn[NAME],OWNED[[#This Row],[bgg_name]])</f>
        <v>0</v>
      </c>
      <c r="O17">
        <v>48726</v>
      </c>
    </row>
    <row r="18" spans="1:15" x14ac:dyDescent="0.25">
      <c r="A18" s="1" t="s">
        <v>1</v>
      </c>
      <c r="B18" s="1">
        <v>822</v>
      </c>
      <c r="C18" s="1"/>
      <c r="D18" s="1">
        <f>COUNTIF(OWNED[bgg_id],OWNED[[#This Row],[bgg_id]])</f>
        <v>1</v>
      </c>
      <c r="E18" s="1" t="str">
        <f>_xlfn.XLOOKUP(OWNED[[#This Row],[bgg_id]],bgg_cache[id],bgg_cache[title])</f>
        <v>Carcassonne</v>
      </c>
      <c r="F18" s="1" t="b">
        <f>EXACT(OWNED[[#This Row],[name]],OWNED[[#This Row],[bgg_name]])</f>
        <v>1</v>
      </c>
      <c r="G18" s="1" t="s">
        <v>2471</v>
      </c>
      <c r="H18" s="1" t="b">
        <f>_xlfn.XLOOKUP(OWNED[[#This Row],[bgg_id]],library_data[bgg_id],library_data[mana_meeple_category])=OWNED[[#This Row],[category]]</f>
        <v>1</v>
      </c>
      <c r="I18" s="1">
        <f>COUNTIF(nzdesgn[NAME],OWNED[[#This Row],[bgg_name]])</f>
        <v>0</v>
      </c>
    </row>
    <row r="19" spans="1:15" x14ac:dyDescent="0.25">
      <c r="A19" s="1" t="s">
        <v>110</v>
      </c>
      <c r="B19" s="1">
        <v>263918</v>
      </c>
      <c r="C19" s="1"/>
      <c r="D19" s="1">
        <f>COUNTIF(OWNED[bgg_id],OWNED[[#This Row],[bgg_id]])</f>
        <v>1</v>
      </c>
      <c r="E19" s="1" t="str">
        <f>_xlfn.XLOOKUP(OWNED[[#This Row],[bgg_id]],bgg_cache[id],bgg_cache[title])</f>
        <v>Cartographers</v>
      </c>
      <c r="F19" s="1" t="b">
        <f>EXACT(OWNED[[#This Row],[name]],OWNED[[#This Row],[bgg_name]])</f>
        <v>1</v>
      </c>
      <c r="G19" t="s">
        <v>2471</v>
      </c>
      <c r="H19" t="b">
        <f>_xlfn.XLOOKUP(OWNED[[#This Row],[bgg_id]],library_data[bgg_id],library_data[mana_meeple_category])=OWNED[[#This Row],[category]]</f>
        <v>1</v>
      </c>
      <c r="I19" s="1">
        <f>COUNTIF(nzdesgn[NAME],OWNED[[#This Row],[bgg_name]])</f>
        <v>0</v>
      </c>
    </row>
    <row r="20" spans="1:15" x14ac:dyDescent="0.25">
      <c r="A20" s="1" t="s">
        <v>74</v>
      </c>
      <c r="B20" s="1">
        <v>295947</v>
      </c>
      <c r="C20" s="1"/>
      <c r="D20" s="1">
        <f>COUNTIF(OWNED[bgg_id],OWNED[[#This Row],[bgg_id]])</f>
        <v>1</v>
      </c>
      <c r="E20" s="1" t="str">
        <f>_xlfn.XLOOKUP(OWNED[[#This Row],[bgg_id]],bgg_cache[id],bgg_cache[title])</f>
        <v>Cascadia</v>
      </c>
      <c r="F20" s="1" t="b">
        <f>EXACT(OWNED[[#This Row],[name]],OWNED[[#This Row],[bgg_name]])</f>
        <v>1</v>
      </c>
      <c r="G20" s="1" t="s">
        <v>2471</v>
      </c>
      <c r="H20" s="1" t="b">
        <f>_xlfn.XLOOKUP(OWNED[[#This Row],[bgg_id]],library_data[bgg_id],library_data[mana_meeple_category])=OWNED[[#This Row],[category]]</f>
        <v>1</v>
      </c>
      <c r="I20" s="1">
        <f>COUNTIF(nzdesgn[NAME],OWNED[[#This Row],[bgg_name]])</f>
        <v>0</v>
      </c>
    </row>
    <row r="21" spans="1:15" x14ac:dyDescent="0.25">
      <c r="A21" s="1" t="s">
        <v>5347</v>
      </c>
      <c r="B21" s="1">
        <v>155426</v>
      </c>
      <c r="C21" s="1">
        <v>1</v>
      </c>
      <c r="D21" s="1">
        <f>COUNTIF(OWNED[bgg_id],OWNED[[#This Row],[bgg_id]])</f>
        <v>1</v>
      </c>
      <c r="E21" s="1" t="e">
        <f>_xlfn.XLOOKUP(OWNED[[#This Row],[bgg_id]],bgg_cache[id],bgg_cache[title])</f>
        <v>#N/A</v>
      </c>
      <c r="F21" s="1" t="e">
        <f>EXACT(OWNED[[#This Row],[name]],OWNED[[#This Row],[bgg_name]])</f>
        <v>#N/A</v>
      </c>
      <c r="G21" s="1"/>
      <c r="H21" s="1" t="e">
        <f>_xlfn.XLOOKUP(OWNED[[#This Row],[bgg_id]],library_data[bgg_id],library_data[mana_meeple_category])=OWNED[[#This Row],[category]]</f>
        <v>#N/A</v>
      </c>
      <c r="I21" s="1">
        <f>COUNTIF(nzdesgn[NAME],OWNED[[#This Row],[bgg_name]])</f>
        <v>0</v>
      </c>
    </row>
    <row r="22" spans="1:15" x14ac:dyDescent="0.25">
      <c r="A22" s="1" t="s">
        <v>39</v>
      </c>
      <c r="B22" s="1">
        <v>13</v>
      </c>
      <c r="C22" s="1"/>
      <c r="D22" s="1">
        <f>COUNTIF(OWNED[bgg_id],OWNED[[#This Row],[bgg_id]])</f>
        <v>1</v>
      </c>
      <c r="E22" s="1" t="str">
        <f>_xlfn.XLOOKUP(OWNED[[#This Row],[bgg_id]],bgg_cache[id],bgg_cache[title])</f>
        <v>CATAN</v>
      </c>
      <c r="F22" s="1" t="b">
        <f>EXACT(OWNED[[#This Row],[name]],OWNED[[#This Row],[bgg_name]])</f>
        <v>1</v>
      </c>
      <c r="G22" s="1" t="s">
        <v>2471</v>
      </c>
      <c r="H22" s="1" t="b">
        <f>_xlfn.XLOOKUP(OWNED[[#This Row],[bgg_id]],library_data[bgg_id],library_data[mana_meeple_category])=OWNED[[#This Row],[category]]</f>
        <v>1</v>
      </c>
      <c r="I22" s="1">
        <f>COUNTIF(nzdesgn[NAME],OWNED[[#This Row],[bgg_name]])</f>
        <v>0</v>
      </c>
    </row>
    <row r="23" spans="1:15" x14ac:dyDescent="0.25">
      <c r="A23" s="1" t="s">
        <v>42</v>
      </c>
      <c r="B23" s="1">
        <v>432</v>
      </c>
      <c r="C23" s="1"/>
      <c r="D23" s="1">
        <f>COUNTIF(OWNED[bgg_id],OWNED[[#This Row],[bgg_id]])</f>
        <v>1</v>
      </c>
      <c r="E23" s="1" t="str">
        <f>_xlfn.XLOOKUP(OWNED[[#This Row],[bgg_id]],bgg_cache[id],bgg_cache[title])</f>
        <v>Take 5</v>
      </c>
      <c r="F23" s="1" t="b">
        <f>EXACT(OWNED[[#This Row],[name]],OWNED[[#This Row],[bgg_name]])</f>
        <v>0</v>
      </c>
      <c r="G23" s="1" t="s">
        <v>2473</v>
      </c>
      <c r="H23" s="1" t="b">
        <f>_xlfn.XLOOKUP(OWNED[[#This Row],[bgg_id]],library_data[bgg_id],library_data[mana_meeple_category])=OWNED[[#This Row],[category]]</f>
        <v>1</v>
      </c>
      <c r="I23" s="1">
        <f>COUNTIF(nzdesgn[NAME],OWNED[[#This Row],[bgg_name]])</f>
        <v>0</v>
      </c>
    </row>
    <row r="24" spans="1:15" x14ac:dyDescent="0.25">
      <c r="A24" s="1" t="s">
        <v>4</v>
      </c>
      <c r="B24" s="1">
        <v>7</v>
      </c>
      <c r="C24" s="1"/>
      <c r="D24" s="1">
        <f>COUNTIF(OWNED[bgg_id],OWNED[[#This Row],[bgg_id]])</f>
        <v>1</v>
      </c>
      <c r="E24" s="1" t="str">
        <f>_xlfn.XLOOKUP(OWNED[[#This Row],[bgg_id]],bgg_cache[id],bgg_cache[title])</f>
        <v>Cathedral</v>
      </c>
      <c r="F24" s="1" t="b">
        <f>EXACT(OWNED[[#This Row],[name]],OWNED[[#This Row],[bgg_name]])</f>
        <v>1</v>
      </c>
      <c r="G24" s="1" t="s">
        <v>2471</v>
      </c>
      <c r="H24" s="1" t="b">
        <f>_xlfn.XLOOKUP(OWNED[[#This Row],[bgg_id]],library_data[bgg_id],library_data[mana_meeple_category])=OWNED[[#This Row],[category]]</f>
        <v>1</v>
      </c>
      <c r="I24" s="1">
        <f>COUNTIF(nzdesgn[NAME],OWNED[[#This Row],[bgg_name]])</f>
        <v>1</v>
      </c>
    </row>
    <row r="25" spans="1:15" x14ac:dyDescent="0.25">
      <c r="A25" s="1" t="s">
        <v>22</v>
      </c>
      <c r="B25" s="1">
        <v>102794</v>
      </c>
      <c r="C25" s="1"/>
      <c r="D25" s="1">
        <f>COUNTIF(OWNED[bgg_id],OWNED[[#This Row],[bgg_id]])</f>
        <v>1</v>
      </c>
      <c r="E25" s="1" t="str">
        <f>_xlfn.XLOOKUP(OWNED[[#This Row],[bgg_id]],bgg_cache[id],bgg_cache[title])</f>
        <v>Caverna: The Cave Farmers</v>
      </c>
      <c r="F25" s="1" t="b">
        <f>EXACT(OWNED[[#This Row],[name]],OWNED[[#This Row],[bgg_name]])</f>
        <v>1</v>
      </c>
      <c r="G25" s="1" t="s">
        <v>2474</v>
      </c>
      <c r="H25" s="1" t="b">
        <f>_xlfn.XLOOKUP(OWNED[[#This Row],[bgg_id]],library_data[bgg_id],library_data[mana_meeple_category])=OWNED[[#This Row],[category]]</f>
        <v>1</v>
      </c>
      <c r="I25" s="1">
        <f>COUNTIF(nzdesgn[NAME],OWNED[[#This Row],[bgg_name]])</f>
        <v>0</v>
      </c>
    </row>
    <row r="26" spans="1:15" x14ac:dyDescent="0.25">
      <c r="A26" s="1" t="s">
        <v>202</v>
      </c>
      <c r="B26" s="1">
        <v>239188</v>
      </c>
      <c r="C26" s="1"/>
      <c r="D26" s="1">
        <f>COUNTIF(OWNED[bgg_id],OWNED[[#This Row],[bgg_id]])</f>
        <v>1</v>
      </c>
      <c r="E26" s="1" t="str">
        <f>_xlfn.XLOOKUP(OWNED[[#This Row],[bgg_id]],bgg_cache[id],bgg_cache[title])</f>
        <v>Chronicles of Crime</v>
      </c>
      <c r="F26" s="1" t="b">
        <f>EXACT(OWNED[[#This Row],[name]],OWNED[[#This Row],[bgg_name]])</f>
        <v>1</v>
      </c>
      <c r="G26" s="1" t="s">
        <v>2470</v>
      </c>
      <c r="H26" s="1" t="b">
        <f>_xlfn.XLOOKUP(OWNED[[#This Row],[bgg_id]],library_data[bgg_id],library_data[mana_meeple_category])=OWNED[[#This Row],[category]]</f>
        <v>1</v>
      </c>
      <c r="I26" s="1">
        <f>COUNTIF(nzdesgn[NAME],OWNED[[#This Row],[bgg_name]])</f>
        <v>0</v>
      </c>
    </row>
    <row r="27" spans="1:15" x14ac:dyDescent="0.25">
      <c r="A27" s="1" t="s">
        <v>49</v>
      </c>
      <c r="B27" s="1">
        <v>205398</v>
      </c>
      <c r="C27" s="1"/>
      <c r="D27" s="1">
        <f>COUNTIF(OWNED[bgg_id],OWNED[[#This Row],[bgg_id]])</f>
        <v>1</v>
      </c>
      <c r="E27" s="1" t="str">
        <f>_xlfn.XLOOKUP(OWNED[[#This Row],[bgg_id]],bgg_cache[id],bgg_cache[title])</f>
        <v>Citadels</v>
      </c>
      <c r="F27" s="1" t="b">
        <f>EXACT(OWNED[[#This Row],[name]],OWNED[[#This Row],[bgg_name]])</f>
        <v>1</v>
      </c>
      <c r="G27" s="1" t="s">
        <v>2471</v>
      </c>
      <c r="H27" s="1" t="b">
        <f>_xlfn.XLOOKUP(OWNED[[#This Row],[bgg_id]],library_data[bgg_id],library_data[mana_meeple_category])=OWNED[[#This Row],[category]]</f>
        <v>1</v>
      </c>
      <c r="I27" s="1">
        <f>COUNTIF(nzdesgn[NAME],OWNED[[#This Row],[bgg_name]])</f>
        <v>0</v>
      </c>
    </row>
    <row r="28" spans="1:15" x14ac:dyDescent="0.25">
      <c r="A28" s="1" t="s">
        <v>254</v>
      </c>
      <c r="B28" s="1">
        <v>38391</v>
      </c>
      <c r="C28" s="1"/>
      <c r="D28" s="1">
        <f>COUNTIF(OWNED[bgg_id],OWNED[[#This Row],[bgg_id]])</f>
        <v>1</v>
      </c>
      <c r="E28" s="1" t="str">
        <f>_xlfn.XLOOKUP(OWNED[[#This Row],[bgg_id]],bgg_cache[id],bgg_cache[title])</f>
        <v>Kakerlakensuppe</v>
      </c>
      <c r="F28" s="1" t="b">
        <f>EXACT(OWNED[[#This Row],[name]],OWNED[[#This Row],[bgg_name]])</f>
        <v>0</v>
      </c>
      <c r="G28" s="1" t="s">
        <v>2472</v>
      </c>
      <c r="H28" s="1" t="b">
        <f>_xlfn.XLOOKUP(OWNED[[#This Row],[bgg_id]],library_data[bgg_id],library_data[mana_meeple_category])=OWNED[[#This Row],[category]]</f>
        <v>1</v>
      </c>
      <c r="I28" s="1">
        <f>COUNTIF(nzdesgn[NAME],OWNED[[#This Row],[bgg_name]])</f>
        <v>0</v>
      </c>
    </row>
    <row r="29" spans="1:15" x14ac:dyDescent="0.25">
      <c r="A29" s="1" t="s">
        <v>93</v>
      </c>
      <c r="B29" s="1">
        <v>178900</v>
      </c>
      <c r="C29" s="1"/>
      <c r="D29" s="1">
        <f>COUNTIF(OWNED[bgg_id],OWNED[[#This Row],[bgg_id]])</f>
        <v>1</v>
      </c>
      <c r="E29" s="1" t="str">
        <f>_xlfn.XLOOKUP(OWNED[[#This Row],[bgg_id]],bgg_cache[id],bgg_cache[title])</f>
        <v>Codenames</v>
      </c>
      <c r="F29" s="1" t="b">
        <f>EXACT(OWNED[[#This Row],[name]],OWNED[[#This Row],[bgg_name]])</f>
        <v>1</v>
      </c>
      <c r="G29" s="1" t="s">
        <v>2473</v>
      </c>
      <c r="H29" s="1" t="b">
        <f>_xlfn.XLOOKUP(OWNED[[#This Row],[bgg_id]],library_data[bgg_id],library_data[mana_meeple_category])=OWNED[[#This Row],[category]]</f>
        <v>1</v>
      </c>
      <c r="I29" s="1">
        <f>COUNTIF(nzdesgn[NAME],OWNED[[#This Row],[bgg_name]])</f>
        <v>0</v>
      </c>
    </row>
    <row r="30" spans="1:15" x14ac:dyDescent="0.25">
      <c r="A30" s="1" t="s">
        <v>161</v>
      </c>
      <c r="B30" s="1">
        <v>5782</v>
      </c>
      <c r="C30" s="1"/>
      <c r="D30" s="1">
        <f>COUNTIF(OWNED[bgg_id],OWNED[[#This Row],[bgg_id]])</f>
        <v>1</v>
      </c>
      <c r="E30" s="1" t="str">
        <f>_xlfn.XLOOKUP(OWNED[[#This Row],[bgg_id]],bgg_cache[id],bgg_cache[title])</f>
        <v>Coloretto</v>
      </c>
      <c r="F30" s="1" t="b">
        <f>EXACT(OWNED[[#This Row],[name]],OWNED[[#This Row],[bgg_name]])</f>
        <v>1</v>
      </c>
      <c r="G30" s="1" t="s">
        <v>2473</v>
      </c>
      <c r="H30" s="1" t="b">
        <f>_xlfn.XLOOKUP(OWNED[[#This Row],[bgg_id]],library_data[bgg_id],library_data[mana_meeple_category])=OWNED[[#This Row],[category]]</f>
        <v>1</v>
      </c>
      <c r="I30" s="1">
        <f>COUNTIF(nzdesgn[NAME],OWNED[[#This Row],[bgg_name]])</f>
        <v>0</v>
      </c>
    </row>
    <row r="31" spans="1:15" x14ac:dyDescent="0.25">
      <c r="A31" s="1" t="s">
        <v>11</v>
      </c>
      <c r="B31" s="1">
        <v>147151</v>
      </c>
      <c r="C31" s="1"/>
      <c r="D31" s="1">
        <f>COUNTIF(OWNED[bgg_id],OWNED[[#This Row],[bgg_id]])</f>
        <v>1</v>
      </c>
      <c r="E31" s="1" t="str">
        <f>_xlfn.XLOOKUP(OWNED[[#This Row],[bgg_id]],bgg_cache[id],bgg_cache[title])</f>
        <v>Concept</v>
      </c>
      <c r="F31" s="1" t="b">
        <f>EXACT(OWNED[[#This Row],[name]],OWNED[[#This Row],[bgg_name]])</f>
        <v>1</v>
      </c>
      <c r="G31" s="1" t="s">
        <v>2473</v>
      </c>
      <c r="H31" s="1" t="b">
        <f>_xlfn.XLOOKUP(OWNED[[#This Row],[bgg_id]],library_data[bgg_id],library_data[mana_meeple_category])=OWNED[[#This Row],[category]]</f>
        <v>1</v>
      </c>
      <c r="I31" s="1">
        <f>COUNTIF(nzdesgn[NAME],OWNED[[#This Row],[bgg_name]])</f>
        <v>0</v>
      </c>
    </row>
    <row r="32" spans="1:15" x14ac:dyDescent="0.25">
      <c r="A32" t="s">
        <v>66</v>
      </c>
      <c r="B32" s="1">
        <v>119</v>
      </c>
      <c r="C32" s="1"/>
      <c r="D32" s="1">
        <f>COUNTIF(OWNED[bgg_id],OWNED[[#This Row],[bgg_id]])</f>
        <v>1</v>
      </c>
      <c r="E32" s="1" t="str">
        <f>_xlfn.XLOOKUP(OWNED[[#This Row],[bgg_id]],bgg_cache[id],bgg_cache[title])</f>
        <v>Cosmolancer</v>
      </c>
      <c r="F32" s="1" t="b">
        <f>EXACT(OWNED[[#This Row],[name]],OWNED[[#This Row],[bgg_name]])</f>
        <v>1</v>
      </c>
      <c r="G32" s="1" t="s">
        <v>2473</v>
      </c>
      <c r="H32" s="1" t="b">
        <f>_xlfn.XLOOKUP(OWNED[[#This Row],[bgg_id]],library_data[bgg_id],library_data[mana_meeple_category])=OWNED[[#This Row],[category]]</f>
        <v>1</v>
      </c>
      <c r="I32" s="1">
        <f>COUNTIF(nzdesgn[NAME],OWNED[[#This Row],[bgg_name]])</f>
        <v>0</v>
      </c>
    </row>
    <row r="33" spans="1:9" x14ac:dyDescent="0.25">
      <c r="A33" s="1" t="s">
        <v>24</v>
      </c>
      <c r="B33" s="1">
        <v>150376</v>
      </c>
      <c r="C33" s="1"/>
      <c r="D33" s="1">
        <f>COUNTIF(OWNED[bgg_id],OWNED[[#This Row],[bgg_id]])</f>
        <v>1</v>
      </c>
      <c r="E33" s="1" t="str">
        <f>_xlfn.XLOOKUP(OWNED[[#This Row],[bgg_id]],bgg_cache[id],bgg_cache[title])</f>
        <v>Dead of Winter: A Crossroads Game</v>
      </c>
      <c r="F33" s="1" t="b">
        <f>EXACT(OWNED[[#This Row],[name]],OWNED[[#This Row],[bgg_name]])</f>
        <v>1</v>
      </c>
      <c r="G33" s="1" t="s">
        <v>2470</v>
      </c>
      <c r="H33" s="1" t="b">
        <f>_xlfn.XLOOKUP(OWNED[[#This Row],[bgg_id]],library_data[bgg_id],library_data[mana_meeple_category])=OWNED[[#This Row],[category]]</f>
        <v>1</v>
      </c>
      <c r="I33" s="1">
        <f>COUNTIF(nzdesgn[NAME],OWNED[[#This Row],[bgg_name]])</f>
        <v>0</v>
      </c>
    </row>
    <row r="34" spans="1:9" x14ac:dyDescent="0.25">
      <c r="A34" s="1" t="s">
        <v>25</v>
      </c>
      <c r="B34" s="1">
        <v>193037</v>
      </c>
      <c r="C34" s="1"/>
      <c r="D34" s="1">
        <f>COUNTIF(OWNED[bgg_id],OWNED[[#This Row],[bgg_id]])</f>
        <v>1</v>
      </c>
      <c r="E34" s="1" t="str">
        <f>_xlfn.XLOOKUP(OWNED[[#This Row],[bgg_id]],bgg_cache[id],bgg_cache[title])</f>
        <v>Dead of Winter: The Long Night</v>
      </c>
      <c r="F34" s="1" t="b">
        <f>EXACT(OWNED[[#This Row],[name]],OWNED[[#This Row],[bgg_name]])</f>
        <v>1</v>
      </c>
      <c r="G34" s="1" t="s">
        <v>2470</v>
      </c>
      <c r="H34" s="1" t="b">
        <f>_xlfn.XLOOKUP(OWNED[[#This Row],[bgg_id]],library_data[bgg_id],library_data[mana_meeple_category])=OWNED[[#This Row],[category]]</f>
        <v>1</v>
      </c>
      <c r="I34" s="1">
        <f>COUNTIF(nzdesgn[NAME],OWNED[[#This Row],[bgg_name]])</f>
        <v>0</v>
      </c>
    </row>
    <row r="35" spans="1:9" x14ac:dyDescent="0.25">
      <c r="A35" s="1" t="s">
        <v>228</v>
      </c>
      <c r="B35" s="1">
        <v>156129</v>
      </c>
      <c r="C35" s="1">
        <v>1</v>
      </c>
      <c r="D35" s="1">
        <f>COUNTIF(OWNED[bgg_id],OWNED[[#This Row],[bgg_id]])</f>
        <v>1</v>
      </c>
      <c r="E35" s="1" t="str">
        <f>_xlfn.XLOOKUP(OWNED[[#This Row],[bgg_id]],bgg_cache[id],bgg_cache[title])</f>
        <v>Deception: Murder in Hong Kong</v>
      </c>
      <c r="F35" s="1" t="b">
        <f>EXACT(OWNED[[#This Row],[name]],OWNED[[#This Row],[bgg_name]])</f>
        <v>1</v>
      </c>
      <c r="G35" s="1" t="s">
        <v>2473</v>
      </c>
      <c r="H35" s="1" t="b">
        <f>_xlfn.XLOOKUP(OWNED[[#This Row],[bgg_id]],library_data[bgg_id],library_data[mana_meeple_category])=OWNED[[#This Row],[category]]</f>
        <v>1</v>
      </c>
      <c r="I35" s="1">
        <f>COUNTIF(nzdesgn[NAME],OWNED[[#This Row],[bgg_name]])</f>
        <v>0</v>
      </c>
    </row>
    <row r="36" spans="1:9" x14ac:dyDescent="0.25">
      <c r="A36" s="1" t="s">
        <v>95</v>
      </c>
      <c r="B36" s="1">
        <v>225694</v>
      </c>
      <c r="C36" s="1"/>
      <c r="D36" s="1">
        <f>COUNTIF(OWNED[bgg_id],OWNED[[#This Row],[bgg_id]])</f>
        <v>1</v>
      </c>
      <c r="E36" s="1" t="str">
        <f>_xlfn.XLOOKUP(OWNED[[#This Row],[bgg_id]],bgg_cache[id],bgg_cache[title])</f>
        <v>Decrypto</v>
      </c>
      <c r="F36" s="1" t="b">
        <f>EXACT(OWNED[[#This Row],[name]],OWNED[[#This Row],[bgg_name]])</f>
        <v>1</v>
      </c>
      <c r="G36" s="1" t="s">
        <v>2473</v>
      </c>
      <c r="H36" s="1" t="b">
        <f>_xlfn.XLOOKUP(OWNED[[#This Row],[bgg_id]],library_data[bgg_id],library_data[mana_meeple_category])=OWNED[[#This Row],[category]]</f>
        <v>1</v>
      </c>
      <c r="I36" s="1">
        <f>COUNTIF(nzdesgn[NAME],OWNED[[#This Row],[bgg_name]])</f>
        <v>0</v>
      </c>
    </row>
    <row r="37" spans="1:9" x14ac:dyDescent="0.25">
      <c r="A37" s="1" t="s">
        <v>17</v>
      </c>
      <c r="B37" s="1">
        <v>322708</v>
      </c>
      <c r="C37" s="1"/>
      <c r="D37" s="1">
        <f>COUNTIF(OWNED[bgg_id],OWNED[[#This Row],[bgg_id]])</f>
        <v>1</v>
      </c>
      <c r="E37" s="1" t="str">
        <f>_xlfn.XLOOKUP(OWNED[[#This Row],[bgg_id]],bgg_cache[id],bgg_cache[title])</f>
        <v>Descent: Legends of the Dark</v>
      </c>
      <c r="F37" s="1" t="b">
        <f>EXACT(OWNED[[#This Row],[name]],OWNED[[#This Row],[bgg_name]])</f>
        <v>1</v>
      </c>
      <c r="G37" s="1" t="s">
        <v>2470</v>
      </c>
      <c r="H37" s="1" t="b">
        <f>_xlfn.XLOOKUP(OWNED[[#This Row],[bgg_id]],library_data[bgg_id],library_data[mana_meeple_category])=OWNED[[#This Row],[category]]</f>
        <v>1</v>
      </c>
      <c r="I37" s="1">
        <f>COUNTIF(nzdesgn[NAME],OWNED[[#This Row],[bgg_name]])</f>
        <v>0</v>
      </c>
    </row>
    <row r="38" spans="1:9" x14ac:dyDescent="0.25">
      <c r="A38" s="1" t="s">
        <v>394</v>
      </c>
      <c r="B38" s="1">
        <v>317457</v>
      </c>
      <c r="C38" s="1">
        <v>1</v>
      </c>
      <c r="D38" s="1">
        <f>COUNTIF(OWNED[bgg_id],OWNED[[#This Row],[bgg_id]])</f>
        <v>1</v>
      </c>
      <c r="E38" s="1" t="str">
        <f>_xlfn.XLOOKUP(OWNED[[#This Row],[bgg_id]],bgg_cache[id],bgg_cache[title])</f>
        <v>Dinosaur World</v>
      </c>
      <c r="F38" s="1" t="b">
        <f>EXACT(OWNED[[#This Row],[name]],OWNED[[#This Row],[bgg_name]])</f>
        <v>1</v>
      </c>
      <c r="G38" s="1" t="s">
        <v>2474</v>
      </c>
      <c r="H38" s="1" t="b">
        <f>_xlfn.XLOOKUP(OWNED[[#This Row],[bgg_id]],library_data[bgg_id],library_data[mana_meeple_category])=OWNED[[#This Row],[category]]</f>
        <v>1</v>
      </c>
      <c r="I38" s="1">
        <f>COUNTIF(nzdesgn[NAME],OWNED[[#This Row],[bgg_name]])</f>
        <v>0</v>
      </c>
    </row>
    <row r="39" spans="1:9" x14ac:dyDescent="0.25">
      <c r="A39" s="1" t="s">
        <v>50</v>
      </c>
      <c r="B39" s="1">
        <v>39856</v>
      </c>
      <c r="C39" s="1"/>
      <c r="D39" s="1">
        <f>COUNTIF(OWNED[bgg_id],OWNED[[#This Row],[bgg_id]])</f>
        <v>1</v>
      </c>
      <c r="E39" s="1" t="str">
        <f>_xlfn.XLOOKUP(OWNED[[#This Row],[bgg_id]],bgg_cache[id],bgg_cache[title])</f>
        <v>Dixit</v>
      </c>
      <c r="F39" s="1" t="b">
        <f>EXACT(OWNED[[#This Row],[name]],OWNED[[#This Row],[bgg_name]])</f>
        <v>1</v>
      </c>
      <c r="G39" s="1" t="s">
        <v>2473</v>
      </c>
      <c r="H39" s="1" t="b">
        <f>_xlfn.XLOOKUP(OWNED[[#This Row],[bgg_id]],library_data[bgg_id],library_data[mana_meeple_category])=OWNED[[#This Row],[category]]</f>
        <v>1</v>
      </c>
      <c r="I39" s="1">
        <f>COUNTIF(nzdesgn[NAME],OWNED[[#This Row],[bgg_name]])</f>
        <v>0</v>
      </c>
    </row>
    <row r="40" spans="1:9" x14ac:dyDescent="0.25">
      <c r="A40" s="1" t="s">
        <v>77</v>
      </c>
      <c r="B40" s="1">
        <v>40834</v>
      </c>
      <c r="C40" s="1"/>
      <c r="D40" s="1">
        <f>COUNTIF(OWNED[bgg_id],OWNED[[#This Row],[bgg_id]])</f>
        <v>1</v>
      </c>
      <c r="E40" s="1" t="str">
        <f>_xlfn.XLOOKUP(OWNED[[#This Row],[bgg_id]],bgg_cache[id],bgg_cache[title])</f>
        <v>Dominion: Intrigue</v>
      </c>
      <c r="F40" s="1" t="b">
        <f>EXACT(OWNED[[#This Row],[name]],OWNED[[#This Row],[bgg_name]])</f>
        <v>1</v>
      </c>
      <c r="G40" s="1" t="s">
        <v>2474</v>
      </c>
      <c r="H40" s="1" t="b">
        <f>_xlfn.XLOOKUP(OWNED[[#This Row],[bgg_id]],library_data[bgg_id],library_data[mana_meeple_category])=OWNED[[#This Row],[category]]</f>
        <v>1</v>
      </c>
      <c r="I40" s="1">
        <f>COUNTIF(nzdesgn[NAME],OWNED[[#This Row],[bgg_name]])</f>
        <v>0</v>
      </c>
    </row>
    <row r="41" spans="1:9" x14ac:dyDescent="0.25">
      <c r="A41" s="1" t="s">
        <v>116</v>
      </c>
      <c r="B41" s="1">
        <v>370591</v>
      </c>
      <c r="C41" s="1"/>
      <c r="D41" s="1">
        <f>COUNTIF(OWNED[bgg_id],OWNED[[#This Row],[bgg_id]])</f>
        <v>1</v>
      </c>
      <c r="E41" s="1" t="str">
        <f>_xlfn.XLOOKUP(OWNED[[#This Row],[bgg_id]],bgg_cache[id],bgg_cache[title])</f>
        <v>Dorfromantik: The Board Game</v>
      </c>
      <c r="F41" s="1" t="b">
        <f>EXACT(OWNED[[#This Row],[name]],OWNED[[#This Row],[bgg_name]])</f>
        <v>1</v>
      </c>
      <c r="G41" s="1" t="s">
        <v>2470</v>
      </c>
      <c r="H41" s="1" t="b">
        <f>_xlfn.XLOOKUP(OWNED[[#This Row],[bgg_id]],library_data[bgg_id],library_data[mana_meeple_category])=OWNED[[#This Row],[category]]</f>
        <v>1</v>
      </c>
      <c r="I41" s="1">
        <f>COUNTIF(nzdesgn[NAME],OWNED[[#This Row],[bgg_name]])</f>
        <v>0</v>
      </c>
    </row>
    <row r="42" spans="1:9" x14ac:dyDescent="0.25">
      <c r="A42" s="1" t="s">
        <v>277</v>
      </c>
      <c r="B42" s="1">
        <v>215311</v>
      </c>
      <c r="C42" s="1"/>
      <c r="D42" s="1">
        <f>COUNTIF(OWNED[bgg_id],OWNED[[#This Row],[bgg_id]])</f>
        <v>1</v>
      </c>
      <c r="E42" s="1" t="str">
        <f>_xlfn.XLOOKUP(OWNED[[#This Row],[bgg_id]],bgg_cache[id],bgg_cache[title])</f>
        <v>Downforce</v>
      </c>
      <c r="F42" s="1" t="b">
        <f>EXACT(OWNED[[#This Row],[name]],OWNED[[#This Row],[bgg_name]])</f>
        <v>1</v>
      </c>
      <c r="G42" s="1" t="s">
        <v>2471</v>
      </c>
      <c r="H42" s="1" t="b">
        <f>_xlfn.XLOOKUP(OWNED[[#This Row],[bgg_id]],library_data[bgg_id],library_data[mana_meeple_category])=OWNED[[#This Row],[category]]</f>
        <v>1</v>
      </c>
      <c r="I42" s="1">
        <f>COUNTIF(nzdesgn[NAME],OWNED[[#This Row],[bgg_name]])</f>
        <v>0</v>
      </c>
    </row>
    <row r="43" spans="1:9" x14ac:dyDescent="0.25">
      <c r="A43" s="1" t="s">
        <v>16</v>
      </c>
      <c r="B43" s="1">
        <v>300010</v>
      </c>
      <c r="C43" s="1"/>
      <c r="D43" s="1">
        <f>COUNTIF(OWNED[bgg_id],OWNED[[#This Row],[bgg_id]])</f>
        <v>1</v>
      </c>
      <c r="E43" s="1" t="str">
        <f>_xlfn.XLOOKUP(OWNED[[#This Row],[bgg_id]],bgg_cache[id],bgg_cache[title])</f>
        <v>Dragomino</v>
      </c>
      <c r="F43" s="1" t="b">
        <f>EXACT(OWNED[[#This Row],[name]],OWNED[[#This Row],[bgg_name]])</f>
        <v>1</v>
      </c>
      <c r="G43" s="1" t="s">
        <v>2472</v>
      </c>
      <c r="H43" s="1" t="b">
        <f>_xlfn.XLOOKUP(OWNED[[#This Row],[bgg_id]],library_data[bgg_id],library_data[mana_meeple_category])=OWNED[[#This Row],[category]]</f>
        <v>1</v>
      </c>
      <c r="I43" s="1">
        <f>COUNTIF(nzdesgn[NAME],OWNED[[#This Row],[bgg_name]])</f>
        <v>0</v>
      </c>
    </row>
    <row r="44" spans="1:9" x14ac:dyDescent="0.25">
      <c r="A44" s="1" t="s">
        <v>12</v>
      </c>
      <c r="B44" s="1">
        <v>244916</v>
      </c>
      <c r="C44" s="1"/>
      <c r="D44" s="1">
        <f>COUNTIF(OWNED[bgg_id],OWNED[[#This Row],[bgg_id]])</f>
        <v>1</v>
      </c>
      <c r="E44" s="1" t="str">
        <f>_xlfn.XLOOKUP(OWNED[[#This Row],[bgg_id]],bgg_cache[id],bgg_cache[title])</f>
        <v>Drop It</v>
      </c>
      <c r="F44" s="1" t="b">
        <f>EXACT(OWNED[[#This Row],[name]],OWNED[[#This Row],[bgg_name]])</f>
        <v>1</v>
      </c>
      <c r="G44" s="1" t="s">
        <v>2472</v>
      </c>
      <c r="H44" s="1" t="b">
        <f>_xlfn.XLOOKUP(OWNED[[#This Row],[bgg_id]],library_data[bgg_id],library_data[mana_meeple_category])=OWNED[[#This Row],[category]]</f>
        <v>1</v>
      </c>
      <c r="I44" s="1">
        <f>COUNTIF(nzdesgn[NAME],OWNED[[#This Row],[bgg_name]])</f>
        <v>0</v>
      </c>
    </row>
    <row r="45" spans="1:9" x14ac:dyDescent="0.25">
      <c r="A45" s="1" t="s">
        <v>312</v>
      </c>
      <c r="B45" s="1">
        <v>264196</v>
      </c>
      <c r="C45" s="1"/>
      <c r="D45" s="1">
        <f>COUNTIF(OWNED[bgg_id],OWNED[[#This Row],[bgg_id]])</f>
        <v>1</v>
      </c>
      <c r="E45" s="1" t="str">
        <f>_xlfn.XLOOKUP(OWNED[[#This Row],[bgg_id]],bgg_cache[id],bgg_cache[title])</f>
        <v>Dungeons &amp; Dragons: Waterdeep – Dungeon of the Mad Mage Board Game</v>
      </c>
      <c r="F45" s="1" t="b">
        <f>EXACT(OWNED[[#This Row],[name]],OWNED[[#This Row],[bgg_name]])</f>
        <v>1</v>
      </c>
      <c r="G45" s="1" t="s">
        <v>2470</v>
      </c>
      <c r="H45" s="1" t="b">
        <f>_xlfn.XLOOKUP(OWNED[[#This Row],[bgg_id]],library_data[bgg_id],library_data[mana_meeple_category])=OWNED[[#This Row],[category]]</f>
        <v>1</v>
      </c>
      <c r="I45" s="1">
        <f>COUNTIF(nzdesgn[NAME],OWNED[[#This Row],[bgg_name]])</f>
        <v>0</v>
      </c>
    </row>
    <row r="46" spans="1:9" x14ac:dyDescent="0.25">
      <c r="A46" s="1" t="s">
        <v>43</v>
      </c>
      <c r="B46" s="1">
        <v>72125</v>
      </c>
      <c r="C46" s="1"/>
      <c r="D46" s="1">
        <f>COUNTIF(OWNED[bgg_id],OWNED[[#This Row],[bgg_id]])</f>
        <v>1</v>
      </c>
      <c r="E46" s="1" t="str">
        <f>_xlfn.XLOOKUP(OWNED[[#This Row],[bgg_id]],bgg_cache[id],bgg_cache[title])</f>
        <v>Eclipse: New Dawn for the Galaxy</v>
      </c>
      <c r="F46" s="1" t="b">
        <f>EXACT(OWNED[[#This Row],[name]],OWNED[[#This Row],[bgg_name]])</f>
        <v>1</v>
      </c>
      <c r="G46" s="1" t="s">
        <v>2474</v>
      </c>
      <c r="H46" s="1" t="b">
        <f>_xlfn.XLOOKUP(OWNED[[#This Row],[bgg_id]],library_data[bgg_id],library_data[mana_meeple_category])=OWNED[[#This Row],[category]]</f>
        <v>1</v>
      </c>
      <c r="I46" s="1">
        <f>COUNTIF(nzdesgn[NAME],OWNED[[#This Row],[bgg_name]])</f>
        <v>0</v>
      </c>
    </row>
    <row r="47" spans="1:9" x14ac:dyDescent="0.25">
      <c r="A47" s="1" t="s">
        <v>20</v>
      </c>
      <c r="B47" s="1">
        <v>100423</v>
      </c>
      <c r="C47" s="1"/>
      <c r="D47" s="1">
        <f>COUNTIF(OWNED[bgg_id],OWNED[[#This Row],[bgg_id]])</f>
        <v>1</v>
      </c>
      <c r="E47" s="1" t="str">
        <f>_xlfn.XLOOKUP(OWNED[[#This Row],[bgg_id]],bgg_cache[id],bgg_cache[title])</f>
        <v>Elder Sign</v>
      </c>
      <c r="F47" s="1" t="b">
        <f>EXACT(OWNED[[#This Row],[name]],OWNED[[#This Row],[bgg_name]])</f>
        <v>1</v>
      </c>
      <c r="G47" s="1" t="s">
        <v>2470</v>
      </c>
      <c r="H47" s="1" t="b">
        <f>_xlfn.XLOOKUP(OWNED[[#This Row],[bgg_id]],library_data[bgg_id],library_data[mana_meeple_category])=OWNED[[#This Row],[category]]</f>
        <v>1</v>
      </c>
      <c r="I47" s="1">
        <f>COUNTIF(nzdesgn[NAME],OWNED[[#This Row],[bgg_name]])</f>
        <v>0</v>
      </c>
    </row>
    <row r="48" spans="1:9" x14ac:dyDescent="0.25">
      <c r="A48" s="1" t="s">
        <v>54</v>
      </c>
      <c r="B48" s="1">
        <v>204836</v>
      </c>
      <c r="C48" s="1"/>
      <c r="D48" s="1">
        <f>COUNTIF(OWNED[bgg_id],OWNED[[#This Row],[bgg_id]])</f>
        <v>1</v>
      </c>
      <c r="E48" s="1" t="str">
        <f>_xlfn.XLOOKUP(OWNED[[#This Row],[bgg_id]],bgg_cache[id],bgg_cache[title])</f>
        <v>Escape Room: The Game</v>
      </c>
      <c r="F48" s="1" t="b">
        <f>EXACT(OWNED[[#This Row],[name]],OWNED[[#This Row],[bgg_name]])</f>
        <v>1</v>
      </c>
      <c r="G48" s="1" t="s">
        <v>2470</v>
      </c>
      <c r="H48" s="1" t="b">
        <f>_xlfn.XLOOKUP(OWNED[[#This Row],[bgg_id]],library_data[bgg_id],library_data[mana_meeple_category])=OWNED[[#This Row],[category]]</f>
        <v>1</v>
      </c>
      <c r="I48" s="1">
        <f>COUNTIF(nzdesgn[NAME],OWNED[[#This Row],[bgg_name]])</f>
        <v>0</v>
      </c>
    </row>
    <row r="49" spans="1:9" x14ac:dyDescent="0.25">
      <c r="A49" s="1" t="s">
        <v>313</v>
      </c>
      <c r="B49" s="1">
        <v>447244</v>
      </c>
      <c r="C49" s="1"/>
      <c r="D49" s="1">
        <f>COUNTIF(OWNED[bgg_id],OWNED[[#This Row],[bgg_id]])</f>
        <v>1</v>
      </c>
      <c r="E49" s="1" t="str">
        <f>_xlfn.XLOOKUP(OWNED[[#This Row],[bgg_id]],bgg_cache[id],bgg_cache[title])</f>
        <v>Exploding Kittens: The Board Game</v>
      </c>
      <c r="F49" s="1" t="b">
        <f>EXACT(OWNED[[#This Row],[name]],OWNED[[#This Row],[bgg_name]])</f>
        <v>1</v>
      </c>
      <c r="G49" s="1" t="s">
        <v>2473</v>
      </c>
      <c r="H49" s="1" t="b">
        <f>_xlfn.XLOOKUP(OWNED[[#This Row],[bgg_id]],library_data[bgg_id],library_data[mana_meeple_category])=OWNED[[#This Row],[category]]</f>
        <v>1</v>
      </c>
      <c r="I49" s="1">
        <f>COUNTIF(nzdesgn[NAME],OWNED[[#This Row],[bgg_name]])</f>
        <v>0</v>
      </c>
    </row>
    <row r="50" spans="1:9" x14ac:dyDescent="0.25">
      <c r="A50" s="1" t="s">
        <v>194</v>
      </c>
      <c r="B50" s="1">
        <v>261720</v>
      </c>
      <c r="C50" s="1"/>
      <c r="D50" s="1">
        <f>COUNTIF(OWNED[bgg_id],OWNED[[#This Row],[bgg_id]])</f>
        <v>1</v>
      </c>
      <c r="E50" s="1" t="str">
        <f>_xlfn.XLOOKUP(OWNED[[#This Row],[bgg_id]],bgg_cache[id],bgg_cache[title])</f>
        <v>Finca</v>
      </c>
      <c r="F50" s="1" t="b">
        <f>EXACT(OWNED[[#This Row],[name]],OWNED[[#This Row],[bgg_name]])</f>
        <v>1</v>
      </c>
      <c r="G50" s="1" t="s">
        <v>2471</v>
      </c>
      <c r="H50" s="1" t="b">
        <f>_xlfn.XLOOKUP(OWNED[[#This Row],[bgg_id]],library_data[bgg_id],library_data[mana_meeple_category])=OWNED[[#This Row],[category]]</f>
        <v>1</v>
      </c>
      <c r="I50" s="1">
        <f>COUNTIF(nzdesgn[NAME],OWNED[[#This Row],[bgg_name]])</f>
        <v>0</v>
      </c>
    </row>
    <row r="51" spans="1:9" x14ac:dyDescent="0.25">
      <c r="A51" s="1" t="s">
        <v>4117</v>
      </c>
      <c r="B51" s="1">
        <v>1472</v>
      </c>
      <c r="C51" s="1">
        <v>1</v>
      </c>
      <c r="D51" s="1">
        <f>COUNTIF(OWNED[bgg_id],OWNED[[#This Row],[bgg_id]])</f>
        <v>1</v>
      </c>
      <c r="E51" s="1" t="str">
        <f>_xlfn.XLOOKUP(OWNED[[#This Row],[bgg_id]],bgg_cache[id],bgg_cache[title])</f>
        <v>Five Crowns</v>
      </c>
      <c r="F51" s="1" t="b">
        <f>EXACT(OWNED[[#This Row],[name]],OWNED[[#This Row],[bgg_name]])</f>
        <v>1</v>
      </c>
      <c r="G51" s="1" t="s">
        <v>2472</v>
      </c>
      <c r="H51" s="1" t="b">
        <f>_xlfn.XLOOKUP(OWNED[[#This Row],[bgg_id]],library_data[bgg_id],library_data[mana_meeple_category])=OWNED[[#This Row],[category]]</f>
        <v>1</v>
      </c>
      <c r="I51" s="1">
        <f>COUNTIF(nzdesgn[NAME],OWNED[[#This Row],[bgg_name]])</f>
        <v>0</v>
      </c>
    </row>
    <row r="52" spans="1:9" x14ac:dyDescent="0.25">
      <c r="A52" s="1" t="s">
        <v>287</v>
      </c>
      <c r="B52" s="1">
        <v>157354</v>
      </c>
      <c r="C52" s="1"/>
      <c r="D52" s="1">
        <f>COUNTIF(OWNED[bgg_id],OWNED[[#This Row],[bgg_id]])</f>
        <v>1</v>
      </c>
      <c r="E52" s="1" t="str">
        <f>_xlfn.XLOOKUP(OWNED[[#This Row],[bgg_id]],bgg_cache[id],bgg_cache[title])</f>
        <v>Five Tribes: The Djinns of Naqala</v>
      </c>
      <c r="F52" s="1" t="b">
        <f>EXACT(OWNED[[#This Row],[name]],OWNED[[#This Row],[bgg_name]])</f>
        <v>1</v>
      </c>
      <c r="G52" s="1" t="s">
        <v>2474</v>
      </c>
      <c r="H52" s="1" t="b">
        <f>_xlfn.XLOOKUP(OWNED[[#This Row],[bgg_id]],library_data[bgg_id],library_data[mana_meeple_category])=OWNED[[#This Row],[category]]</f>
        <v>1</v>
      </c>
      <c r="I52" s="1">
        <f>COUNTIF(nzdesgn[NAME],OWNED[[#This Row],[bgg_name]])</f>
        <v>0</v>
      </c>
    </row>
    <row r="53" spans="1:9" x14ac:dyDescent="0.25">
      <c r="A53" s="1" t="s">
        <v>80</v>
      </c>
      <c r="B53" s="1">
        <v>236639</v>
      </c>
      <c r="C53" s="1"/>
      <c r="D53" s="1">
        <f>COUNTIF(OWNED[bgg_id],OWNED[[#This Row],[bgg_id]])</f>
        <v>1</v>
      </c>
      <c r="E53" s="1" t="str">
        <f>_xlfn.XLOOKUP(OWNED[[#This Row],[bgg_id]],bgg_cache[id],bgg_cache[title])</f>
        <v>Flaming Pyramids</v>
      </c>
      <c r="F53" s="1" t="b">
        <f>EXACT(OWNED[[#This Row],[name]],OWNED[[#This Row],[bgg_name]])</f>
        <v>1</v>
      </c>
      <c r="G53" s="1" t="s">
        <v>2473</v>
      </c>
      <c r="H53" s="1" t="b">
        <f>_xlfn.XLOOKUP(OWNED[[#This Row],[bgg_id]],library_data[bgg_id],library_data[mana_meeple_category])=OWNED[[#This Row],[category]]</f>
        <v>1</v>
      </c>
      <c r="I53" s="1">
        <f>COUNTIF(nzdesgn[NAME],OWNED[[#This Row],[bgg_name]])</f>
        <v>1</v>
      </c>
    </row>
    <row r="54" spans="1:9" x14ac:dyDescent="0.25">
      <c r="A54" s="1" t="s">
        <v>60</v>
      </c>
      <c r="B54" s="1">
        <v>420087</v>
      </c>
      <c r="C54" s="1"/>
      <c r="D54" s="1">
        <f>COUNTIF(OWNED[bgg_id],OWNED[[#This Row],[bgg_id]])</f>
        <v>1</v>
      </c>
      <c r="E54" s="1" t="str">
        <f>_xlfn.XLOOKUP(OWNED[[#This Row],[bgg_id]],bgg_cache[id],bgg_cache[title])</f>
        <v>Flip 7</v>
      </c>
      <c r="F54" s="1" t="b">
        <f>EXACT(OWNED[[#This Row],[name]],OWNED[[#This Row],[bgg_name]])</f>
        <v>1</v>
      </c>
      <c r="G54" s="1" t="s">
        <v>2473</v>
      </c>
      <c r="H54" s="1" t="b">
        <f>_xlfn.XLOOKUP(OWNED[[#This Row],[bgg_id]],library_data[bgg_id],library_data[mana_meeple_category])=OWNED[[#This Row],[category]]</f>
        <v>1</v>
      </c>
      <c r="I54" s="1">
        <f>COUNTIF(nzdesgn[NAME],OWNED[[#This Row],[bgg_name]])</f>
        <v>0</v>
      </c>
    </row>
    <row r="55" spans="1:9" x14ac:dyDescent="0.25">
      <c r="A55" s="1" t="s">
        <v>79</v>
      </c>
      <c r="B55" s="1">
        <v>261140</v>
      </c>
      <c r="C55" s="1"/>
      <c r="D55" s="1">
        <f>COUNTIF(OWNED[bgg_id],OWNED[[#This Row],[bgg_id]])</f>
        <v>1</v>
      </c>
      <c r="E55" s="1" t="str">
        <f>_xlfn.XLOOKUP(OWNED[[#This Row],[bgg_id]],bgg_cache[id],bgg_cache[title])</f>
        <v>Flipology</v>
      </c>
      <c r="F55" s="1" t="b">
        <f>EXACT(OWNED[[#This Row],[name]],OWNED[[#This Row],[bgg_name]])</f>
        <v>1</v>
      </c>
      <c r="G55" s="1" t="s">
        <v>2473</v>
      </c>
      <c r="H55" s="1" t="b">
        <f>_xlfn.XLOOKUP(OWNED[[#This Row],[bgg_id]],library_data[bgg_id],library_data[mana_meeple_category])=OWNED[[#This Row],[category]]</f>
        <v>1</v>
      </c>
      <c r="I55" s="1">
        <f>COUNTIF(nzdesgn[NAME],OWNED[[#This Row],[bgg_name]])</f>
        <v>1</v>
      </c>
    </row>
    <row r="56" spans="1:9" x14ac:dyDescent="0.25">
      <c r="A56" s="1" t="s">
        <v>85</v>
      </c>
      <c r="B56" s="1">
        <v>334712</v>
      </c>
      <c r="C56" s="1"/>
      <c r="D56" s="1">
        <f>COUNTIF(OWNED[bgg_id],OWNED[[#This Row],[bgg_id]])</f>
        <v>1</v>
      </c>
      <c r="E56" s="1" t="str">
        <f>_xlfn.XLOOKUP(OWNED[[#This Row],[bgg_id]],bgg_cache[id],bgg_cache[title])</f>
        <v>Floating Floors</v>
      </c>
      <c r="F56" s="1" t="b">
        <f>EXACT(OWNED[[#This Row],[name]],OWNED[[#This Row],[bgg_name]])</f>
        <v>1</v>
      </c>
      <c r="G56" s="1" t="s">
        <v>2472</v>
      </c>
      <c r="H56" s="1" t="b">
        <f>_xlfn.XLOOKUP(OWNED[[#This Row],[bgg_id]],library_data[bgg_id],library_data[mana_meeple_category])=OWNED[[#This Row],[category]]</f>
        <v>1</v>
      </c>
      <c r="I56" s="1">
        <f>COUNTIF(nzdesgn[NAME],OWNED[[#This Row],[bgg_name]])</f>
        <v>0</v>
      </c>
    </row>
    <row r="57" spans="1:9" x14ac:dyDescent="0.25">
      <c r="A57" s="1" t="s">
        <v>45</v>
      </c>
      <c r="B57" s="1">
        <v>258</v>
      </c>
      <c r="C57" s="1"/>
      <c r="D57" s="1">
        <f>COUNTIF(OWNED[bgg_id],OWNED[[#This Row],[bgg_id]])</f>
        <v>1</v>
      </c>
      <c r="E57" s="1" t="str">
        <f>_xlfn.XLOOKUP(OWNED[[#This Row],[bgg_id]],bgg_cache[id],bgg_cache[title])</f>
        <v>Fluxx</v>
      </c>
      <c r="F57" s="1" t="b">
        <f>EXACT(OWNED[[#This Row],[name]],OWNED[[#This Row],[bgg_name]])</f>
        <v>1</v>
      </c>
      <c r="G57" s="1" t="s">
        <v>2473</v>
      </c>
      <c r="H57" s="1" t="b">
        <f>_xlfn.XLOOKUP(OWNED[[#This Row],[bgg_id]],library_data[bgg_id],library_data[mana_meeple_category])=OWNED[[#This Row],[category]]</f>
        <v>1</v>
      </c>
      <c r="I57" s="1">
        <f>COUNTIF(nzdesgn[NAME],OWNED[[#This Row],[bgg_name]])</f>
        <v>0</v>
      </c>
    </row>
    <row r="58" spans="1:9" x14ac:dyDescent="0.25">
      <c r="A58" s="1" t="s">
        <v>19</v>
      </c>
      <c r="B58" s="1">
        <v>172</v>
      </c>
      <c r="C58" s="1"/>
      <c r="D58" s="1">
        <f>COUNTIF(OWNED[bgg_id],OWNED[[#This Row],[bgg_id]])</f>
        <v>1</v>
      </c>
      <c r="E58" s="1" t="str">
        <f>_xlfn.XLOOKUP(OWNED[[#This Row],[bgg_id]],bgg_cache[id],bgg_cache[title])</f>
        <v>For Sale</v>
      </c>
      <c r="F58" s="1" t="b">
        <f>EXACT(OWNED[[#This Row],[name]],OWNED[[#This Row],[bgg_name]])</f>
        <v>1</v>
      </c>
      <c r="G58" s="1" t="s">
        <v>2473</v>
      </c>
      <c r="H58" s="1" t="b">
        <f>_xlfn.XLOOKUP(OWNED[[#This Row],[bgg_id]],library_data[bgg_id],library_data[mana_meeple_category])=OWNED[[#This Row],[category]]</f>
        <v>1</v>
      </c>
      <c r="I58" s="1">
        <f>COUNTIF(nzdesgn[NAME],OWNED[[#This Row],[bgg_name]])</f>
        <v>0</v>
      </c>
    </row>
    <row r="59" spans="1:9" x14ac:dyDescent="0.25">
      <c r="A59" s="1" t="s">
        <v>125</v>
      </c>
      <c r="B59" s="1">
        <v>65244</v>
      </c>
      <c r="C59" s="1"/>
      <c r="D59" s="1">
        <f>COUNTIF(OWNED[bgg_id],OWNED[[#This Row],[bgg_id]])</f>
        <v>1</v>
      </c>
      <c r="E59" s="1" t="str">
        <f>_xlfn.XLOOKUP(OWNED[[#This Row],[bgg_id]],bgg_cache[id],bgg_cache[title])</f>
        <v>Forbidden Island</v>
      </c>
      <c r="F59" s="1" t="b">
        <f>EXACT(OWNED[[#This Row],[name]],OWNED[[#This Row],[bgg_name]])</f>
        <v>1</v>
      </c>
      <c r="G59" s="1" t="s">
        <v>2470</v>
      </c>
      <c r="H59" s="1" t="b">
        <f>_xlfn.XLOOKUP(OWNED[[#This Row],[bgg_id]],library_data[bgg_id],library_data[mana_meeple_category])=OWNED[[#This Row],[category]]</f>
        <v>1</v>
      </c>
      <c r="I59" s="1">
        <f>COUNTIF(nzdesgn[NAME],OWNED[[#This Row],[bgg_name]])</f>
        <v>0</v>
      </c>
    </row>
    <row r="60" spans="1:9" x14ac:dyDescent="0.25">
      <c r="A60" s="1" t="s">
        <v>2352</v>
      </c>
      <c r="B60" s="1">
        <v>302723</v>
      </c>
      <c r="C60" s="1">
        <v>1</v>
      </c>
      <c r="D60" s="1">
        <f>COUNTIF(OWNED[bgg_id],OWNED[[#This Row],[bgg_id]])</f>
        <v>1</v>
      </c>
      <c r="E60" s="1" t="str">
        <f>_xlfn.XLOOKUP(OWNED[[#This Row],[bgg_id]],bgg_cache[id],bgg_cache[title])</f>
        <v>Forgotten Waters</v>
      </c>
      <c r="F60" s="1" t="b">
        <f>EXACT(OWNED[[#This Row],[name]],OWNED[[#This Row],[bgg_name]])</f>
        <v>1</v>
      </c>
      <c r="G60" s="1" t="s">
        <v>2470</v>
      </c>
      <c r="H60" s="1" t="b">
        <f>_xlfn.XLOOKUP(OWNED[[#This Row],[bgg_id]],library_data[bgg_id],library_data[mana_meeple_category])=OWNED[[#This Row],[category]]</f>
        <v>1</v>
      </c>
      <c r="I60" s="1">
        <f>COUNTIF(nzdesgn[NAME],OWNED[[#This Row],[bgg_name]])</f>
        <v>0</v>
      </c>
    </row>
    <row r="61" spans="1:9" x14ac:dyDescent="0.25">
      <c r="A61" s="1" t="s">
        <v>1385</v>
      </c>
      <c r="B61" s="1">
        <v>296912</v>
      </c>
      <c r="C61" s="1"/>
      <c r="D61" s="1">
        <f>COUNTIF(OWNED[bgg_id],OWNED[[#This Row],[bgg_id]])</f>
        <v>1</v>
      </c>
      <c r="E61" s="1" t="str">
        <f>_xlfn.XLOOKUP(OWNED[[#This Row],[bgg_id]],bgg_cache[id],bgg_cache[title])</f>
        <v>Fort</v>
      </c>
      <c r="F61" s="1" t="b">
        <f>EXACT(OWNED[[#This Row],[name]],OWNED[[#This Row],[bgg_name]])</f>
        <v>1</v>
      </c>
      <c r="G61" t="s">
        <v>2471</v>
      </c>
      <c r="H61" t="b">
        <f>_xlfn.XLOOKUP(OWNED[[#This Row],[bgg_id]],library_data[bgg_id],library_data[mana_meeple_category])=OWNED[[#This Row],[category]]</f>
        <v>1</v>
      </c>
      <c r="I61" s="1">
        <f>COUNTIF(nzdesgn[NAME],OWNED[[#This Row],[bgg_name]])</f>
        <v>0</v>
      </c>
    </row>
    <row r="62" spans="1:9" x14ac:dyDescent="0.25">
      <c r="A62" s="1" t="s">
        <v>276</v>
      </c>
      <c r="B62" s="1">
        <v>361840</v>
      </c>
      <c r="C62" s="1"/>
      <c r="D62" s="1">
        <f>COUNTIF(OWNED[bgg_id],OWNED[[#This Row],[bgg_id]])</f>
        <v>1</v>
      </c>
      <c r="E62" s="1" t="str">
        <f>_xlfn.XLOOKUP(OWNED[[#This Row],[bgg_id]],bgg_cache[id],bgg_cache[title])</f>
        <v>Gardeners</v>
      </c>
      <c r="F62" s="1" t="b">
        <f>EXACT(OWNED[[#This Row],[name]],OWNED[[#This Row],[bgg_name]])</f>
        <v>1</v>
      </c>
      <c r="G62" s="1" t="s">
        <v>2470</v>
      </c>
      <c r="H62" s="1" t="b">
        <f>_xlfn.XLOOKUP(OWNED[[#This Row],[bgg_id]],library_data[bgg_id],library_data[mana_meeple_category])=OWNED[[#This Row],[category]]</f>
        <v>1</v>
      </c>
      <c r="I62" s="1">
        <f>COUNTIF(nzdesgn[NAME],OWNED[[#This Row],[bgg_name]])</f>
        <v>0</v>
      </c>
    </row>
    <row r="63" spans="1:9" x14ac:dyDescent="0.25">
      <c r="A63" s="1" t="s">
        <v>59</v>
      </c>
      <c r="B63" s="1">
        <v>176</v>
      </c>
      <c r="C63" s="1"/>
      <c r="D63" s="1">
        <f>COUNTIF(OWNED[bgg_id],OWNED[[#This Row],[bgg_id]])</f>
        <v>1</v>
      </c>
      <c r="E63" s="1" t="str">
        <f>_xlfn.XLOOKUP(OWNED[[#This Row],[bgg_id]],bgg_cache[id],bgg_cache[title])</f>
        <v>Give Me the Brain!</v>
      </c>
      <c r="F63" s="1" t="b">
        <f>EXACT(OWNED[[#This Row],[name]],OWNED[[#This Row],[bgg_name]])</f>
        <v>1</v>
      </c>
      <c r="G63" s="1" t="s">
        <v>2473</v>
      </c>
      <c r="H63" s="1" t="b">
        <f>_xlfn.XLOOKUP(OWNED[[#This Row],[bgg_id]],library_data[bgg_id],library_data[mana_meeple_category])=OWNED[[#This Row],[category]]</f>
        <v>1</v>
      </c>
      <c r="I63" s="1">
        <f>COUNTIF(nzdesgn[NAME],OWNED[[#This Row],[bgg_name]])</f>
        <v>0</v>
      </c>
    </row>
    <row r="64" spans="1:9" x14ac:dyDescent="0.25">
      <c r="A64" s="1" t="s">
        <v>81</v>
      </c>
      <c r="B64" s="1">
        <v>303929</v>
      </c>
      <c r="C64" s="1"/>
      <c r="D64" s="1">
        <f>COUNTIF(OWNED[bgg_id],OWNED[[#This Row],[bgg_id]])</f>
        <v>1</v>
      </c>
      <c r="E64" s="1" t="str">
        <f>_xlfn.XLOOKUP(OWNED[[#This Row],[bgg_id]],bgg_cache[id],bgg_cache[title])</f>
        <v>Glimstone Grab</v>
      </c>
      <c r="F64" s="1" t="b">
        <f>EXACT(OWNED[[#This Row],[name]],OWNED[[#This Row],[bgg_name]])</f>
        <v>1</v>
      </c>
      <c r="G64" s="1" t="s">
        <v>2472</v>
      </c>
      <c r="H64" s="1" t="b">
        <f>_xlfn.XLOOKUP(OWNED[[#This Row],[bgg_id]],library_data[bgg_id],library_data[mana_meeple_category])=OWNED[[#This Row],[category]]</f>
        <v>1</v>
      </c>
      <c r="I64" s="1">
        <f>COUNTIF(nzdesgn[NAME],OWNED[[#This Row],[bgg_name]])</f>
        <v>1</v>
      </c>
    </row>
    <row r="65" spans="1:9" x14ac:dyDescent="0.25">
      <c r="A65" s="1" t="s">
        <v>55</v>
      </c>
      <c r="B65" s="1">
        <v>174430</v>
      </c>
      <c r="C65" s="1"/>
      <c r="D65" s="1">
        <f>COUNTIF(OWNED[bgg_id],OWNED[[#This Row],[bgg_id]])</f>
        <v>1</v>
      </c>
      <c r="E65" s="1" t="str">
        <f>_xlfn.XLOOKUP(OWNED[[#This Row],[bgg_id]],bgg_cache[id],bgg_cache[title])</f>
        <v>Gloomhaven</v>
      </c>
      <c r="F65" s="1" t="b">
        <f>EXACT(OWNED[[#This Row],[name]],OWNED[[#This Row],[bgg_name]])</f>
        <v>1</v>
      </c>
      <c r="G65" s="1" t="s">
        <v>2470</v>
      </c>
      <c r="H65" s="1" t="b">
        <f>_xlfn.XLOOKUP(OWNED[[#This Row],[bgg_id]],library_data[bgg_id],library_data[mana_meeple_category])=OWNED[[#This Row],[category]]</f>
        <v>1</v>
      </c>
      <c r="I65" s="1">
        <f>COUNTIF(nzdesgn[NAME],OWNED[[#This Row],[bgg_name]])</f>
        <v>0</v>
      </c>
    </row>
    <row r="66" spans="1:9" x14ac:dyDescent="0.25">
      <c r="A66" t="s">
        <v>65</v>
      </c>
      <c r="B66" s="1">
        <v>146765</v>
      </c>
      <c r="C66" s="1"/>
      <c r="D66" s="1">
        <f>COUNTIF(OWNED[bgg_id],OWNED[[#This Row],[bgg_id]])</f>
        <v>1</v>
      </c>
      <c r="E66" s="1" t="str">
        <f>_xlfn.XLOOKUP(OWNED[[#This Row],[bgg_id]],bgg_cache[id],bgg_cache[title])</f>
        <v>Granny Wars:  A Game of Tit for Tat</v>
      </c>
      <c r="F66" s="1" t="b">
        <f>EXACT(OWNED[[#This Row],[name]],OWNED[[#This Row],[bgg_name]])</f>
        <v>1</v>
      </c>
      <c r="G66" s="1" t="s">
        <v>2473</v>
      </c>
      <c r="H66" s="1" t="b">
        <f>_xlfn.XLOOKUP(OWNED[[#This Row],[bgg_id]],library_data[bgg_id],library_data[mana_meeple_category])=OWNED[[#This Row],[category]]</f>
        <v>1</v>
      </c>
      <c r="I66" s="1">
        <f>COUNTIF(nzdesgn[NAME],OWNED[[#This Row],[bgg_name]])</f>
        <v>0</v>
      </c>
    </row>
    <row r="67" spans="1:9" x14ac:dyDescent="0.25">
      <c r="A67" s="1" t="s">
        <v>1441</v>
      </c>
      <c r="B67" s="1">
        <v>98778</v>
      </c>
      <c r="C67" s="1"/>
      <c r="D67" s="1">
        <f>COUNTIF(OWNED[bgg_id],OWNED[[#This Row],[bgg_id]])</f>
        <v>1</v>
      </c>
      <c r="E67" s="1" t="str">
        <f>_xlfn.XLOOKUP(OWNED[[#This Row],[bgg_id]],bgg_cache[id],bgg_cache[title])</f>
        <v>Hanabi</v>
      </c>
      <c r="F67" s="1" t="b">
        <f>EXACT(OWNED[[#This Row],[name]],OWNED[[#This Row],[bgg_name]])</f>
        <v>1</v>
      </c>
      <c r="G67" t="s">
        <v>2470</v>
      </c>
      <c r="H67" t="b">
        <f>_xlfn.XLOOKUP(OWNED[[#This Row],[bgg_id]],library_data[bgg_id],library_data[mana_meeple_category])=OWNED[[#This Row],[category]]</f>
        <v>1</v>
      </c>
      <c r="I67" s="1">
        <f>COUNTIF(nzdesgn[NAME],OWNED[[#This Row],[bgg_name]])</f>
        <v>0</v>
      </c>
    </row>
    <row r="68" spans="1:9" x14ac:dyDescent="0.25">
      <c r="A68" s="1" t="s">
        <v>58</v>
      </c>
      <c r="B68" s="1">
        <v>366013</v>
      </c>
      <c r="C68" s="1"/>
      <c r="D68" s="1">
        <f>COUNTIF(OWNED[bgg_id],OWNED[[#This Row],[bgg_id]])</f>
        <v>1</v>
      </c>
      <c r="E68" s="1" t="str">
        <f>_xlfn.XLOOKUP(OWNED[[#This Row],[bgg_id]],bgg_cache[id],bgg_cache[title])</f>
        <v>Heat: Pedal to the Metal</v>
      </c>
      <c r="F68" s="1" t="b">
        <f>EXACT(OWNED[[#This Row],[name]],OWNED[[#This Row],[bgg_name]])</f>
        <v>1</v>
      </c>
      <c r="G68" s="1" t="s">
        <v>2471</v>
      </c>
      <c r="H68" s="1" t="b">
        <f>_xlfn.XLOOKUP(OWNED[[#This Row],[bgg_id]],library_data[bgg_id],library_data[mana_meeple_category])=OWNED[[#This Row],[category]]</f>
        <v>1</v>
      </c>
      <c r="I68" s="1">
        <f>COUNTIF(nzdesgn[NAME],OWNED[[#This Row],[bgg_name]])</f>
        <v>0</v>
      </c>
    </row>
    <row r="69" spans="1:9" x14ac:dyDescent="0.25">
      <c r="A69" s="1" t="s">
        <v>220</v>
      </c>
      <c r="B69" s="1">
        <v>311322</v>
      </c>
      <c r="C69" s="1"/>
      <c r="D69" s="1">
        <f>COUNTIF(OWNED[bgg_id],OWNED[[#This Row],[bgg_id]])</f>
        <v>1</v>
      </c>
      <c r="E69" s="1" t="str">
        <f>_xlfn.XLOOKUP(OWNED[[#This Row],[bgg_id]],bgg_cache[id],bgg_cache[title])</f>
        <v>Herd Mentality</v>
      </c>
      <c r="F69" s="1" t="b">
        <f>EXACT(OWNED[[#This Row],[name]],OWNED[[#This Row],[bgg_name]])</f>
        <v>1</v>
      </c>
      <c r="G69" s="1" t="s">
        <v>2473</v>
      </c>
      <c r="H69" s="1" t="b">
        <f>_xlfn.XLOOKUP(OWNED[[#This Row],[bgg_id]],library_data[bgg_id],library_data[mana_meeple_category])=OWNED[[#This Row],[category]]</f>
        <v>1</v>
      </c>
      <c r="I69" s="1">
        <f>COUNTIF(nzdesgn[NAME],OWNED[[#This Row],[bgg_name]])</f>
        <v>0</v>
      </c>
    </row>
    <row r="70" spans="1:9" x14ac:dyDescent="0.25">
      <c r="A70" s="1" t="s">
        <v>119</v>
      </c>
      <c r="B70" s="1">
        <v>2655</v>
      </c>
      <c r="C70" s="1"/>
      <c r="D70" s="1">
        <f>COUNTIF(OWNED[bgg_id],OWNED[[#This Row],[bgg_id]])</f>
        <v>1</v>
      </c>
      <c r="E70" s="1" t="str">
        <f>_xlfn.XLOOKUP(OWNED[[#This Row],[bgg_id]],bgg_cache[id],bgg_cache[title])</f>
        <v>Hive</v>
      </c>
      <c r="F70" s="1" t="b">
        <f>EXACT(OWNED[[#This Row],[name]],OWNED[[#This Row],[bgg_name]])</f>
        <v>1</v>
      </c>
      <c r="G70" s="1" t="s">
        <v>2471</v>
      </c>
      <c r="H70" s="1" t="b">
        <f>_xlfn.XLOOKUP(OWNED[[#This Row],[bgg_id]],library_data[bgg_id],library_data[mana_meeple_category])=OWNED[[#This Row],[category]]</f>
        <v>1</v>
      </c>
      <c r="I70" s="1">
        <f>COUNTIF(nzdesgn[NAME],OWNED[[#This Row],[bgg_name]])</f>
        <v>0</v>
      </c>
    </row>
    <row r="71" spans="1:9" x14ac:dyDescent="0.25">
      <c r="A71" s="1" t="s">
        <v>92</v>
      </c>
      <c r="B71" s="1">
        <v>180471</v>
      </c>
      <c r="C71" s="1"/>
      <c r="D71" s="1">
        <f>COUNTIF(OWNED[bgg_id],OWNED[[#This Row],[bgg_id]])</f>
        <v>1</v>
      </c>
      <c r="E71" s="1" t="str">
        <f>_xlfn.XLOOKUP(OWNED[[#This Row],[bgg_id]],bgg_cache[id],bgg_cache[title])</f>
        <v>Hoard</v>
      </c>
      <c r="F71" s="1" t="b">
        <f>EXACT(OWNED[[#This Row],[name]],OWNED[[#This Row],[bgg_name]])</f>
        <v>1</v>
      </c>
      <c r="G71" s="1" t="s">
        <v>2471</v>
      </c>
      <c r="H71" s="1" t="b">
        <f>_xlfn.XLOOKUP(OWNED[[#This Row],[bgg_id]],library_data[bgg_id],library_data[mana_meeple_category])=OWNED[[#This Row],[category]]</f>
        <v>1</v>
      </c>
      <c r="I71" s="1">
        <f>COUNTIF(nzdesgn[NAME],OWNED[[#This Row],[bgg_name]])</f>
        <v>1</v>
      </c>
    </row>
    <row r="72" spans="1:9" x14ac:dyDescent="0.25">
      <c r="A72" s="1" t="s">
        <v>195</v>
      </c>
      <c r="B72" s="1">
        <v>282524</v>
      </c>
      <c r="C72" s="1"/>
      <c r="D72" s="1">
        <f>COUNTIF(OWNED[bgg_id],OWNED[[#This Row],[bgg_id]])</f>
        <v>1</v>
      </c>
      <c r="E72" s="1" t="str">
        <f>_xlfn.XLOOKUP(OWNED[[#This Row],[bgg_id]],bgg_cache[id],bgg_cache[title])</f>
        <v>Horrified</v>
      </c>
      <c r="F72" s="1" t="b">
        <f>EXACT(OWNED[[#This Row],[name]],OWNED[[#This Row],[bgg_name]])</f>
        <v>1</v>
      </c>
      <c r="G72" s="1" t="s">
        <v>2470</v>
      </c>
      <c r="H72" s="1" t="b">
        <f>_xlfn.XLOOKUP(OWNED[[#This Row],[bgg_id]],library_data[bgg_id],library_data[mana_meeple_category])=OWNED[[#This Row],[category]]</f>
        <v>1</v>
      </c>
      <c r="I72" s="1">
        <f>COUNTIF(nzdesgn[NAME],OWNED[[#This Row],[bgg_name]])</f>
        <v>0</v>
      </c>
    </row>
    <row r="73" spans="1:9" x14ac:dyDescent="0.25">
      <c r="A73" s="1" t="s">
        <v>73</v>
      </c>
      <c r="B73" s="1">
        <v>302520</v>
      </c>
      <c r="C73" s="1"/>
      <c r="D73" s="1">
        <f>COUNTIF(OWNED[bgg_id],OWNED[[#This Row],[bgg_id]])</f>
        <v>1</v>
      </c>
      <c r="E73" s="1" t="str">
        <f>_xlfn.XLOOKUP(OWNED[[#This Row],[bgg_id]],bgg_cache[id],bgg_cache[title])</f>
        <v>Hues and Cues</v>
      </c>
      <c r="F73" s="1" t="b">
        <f>EXACT(OWNED[[#This Row],[name]],OWNED[[#This Row],[bgg_name]])</f>
        <v>1</v>
      </c>
      <c r="G73" s="1" t="s">
        <v>2473</v>
      </c>
      <c r="H73" s="1" t="b">
        <f>_xlfn.XLOOKUP(OWNED[[#This Row],[bgg_id]],library_data[bgg_id],library_data[mana_meeple_category])=OWNED[[#This Row],[category]]</f>
        <v>1</v>
      </c>
      <c r="I73" s="1">
        <f>COUNTIF(nzdesgn[NAME],OWNED[[#This Row],[bgg_name]])</f>
        <v>0</v>
      </c>
    </row>
    <row r="74" spans="1:9" x14ac:dyDescent="0.25">
      <c r="A74" s="1" t="s">
        <v>1804</v>
      </c>
      <c r="B74" s="1">
        <v>198928</v>
      </c>
      <c r="C74" s="1"/>
      <c r="D74" s="1">
        <f>COUNTIF(OWNED[bgg_id],OWNED[[#This Row],[bgg_id]])</f>
        <v>1</v>
      </c>
      <c r="E74" s="1" t="str">
        <f>_xlfn.XLOOKUP(OWNED[[#This Row],[bgg_id]],bgg_cache[id],bgg_cache[title])</f>
        <v>Iberia</v>
      </c>
      <c r="F74" s="1" t="b">
        <f>EXACT(OWNED[[#This Row],[name]],OWNED[[#This Row],[bgg_name]])</f>
        <v>1</v>
      </c>
      <c r="G74" s="1" t="s">
        <v>2470</v>
      </c>
      <c r="H74" s="1" t="b">
        <f>_xlfn.XLOOKUP(OWNED[[#This Row],[bgg_id]],library_data[bgg_id],library_data[mana_meeple_category])=OWNED[[#This Row],[category]]</f>
        <v>1</v>
      </c>
      <c r="I74" s="1">
        <f>COUNTIF(nzdesgn[NAME],OWNED[[#This Row],[bgg_name]])</f>
        <v>0</v>
      </c>
    </row>
    <row r="75" spans="1:9" x14ac:dyDescent="0.25">
      <c r="A75" s="1" t="s">
        <v>255</v>
      </c>
      <c r="B75" s="1">
        <v>358805</v>
      </c>
      <c r="C75" s="1"/>
      <c r="D75" s="1">
        <f>COUNTIF(OWNED[bgg_id],OWNED[[#This Row],[bgg_id]])</f>
        <v>1</v>
      </c>
      <c r="E75" s="1" t="str">
        <f>_xlfn.XLOOKUP(OWNED[[#This Row],[bgg_id]],bgg_cache[id],bgg_cache[title])</f>
        <v>Infernal Wagon</v>
      </c>
      <c r="F75" s="1" t="b">
        <f>EXACT(OWNED[[#This Row],[name]],OWNED[[#This Row],[bgg_name]])</f>
        <v>1</v>
      </c>
      <c r="G75" s="1" t="s">
        <v>2470</v>
      </c>
      <c r="H75" s="1" t="b">
        <f>_xlfn.XLOOKUP(OWNED[[#This Row],[bgg_id]],library_data[bgg_id],library_data[mana_meeple_category])=OWNED[[#This Row],[category]]</f>
        <v>1</v>
      </c>
      <c r="I75" s="1">
        <f>COUNTIF(nzdesgn[NAME],OWNED[[#This Row],[bgg_name]])</f>
        <v>0</v>
      </c>
    </row>
    <row r="76" spans="1:9" x14ac:dyDescent="0.25">
      <c r="A76" s="1" t="s">
        <v>48</v>
      </c>
      <c r="B76" s="1">
        <v>54043</v>
      </c>
      <c r="C76" s="1"/>
      <c r="D76" s="1">
        <f>COUNTIF(OWNED[bgg_id],OWNED[[#This Row],[bgg_id]])</f>
        <v>1</v>
      </c>
      <c r="E76" s="1" t="str">
        <f>_xlfn.XLOOKUP(OWNED[[#This Row],[bgg_id]],bgg_cache[id],bgg_cache[title])</f>
        <v>Jaipur</v>
      </c>
      <c r="F76" s="1" t="b">
        <f>EXACT(OWNED[[#This Row],[name]],OWNED[[#This Row],[bgg_name]])</f>
        <v>1</v>
      </c>
      <c r="G76" s="1" t="s">
        <v>2471</v>
      </c>
      <c r="H76" s="1" t="b">
        <f>_xlfn.XLOOKUP(OWNED[[#This Row],[bgg_id]],library_data[bgg_id],library_data[mana_meeple_category])=OWNED[[#This Row],[category]]</f>
        <v>1</v>
      </c>
      <c r="I76" s="1">
        <f>COUNTIF(nzdesgn[NAME],OWNED[[#This Row],[bgg_name]])</f>
        <v>0</v>
      </c>
    </row>
    <row r="77" spans="1:9" x14ac:dyDescent="0.25">
      <c r="A77" s="1" t="s">
        <v>208</v>
      </c>
      <c r="B77" s="1">
        <v>8098</v>
      </c>
      <c r="C77" s="1"/>
      <c r="D77" s="1">
        <f>COUNTIF(OWNED[bgg_id],OWNED[[#This Row],[bgg_id]])</f>
        <v>1</v>
      </c>
      <c r="E77" s="1" t="str">
        <f>_xlfn.XLOOKUP(OWNED[[#This Row],[bgg_id]],bgg_cache[id],bgg_cache[title])</f>
        <v>Jungle Speed</v>
      </c>
      <c r="F77" s="1" t="b">
        <f>EXACT(OWNED[[#This Row],[name]],OWNED[[#This Row],[bgg_name]])</f>
        <v>1</v>
      </c>
      <c r="G77" s="1" t="s">
        <v>2473</v>
      </c>
      <c r="H77" s="1" t="b">
        <f>_xlfn.XLOOKUP(OWNED[[#This Row],[bgg_id]],library_data[bgg_id],library_data[mana_meeple_category])=OWNED[[#This Row],[category]]</f>
        <v>1</v>
      </c>
      <c r="I77" s="1">
        <f>COUNTIF(nzdesgn[NAME],OWNED[[#This Row],[bgg_name]])</f>
        <v>0</v>
      </c>
    </row>
    <row r="78" spans="1:9" x14ac:dyDescent="0.25">
      <c r="A78" s="1" t="s">
        <v>94</v>
      </c>
      <c r="B78" s="1">
        <v>254640</v>
      </c>
      <c r="C78" s="1"/>
      <c r="D78" s="1">
        <f>COUNTIF(OWNED[bgg_id],OWNED[[#This Row],[bgg_id]])</f>
        <v>1</v>
      </c>
      <c r="E78" s="1" t="str">
        <f>_xlfn.XLOOKUP(OWNED[[#This Row],[bgg_id]],bgg_cache[id],bgg_cache[title])</f>
        <v>Just One</v>
      </c>
      <c r="F78" s="1" t="b">
        <f>EXACT(OWNED[[#This Row],[name]],OWNED[[#This Row],[bgg_name]])</f>
        <v>1</v>
      </c>
      <c r="G78" s="1" t="s">
        <v>2473</v>
      </c>
      <c r="H78" s="1" t="b">
        <f>_xlfn.XLOOKUP(OWNED[[#This Row],[bgg_id]],library_data[bgg_id],library_data[mana_meeple_category])=OWNED[[#This Row],[category]]</f>
        <v>1</v>
      </c>
      <c r="I78" s="1">
        <f>COUNTIF(nzdesgn[NAME],OWNED[[#This Row],[bgg_name]])</f>
        <v>0</v>
      </c>
    </row>
    <row r="79" spans="1:9" x14ac:dyDescent="0.25">
      <c r="A79" s="1" t="s">
        <v>35</v>
      </c>
      <c r="B79" s="1">
        <v>22123</v>
      </c>
      <c r="C79" s="1"/>
      <c r="D79" s="1">
        <f>COUNTIF(OWNED[bgg_id],OWNED[[#This Row],[bgg_id]])</f>
        <v>1</v>
      </c>
      <c r="E79" s="1" t="str">
        <f>_xlfn.XLOOKUP(OWNED[[#This Row],[bgg_id]],bgg_cache[id],bgg_cache[title])</f>
        <v>Enkounter</v>
      </c>
      <c r="F79" s="1" t="b">
        <f>EXACT(OWNED[[#This Row],[name]],OWNED[[#This Row],[bgg_name]])</f>
        <v>0</v>
      </c>
      <c r="G79" s="1" t="s">
        <v>2473</v>
      </c>
      <c r="H79" s="1" t="b">
        <f>_xlfn.XLOOKUP(OWNED[[#This Row],[bgg_id]],library_data[bgg_id],library_data[mana_meeple_category])=OWNED[[#This Row],[category]]</f>
        <v>1</v>
      </c>
      <c r="I79" s="1">
        <f>COUNTIF(nzdesgn[NAME],OWNED[[#This Row],[bgg_name]])</f>
        <v>0</v>
      </c>
    </row>
    <row r="80" spans="1:9" x14ac:dyDescent="0.25">
      <c r="A80" s="1" t="s">
        <v>86</v>
      </c>
      <c r="B80" s="1">
        <v>300509</v>
      </c>
      <c r="C80" s="1"/>
      <c r="D80" s="1">
        <f>COUNTIF(OWNED[bgg_id],OWNED[[#This Row],[bgg_id]])</f>
        <v>1</v>
      </c>
      <c r="E80" s="1" t="str">
        <f>_xlfn.XLOOKUP(OWNED[[#This Row],[bgg_id]],bgg_cache[id],bgg_cache[title])</f>
        <v>Kiitos</v>
      </c>
      <c r="F80" s="1" t="b">
        <f>EXACT(OWNED[[#This Row],[name]],OWNED[[#This Row],[bgg_name]])</f>
        <v>1</v>
      </c>
      <c r="G80" s="1" t="s">
        <v>2473</v>
      </c>
      <c r="H80" s="1" t="b">
        <f>_xlfn.XLOOKUP(OWNED[[#This Row],[bgg_id]],library_data[bgg_id],library_data[mana_meeple_category])=OWNED[[#This Row],[category]]</f>
        <v>1</v>
      </c>
      <c r="I80" s="1">
        <f>COUNTIF(nzdesgn[NAME],OWNED[[#This Row],[bgg_name]])</f>
        <v>0</v>
      </c>
    </row>
    <row r="81" spans="1:9" x14ac:dyDescent="0.25">
      <c r="A81" s="1" t="s">
        <v>115</v>
      </c>
      <c r="B81" s="1">
        <v>70323</v>
      </c>
      <c r="C81" s="1"/>
      <c r="D81" s="1">
        <f>COUNTIF(OWNED[bgg_id],OWNED[[#This Row],[bgg_id]])</f>
        <v>1</v>
      </c>
      <c r="E81" s="1" t="str">
        <f>_xlfn.XLOOKUP(OWNED[[#This Row],[bgg_id]],bgg_cache[id],bgg_cache[title])</f>
        <v>King of Tokyo</v>
      </c>
      <c r="F81" s="1" t="b">
        <f>EXACT(OWNED[[#This Row],[name]],OWNED[[#This Row],[bgg_name]])</f>
        <v>1</v>
      </c>
      <c r="G81" s="1" t="s">
        <v>2471</v>
      </c>
      <c r="H81" s="1" t="b">
        <f>_xlfn.XLOOKUP(OWNED[[#This Row],[bgg_id]],library_data[bgg_id],library_data[mana_meeple_category])=OWNED[[#This Row],[category]]</f>
        <v>1</v>
      </c>
      <c r="I81" s="1">
        <f>COUNTIF(nzdesgn[NAME],OWNED[[#This Row],[bgg_name]])</f>
        <v>0</v>
      </c>
    </row>
    <row r="82" spans="1:9" x14ac:dyDescent="0.25">
      <c r="A82" s="1" t="s">
        <v>28</v>
      </c>
      <c r="B82" s="1">
        <v>204583</v>
      </c>
      <c r="C82" s="1"/>
      <c r="D82" s="1">
        <f>COUNTIF(OWNED[bgg_id],OWNED[[#This Row],[bgg_id]])</f>
        <v>1</v>
      </c>
      <c r="E82" s="1" t="str">
        <f>_xlfn.XLOOKUP(OWNED[[#This Row],[bgg_id]],bgg_cache[id],bgg_cache[title])</f>
        <v>Kingdomino</v>
      </c>
      <c r="F82" s="1" t="b">
        <f>EXACT(OWNED[[#This Row],[name]],OWNED[[#This Row],[bgg_name]])</f>
        <v>1</v>
      </c>
      <c r="G82" s="1" t="s">
        <v>2471</v>
      </c>
      <c r="H82" s="1" t="b">
        <f>_xlfn.XLOOKUP(OWNED[[#This Row],[bgg_id]],library_data[bgg_id],library_data[mana_meeple_category])=OWNED[[#This Row],[category]]</f>
        <v>1</v>
      </c>
      <c r="I82" s="1">
        <f>COUNTIF(nzdesgn[NAME],OWNED[[#This Row],[bgg_name]])</f>
        <v>0</v>
      </c>
    </row>
    <row r="83" spans="1:9" x14ac:dyDescent="0.25">
      <c r="A83" s="1" t="s">
        <v>121</v>
      </c>
      <c r="B83" s="1">
        <v>281960</v>
      </c>
      <c r="C83" s="1"/>
      <c r="D83" s="1">
        <f>COUNTIF(OWNED[bgg_id],OWNED[[#This Row],[bgg_id]])</f>
        <v>1</v>
      </c>
      <c r="E83" s="1" t="str">
        <f>_xlfn.XLOOKUP(OWNED[[#This Row],[bgg_id]],bgg_cache[id],bgg_cache[title])</f>
        <v>Kingdomino Duel</v>
      </c>
      <c r="F83" s="1" t="b">
        <f>EXACT(OWNED[[#This Row],[name]],OWNED[[#This Row],[bgg_name]])</f>
        <v>1</v>
      </c>
      <c r="G83" s="1" t="s">
        <v>2471</v>
      </c>
      <c r="H83" s="1" t="b">
        <f>_xlfn.XLOOKUP(OWNED[[#This Row],[bgg_id]],library_data[bgg_id],library_data[mana_meeple_category])=OWNED[[#This Row],[category]]</f>
        <v>1</v>
      </c>
      <c r="I83" s="1">
        <f>COUNTIF(nzdesgn[NAME],OWNED[[#This Row],[bgg_name]])</f>
        <v>0</v>
      </c>
    </row>
    <row r="84" spans="1:9" x14ac:dyDescent="0.25">
      <c r="A84" s="1" t="s">
        <v>217</v>
      </c>
      <c r="B84" s="1">
        <v>348096</v>
      </c>
      <c r="C84" s="1">
        <v>1</v>
      </c>
      <c r="D84" s="1">
        <f>COUNTIF(OWNED[bgg_id],OWNED[[#This Row],[bgg_id]])</f>
        <v>1</v>
      </c>
      <c r="E84" s="1" t="str">
        <f>_xlfn.XLOOKUP(OWNED[[#This Row],[bgg_id]],bgg_cache[id],bgg_cache[title])</f>
        <v>Kites</v>
      </c>
      <c r="F84" s="1" t="b">
        <f>EXACT(OWNED[[#This Row],[name]],OWNED[[#This Row],[bgg_name]])</f>
        <v>1</v>
      </c>
      <c r="G84" s="1"/>
      <c r="H84" s="1" t="e">
        <f>_xlfn.XLOOKUP(OWNED[[#This Row],[bgg_id]],library_data[bgg_id],library_data[mana_meeple_category])=OWNED[[#This Row],[category]]</f>
        <v>#N/A</v>
      </c>
      <c r="I84" s="1">
        <f>COUNTIF(nzdesgn[NAME],OWNED[[#This Row],[bgg_name]])</f>
        <v>0</v>
      </c>
    </row>
    <row r="85" spans="1:9" x14ac:dyDescent="0.25">
      <c r="A85" s="1" t="s">
        <v>216</v>
      </c>
      <c r="B85" s="1">
        <v>165722</v>
      </c>
      <c r="C85" s="1"/>
      <c r="D85" s="1">
        <f>COUNTIF(OWNED[bgg_id],OWNED[[#This Row],[bgg_id]])</f>
        <v>1</v>
      </c>
      <c r="E85" s="1" t="str">
        <f>_xlfn.XLOOKUP(OWNED[[#This Row],[bgg_id]],bgg_cache[id],bgg_cache[title])</f>
        <v>KLASK</v>
      </c>
      <c r="F85" s="1" t="b">
        <f>EXACT(OWNED[[#This Row],[name]],OWNED[[#This Row],[bgg_name]])</f>
        <v>1</v>
      </c>
      <c r="G85" s="1" t="s">
        <v>2472</v>
      </c>
      <c r="H85" s="1" t="b">
        <f>_xlfn.XLOOKUP(OWNED[[#This Row],[bgg_id]],library_data[bgg_id],library_data[mana_meeple_category])=OWNED[[#This Row],[category]]</f>
        <v>1</v>
      </c>
      <c r="I85" s="1">
        <f>COUNTIF(nzdesgn[NAME],OWNED[[#This Row],[bgg_name]])</f>
        <v>0</v>
      </c>
    </row>
    <row r="86" spans="1:9" x14ac:dyDescent="0.25">
      <c r="A86" s="1" t="s">
        <v>87</v>
      </c>
      <c r="B86" s="1">
        <v>124992</v>
      </c>
      <c r="C86" s="1"/>
      <c r="D86" s="1">
        <f>COUNTIF(OWNED[bgg_id],OWNED[[#This Row],[bgg_id]])</f>
        <v>1</v>
      </c>
      <c r="E86" s="1" t="str">
        <f>_xlfn.XLOOKUP(OWNED[[#This Row],[bgg_id]],bgg_cache[id],bgg_cache[title])</f>
        <v>Komodo</v>
      </c>
      <c r="F86" s="1" t="b">
        <f>EXACT(OWNED[[#This Row],[name]],OWNED[[#This Row],[bgg_name]])</f>
        <v>1</v>
      </c>
      <c r="G86" s="1" t="s">
        <v>2471</v>
      </c>
      <c r="H86" s="1" t="b">
        <f>_xlfn.XLOOKUP(OWNED[[#This Row],[bgg_id]],library_data[bgg_id],library_data[mana_meeple_category])=OWNED[[#This Row],[category]]</f>
        <v>1</v>
      </c>
      <c r="I86" s="1">
        <f>COUNTIF(nzdesgn[NAME],OWNED[[#This Row],[bgg_name]])</f>
        <v>1</v>
      </c>
    </row>
    <row r="87" spans="1:9" x14ac:dyDescent="0.25">
      <c r="A87" s="1" t="s">
        <v>158</v>
      </c>
      <c r="B87" s="1">
        <v>160851</v>
      </c>
      <c r="C87" s="1"/>
      <c r="D87" s="1">
        <f>COUNTIF(OWNED[bgg_id],OWNED[[#This Row],[bgg_id]])</f>
        <v>1</v>
      </c>
      <c r="E87" s="1" t="str">
        <f>_xlfn.XLOOKUP(OWNED[[#This Row],[bgg_id]],bgg_cache[id],bgg_cache[title])</f>
        <v>Lanterns: The Harvest Festival</v>
      </c>
      <c r="F87" s="1" t="b">
        <f>EXACT(OWNED[[#This Row],[name]],OWNED[[#This Row],[bgg_name]])</f>
        <v>1</v>
      </c>
      <c r="G87" s="1" t="s">
        <v>2471</v>
      </c>
      <c r="H87" s="1" t="b">
        <f>_xlfn.XLOOKUP(OWNED[[#This Row],[bgg_id]],library_data[bgg_id],library_data[mana_meeple_category])=OWNED[[#This Row],[category]]</f>
        <v>1</v>
      </c>
      <c r="I87" s="1">
        <f>COUNTIF(nzdesgn[NAME],OWNED[[#This Row],[bgg_name]])</f>
        <v>0</v>
      </c>
    </row>
    <row r="88" spans="1:9" x14ac:dyDescent="0.25">
      <c r="A88" s="1" t="s">
        <v>278</v>
      </c>
      <c r="B88" s="1">
        <v>29687</v>
      </c>
      <c r="C88" s="1"/>
      <c r="D88" s="1">
        <f>COUNTIF(OWNED[bgg_id],OWNED[[#This Row],[bgg_id]])</f>
        <v>1</v>
      </c>
      <c r="E88" s="1" t="str">
        <f>_xlfn.XLOOKUP(OWNED[[#This Row],[bgg_id]],bgg_cache[id],bgg_cache[title])</f>
        <v>Leaping Lemmings</v>
      </c>
      <c r="F88" s="1" t="b">
        <f>EXACT(OWNED[[#This Row],[name]],OWNED[[#This Row],[bgg_name]])</f>
        <v>1</v>
      </c>
      <c r="G88" s="1" t="s">
        <v>2471</v>
      </c>
      <c r="H88" s="1" t="b">
        <f>_xlfn.XLOOKUP(OWNED[[#This Row],[bgg_id]],library_data[bgg_id],library_data[mana_meeple_category])=OWNED[[#This Row],[category]]</f>
        <v>1</v>
      </c>
      <c r="I88" s="1">
        <f>COUNTIF(nzdesgn[NAME],OWNED[[#This Row],[bgg_name]])</f>
        <v>0</v>
      </c>
    </row>
    <row r="89" spans="1:9" x14ac:dyDescent="0.25">
      <c r="A89" s="1" t="s">
        <v>159</v>
      </c>
      <c r="B89" s="1">
        <v>356033</v>
      </c>
      <c r="C89" s="1"/>
      <c r="D89" s="1">
        <f>COUNTIF(OWNED[bgg_id],OWNED[[#This Row],[bgg_id]])</f>
        <v>1</v>
      </c>
      <c r="E89" s="1" t="str">
        <f>_xlfn.XLOOKUP(OWNED[[#This Row],[bgg_id]],bgg_cache[id],bgg_cache[title])</f>
        <v>Libertalia: Winds of Galecrest</v>
      </c>
      <c r="F89" s="1" t="b">
        <f>EXACT(OWNED[[#This Row],[name]],OWNED[[#This Row],[bgg_name]])</f>
        <v>1</v>
      </c>
      <c r="G89" s="1" t="s">
        <v>2474</v>
      </c>
      <c r="H89" s="1" t="b">
        <f>_xlfn.XLOOKUP(OWNED[[#This Row],[bgg_id]],library_data[bgg_id],library_data[mana_meeple_category])=OWNED[[#This Row],[category]]</f>
        <v>1</v>
      </c>
      <c r="I89" s="1">
        <f>COUNTIF(nzdesgn[NAME],OWNED[[#This Row],[bgg_name]])</f>
        <v>0</v>
      </c>
    </row>
    <row r="90" spans="1:9" x14ac:dyDescent="0.25">
      <c r="A90" s="1" t="s">
        <v>88</v>
      </c>
      <c r="B90" s="1">
        <v>367829</v>
      </c>
      <c r="C90" s="1"/>
      <c r="D90" s="1">
        <f>COUNTIF(OWNED[bgg_id],OWNED[[#This Row],[bgg_id]])</f>
        <v>1</v>
      </c>
      <c r="E90" s="1" t="str">
        <f>_xlfn.XLOOKUP(OWNED[[#This Row],[bgg_id]],bgg_cache[id],bgg_cache[title])</f>
        <v>Lindyhop</v>
      </c>
      <c r="F90" s="1" t="b">
        <f>EXACT(OWNED[[#This Row],[name]],OWNED[[#This Row],[bgg_name]])</f>
        <v>1</v>
      </c>
      <c r="G90" s="1" t="s">
        <v>2473</v>
      </c>
      <c r="H90" s="1" t="b">
        <f>_xlfn.XLOOKUP(OWNED[[#This Row],[bgg_id]],library_data[bgg_id],library_data[mana_meeple_category])=OWNED[[#This Row],[category]]</f>
        <v>1</v>
      </c>
      <c r="I90" s="1">
        <f>COUNTIF(nzdesgn[NAME],OWNED[[#This Row],[bgg_name]])</f>
        <v>1</v>
      </c>
    </row>
    <row r="91" spans="1:9" x14ac:dyDescent="0.25">
      <c r="A91" s="1" t="s">
        <v>162</v>
      </c>
      <c r="B91" s="1">
        <v>241266</v>
      </c>
      <c r="C91" s="1"/>
      <c r="D91" s="1">
        <f>COUNTIF(OWNED[bgg_id],OWNED[[#This Row],[bgg_id]])</f>
        <v>1</v>
      </c>
      <c r="E91" s="1" t="str">
        <f>_xlfn.XLOOKUP(OWNED[[#This Row],[bgg_id]],bgg_cache[id],bgg_cache[title])</f>
        <v>Little Town</v>
      </c>
      <c r="F91" s="1" t="b">
        <f>EXACT(OWNED[[#This Row],[name]],OWNED[[#This Row],[bgg_name]])</f>
        <v>1</v>
      </c>
      <c r="G91" s="1" t="s">
        <v>2471</v>
      </c>
      <c r="H91" s="1" t="b">
        <f>_xlfn.XLOOKUP(OWNED[[#This Row],[bgg_id]],library_data[bgg_id],library_data[mana_meeple_category])=OWNED[[#This Row],[category]]</f>
        <v>1</v>
      </c>
      <c r="I91" s="1">
        <f>COUNTIF(nzdesgn[NAME],OWNED[[#This Row],[bgg_name]])</f>
        <v>0</v>
      </c>
    </row>
    <row r="92" spans="1:9" x14ac:dyDescent="0.25">
      <c r="A92" s="1" t="s">
        <v>389</v>
      </c>
      <c r="B92" s="1">
        <v>295374</v>
      </c>
      <c r="C92" s="1"/>
      <c r="D92" s="1">
        <f>COUNTIF(OWNED[bgg_id],OWNED[[#This Row],[bgg_id]])</f>
        <v>1</v>
      </c>
      <c r="E92" s="1" t="str">
        <f>_xlfn.XLOOKUP(OWNED[[#This Row],[bgg_id]],bgg_cache[id],bgg_cache[title])</f>
        <v>Long Shot: The Dice Game</v>
      </c>
      <c r="F92" s="1" t="b">
        <f>EXACT(OWNED[[#This Row],[name]],OWNED[[#This Row],[bgg_name]])</f>
        <v>1</v>
      </c>
      <c r="G92" s="1" t="s">
        <v>2473</v>
      </c>
      <c r="H92" s="1" t="b">
        <f>_xlfn.XLOOKUP(OWNED[[#This Row],[bgg_id]],library_data[bgg_id],library_data[mana_meeple_category])=OWNED[[#This Row],[category]]</f>
        <v>1</v>
      </c>
      <c r="I92" s="1">
        <f>COUNTIF(nzdesgn[NAME],OWNED[[#This Row],[bgg_name]])</f>
        <v>0</v>
      </c>
    </row>
    <row r="93" spans="1:9" x14ac:dyDescent="0.25">
      <c r="A93" s="1" t="s">
        <v>118</v>
      </c>
      <c r="B93" s="1">
        <v>312484</v>
      </c>
      <c r="C93" s="1">
        <v>1</v>
      </c>
      <c r="D93" s="1">
        <f>COUNTIF(OWNED[bgg_id],OWNED[[#This Row],[bgg_id]])</f>
        <v>1</v>
      </c>
      <c r="E93" s="1" t="str">
        <f>_xlfn.XLOOKUP(OWNED[[#This Row],[bgg_id]],bgg_cache[id],bgg_cache[title])</f>
        <v>Lost Ruins of Arnak</v>
      </c>
      <c r="F93" s="1" t="b">
        <f>EXACT(OWNED[[#This Row],[name]],OWNED[[#This Row],[bgg_name]])</f>
        <v>1</v>
      </c>
      <c r="G93" s="1"/>
      <c r="H93" s="1" t="e">
        <f>_xlfn.XLOOKUP(OWNED[[#This Row],[bgg_id]],library_data[bgg_id],library_data[mana_meeple_category])=OWNED[[#This Row],[category]]</f>
        <v>#N/A</v>
      </c>
      <c r="I93" s="1">
        <f>COUNTIF(nzdesgn[NAME],OWNED[[#This Row],[bgg_name]])</f>
        <v>0</v>
      </c>
    </row>
    <row r="94" spans="1:9" x14ac:dyDescent="0.25">
      <c r="A94" s="1" t="s">
        <v>76</v>
      </c>
      <c r="B94" s="1">
        <v>277085</v>
      </c>
      <c r="C94" s="1"/>
      <c r="D94" s="1">
        <f>COUNTIF(OWNED[bgg_id],OWNED[[#This Row],[bgg_id]])</f>
        <v>1</v>
      </c>
      <c r="E94" s="1" t="str">
        <f>_xlfn.XLOOKUP(OWNED[[#This Row],[bgg_id]],bgg_cache[id],bgg_cache[title])</f>
        <v>Love Letter</v>
      </c>
      <c r="F94" s="1" t="b">
        <f>EXACT(OWNED[[#This Row],[name]],OWNED[[#This Row],[bgg_name]])</f>
        <v>1</v>
      </c>
      <c r="G94" s="1" t="s">
        <v>2473</v>
      </c>
      <c r="H94" s="1" t="b">
        <f>_xlfn.XLOOKUP(OWNED[[#This Row],[bgg_id]],library_data[bgg_id],library_data[mana_meeple_category])=OWNED[[#This Row],[category]]</f>
        <v>1</v>
      </c>
      <c r="I94" s="1">
        <f>COUNTIF(nzdesgn[NAME],OWNED[[#This Row],[bgg_name]])</f>
        <v>0</v>
      </c>
    </row>
    <row r="95" spans="1:9" x14ac:dyDescent="0.25">
      <c r="A95" s="1" t="s">
        <v>256</v>
      </c>
      <c r="B95" s="1">
        <v>383452</v>
      </c>
      <c r="C95" s="1"/>
      <c r="D95" s="1">
        <f>COUNTIF(OWNED[bgg_id],OWNED[[#This Row],[bgg_id]])</f>
        <v>1</v>
      </c>
      <c r="E95" s="1" t="str">
        <f>_xlfn.XLOOKUP(OWNED[[#This Row],[bgg_id]],bgg_cache[id],bgg_cache[title])</f>
        <v>Lunar</v>
      </c>
      <c r="F95" s="1" t="b">
        <f>EXACT(OWNED[[#This Row],[name]],OWNED[[#This Row],[bgg_name]])</f>
        <v>1</v>
      </c>
      <c r="G95" s="1" t="s">
        <v>2471</v>
      </c>
      <c r="H95" s="1" t="b">
        <f>_xlfn.XLOOKUP(OWNED[[#This Row],[bgg_id]],library_data[bgg_id],library_data[mana_meeple_category])=OWNED[[#This Row],[category]]</f>
        <v>1</v>
      </c>
      <c r="I95" s="1">
        <f>COUNTIF(nzdesgn[NAME],OWNED[[#This Row],[bgg_name]])</f>
        <v>0</v>
      </c>
    </row>
    <row r="96" spans="1:9" x14ac:dyDescent="0.25">
      <c r="A96" t="s">
        <v>69</v>
      </c>
      <c r="B96" s="1">
        <v>96848</v>
      </c>
      <c r="C96" s="1"/>
      <c r="D96" s="1">
        <f>COUNTIF(OWNED[bgg_id],OWNED[[#This Row],[bgg_id]])</f>
        <v>1</v>
      </c>
      <c r="E96" s="1" t="str">
        <f>_xlfn.XLOOKUP(OWNED[[#This Row],[bgg_id]],bgg_cache[id],bgg_cache[title])</f>
        <v>Mage Knight Board Game</v>
      </c>
      <c r="F96" s="1" t="b">
        <f>EXACT(OWNED[[#This Row],[name]],OWNED[[#This Row],[bgg_name]])</f>
        <v>1</v>
      </c>
      <c r="G96" s="1" t="s">
        <v>2474</v>
      </c>
      <c r="H96" s="1" t="b">
        <f>_xlfn.XLOOKUP(OWNED[[#This Row],[bgg_id]],library_data[bgg_id],library_data[mana_meeple_category])=OWNED[[#This Row],[category]]</f>
        <v>1</v>
      </c>
      <c r="I96" s="1">
        <f>COUNTIF(nzdesgn[NAME],OWNED[[#This Row],[bgg_name]])</f>
        <v>0</v>
      </c>
    </row>
    <row r="97" spans="1:9" x14ac:dyDescent="0.25">
      <c r="A97" s="1" t="s">
        <v>126</v>
      </c>
      <c r="B97" s="1">
        <v>209778</v>
      </c>
      <c r="C97" s="1"/>
      <c r="D97" s="1">
        <f>COUNTIF(OWNED[bgg_id],OWNED[[#This Row],[bgg_id]])</f>
        <v>1</v>
      </c>
      <c r="E97" s="1" t="str">
        <f>_xlfn.XLOOKUP(OWNED[[#This Row],[bgg_id]],bgg_cache[id],bgg_cache[title])</f>
        <v>Magic Maze</v>
      </c>
      <c r="F97" s="1" t="b">
        <f>EXACT(OWNED[[#This Row],[name]],OWNED[[#This Row],[bgg_name]])</f>
        <v>1</v>
      </c>
      <c r="G97" t="s">
        <v>2470</v>
      </c>
      <c r="H97" t="b">
        <f>_xlfn.XLOOKUP(OWNED[[#This Row],[bgg_id]],library_data[bgg_id],library_data[mana_meeple_category])=OWNED[[#This Row],[category]]</f>
        <v>1</v>
      </c>
      <c r="I97" s="1">
        <f>COUNTIF(nzdesgn[NAME],OWNED[[#This Row],[bgg_name]])</f>
        <v>0</v>
      </c>
    </row>
    <row r="98" spans="1:9" x14ac:dyDescent="0.25">
      <c r="A98" s="1" t="s">
        <v>3966</v>
      </c>
      <c r="B98" s="1">
        <v>167698</v>
      </c>
      <c r="C98" s="1"/>
      <c r="D98" s="1">
        <f>COUNTIF(OWNED[bgg_id],OWNED[[#This Row],[bgg_id]])</f>
        <v>1</v>
      </c>
      <c r="E98" s="1" t="str">
        <f>_xlfn.XLOOKUP(OWNED[[#This Row],[bgg_id]],bgg_cache[id],bgg_cache[title])</f>
        <v>Magic: The Gathering – Arena of the Planeswalkers</v>
      </c>
      <c r="F98" s="1" t="b">
        <f>EXACT(OWNED[[#This Row],[name]],OWNED[[#This Row],[bgg_name]])</f>
        <v>1</v>
      </c>
      <c r="G98" s="1" t="s">
        <v>2474</v>
      </c>
      <c r="H98" s="1" t="b">
        <f>_xlfn.XLOOKUP(OWNED[[#This Row],[bgg_id]],library_data[bgg_id],library_data[mana_meeple_category])=OWNED[[#This Row],[category]]</f>
        <v>1</v>
      </c>
      <c r="I98" s="1">
        <f>COUNTIF(nzdesgn[NAME],OWNED[[#This Row],[bgg_name]])</f>
        <v>0</v>
      </c>
    </row>
    <row r="99" spans="1:9" x14ac:dyDescent="0.25">
      <c r="A99" s="1" t="s">
        <v>89</v>
      </c>
      <c r="B99" s="1">
        <v>152471</v>
      </c>
      <c r="C99" s="1"/>
      <c r="D99" s="1">
        <f>COUNTIF(OWNED[bgg_id],OWNED[[#This Row],[bgg_id]])</f>
        <v>1</v>
      </c>
      <c r="E99" s="1" t="str">
        <f>_xlfn.XLOOKUP(OWNED[[#This Row],[bgg_id]],bgg_cache[id],bgg_cache[title])</f>
        <v>Manifest</v>
      </c>
      <c r="F99" s="1" t="b">
        <f>EXACT(OWNED[[#This Row],[name]],OWNED[[#This Row],[bgg_name]])</f>
        <v>1</v>
      </c>
      <c r="G99" s="1" t="s">
        <v>2474</v>
      </c>
      <c r="H99" s="1" t="b">
        <f>_xlfn.XLOOKUP(OWNED[[#This Row],[bgg_id]],library_data[bgg_id],library_data[mana_meeple_category])=OWNED[[#This Row],[category]]</f>
        <v>1</v>
      </c>
      <c r="I99" s="1">
        <f>COUNTIF(nzdesgn[NAME],OWNED[[#This Row],[bgg_name]])</f>
        <v>1</v>
      </c>
    </row>
    <row r="100" spans="1:9" x14ac:dyDescent="0.25">
      <c r="A100" s="1" t="s">
        <v>23</v>
      </c>
      <c r="B100" s="1">
        <v>205059</v>
      </c>
      <c r="C100" s="1"/>
      <c r="D100" s="1">
        <f>COUNTIF(OWNED[bgg_id],OWNED[[#This Row],[bgg_id]])</f>
        <v>1</v>
      </c>
      <c r="E100" s="1" t="str">
        <f>_xlfn.XLOOKUP(OWNED[[#This Row],[bgg_id]],bgg_cache[id],bgg_cache[title])</f>
        <v>Mansions of Madness: Second Edition</v>
      </c>
      <c r="F100" s="1" t="b">
        <f>EXACT(OWNED[[#This Row],[name]],OWNED[[#This Row],[bgg_name]])</f>
        <v>1</v>
      </c>
      <c r="G100" s="1" t="s">
        <v>2470</v>
      </c>
      <c r="H100" s="1" t="b">
        <f>_xlfn.XLOOKUP(OWNED[[#This Row],[bgg_id]],library_data[bgg_id],library_data[mana_meeple_category])=OWNED[[#This Row],[category]]</f>
        <v>1</v>
      </c>
      <c r="I100" s="1">
        <f>COUNTIF(nzdesgn[NAME],OWNED[[#This Row],[bgg_name]])</f>
        <v>0</v>
      </c>
    </row>
    <row r="101" spans="1:9" x14ac:dyDescent="0.25">
      <c r="A101" s="1" t="s">
        <v>626</v>
      </c>
      <c r="B101" s="1">
        <v>314491</v>
      </c>
      <c r="C101" s="1"/>
      <c r="D101" s="1">
        <f>COUNTIF(OWNED[bgg_id],OWNED[[#This Row],[bgg_id]])</f>
        <v>1</v>
      </c>
      <c r="E101" s="1" t="str">
        <f>_xlfn.XLOOKUP(OWNED[[#This Row],[bgg_id]],bgg_cache[id],bgg_cache[title])</f>
        <v>Meadow</v>
      </c>
      <c r="F101" s="1" t="b">
        <f>EXACT(OWNED[[#This Row],[name]],OWNED[[#This Row],[bgg_name]])</f>
        <v>1</v>
      </c>
      <c r="G101" t="s">
        <v>2471</v>
      </c>
      <c r="H101" t="b">
        <f>_xlfn.XLOOKUP(OWNED[[#This Row],[bgg_id]],library_data[bgg_id],library_data[mana_meeple_category])=OWNED[[#This Row],[category]]</f>
        <v>1</v>
      </c>
      <c r="I101" s="1">
        <f>COUNTIF(nzdesgn[NAME],OWNED[[#This Row],[bgg_name]])</f>
        <v>0</v>
      </c>
    </row>
    <row r="102" spans="1:9" x14ac:dyDescent="0.25">
      <c r="A102" s="1" t="s">
        <v>211</v>
      </c>
      <c r="B102" s="1">
        <v>193214</v>
      </c>
      <c r="C102" s="1"/>
      <c r="D102" s="1">
        <f>COUNTIF(OWNED[bgg_id],OWNED[[#This Row],[bgg_id]])</f>
        <v>1</v>
      </c>
      <c r="E102" s="1" t="str">
        <f>_xlfn.XLOOKUP(OWNED[[#This Row],[bgg_id]],bgg_cache[id],bgg_cache[title])</f>
        <v>Meeple Circus</v>
      </c>
      <c r="F102" s="1" t="b">
        <f>EXACT(OWNED[[#This Row],[name]],OWNED[[#This Row],[bgg_name]])</f>
        <v>1</v>
      </c>
      <c r="G102" t="s">
        <v>2472</v>
      </c>
      <c r="H102" t="b">
        <f>_xlfn.XLOOKUP(OWNED[[#This Row],[bgg_id]],library_data[bgg_id],library_data[mana_meeple_category])=OWNED[[#This Row],[category]]</f>
        <v>1</v>
      </c>
      <c r="I102" s="1">
        <f>COUNTIF(nzdesgn[NAME],OWNED[[#This Row],[bgg_name]])</f>
        <v>0</v>
      </c>
    </row>
    <row r="103" spans="1:9" x14ac:dyDescent="0.25">
      <c r="A103" t="s">
        <v>70</v>
      </c>
      <c r="B103" s="1">
        <v>94486</v>
      </c>
      <c r="C103" s="1"/>
      <c r="D103" s="1">
        <f>COUNTIF(OWNED[bgg_id],OWNED[[#This Row],[bgg_id]])</f>
        <v>1</v>
      </c>
      <c r="E103" s="1" t="str">
        <f>_xlfn.XLOOKUP(OWNED[[#This Row],[bgg_id]],bgg_cache[id],bgg_cache[title])</f>
        <v>Mermaid Island</v>
      </c>
      <c r="F103" s="1" t="b">
        <f>EXACT(OWNED[[#This Row],[name]],OWNED[[#This Row],[bgg_name]])</f>
        <v>1</v>
      </c>
      <c r="G103" s="1" t="s">
        <v>2472</v>
      </c>
      <c r="H103" s="1" t="b">
        <f>_xlfn.XLOOKUP(OWNED[[#This Row],[bgg_id]],library_data[bgg_id],library_data[mana_meeple_category])=OWNED[[#This Row],[category]]</f>
        <v>1</v>
      </c>
      <c r="I103" s="1">
        <f>COUNTIF(nzdesgn[NAME],OWNED[[#This Row],[bgg_name]])</f>
        <v>0</v>
      </c>
    </row>
    <row r="104" spans="1:9" x14ac:dyDescent="0.25">
      <c r="A104" t="s">
        <v>63</v>
      </c>
      <c r="B104" s="1">
        <v>269603</v>
      </c>
      <c r="C104" s="1"/>
      <c r="D104" s="1">
        <f>COUNTIF(OWNED[bgg_id],OWNED[[#This Row],[bgg_id]])</f>
        <v>1</v>
      </c>
      <c r="E104" s="1" t="str">
        <f>_xlfn.XLOOKUP(OWNED[[#This Row],[bgg_id]],bgg_cache[id],bgg_cache[title])</f>
        <v>Minecraft: Builders &amp; Biomes</v>
      </c>
      <c r="F104" s="1" t="b">
        <f>EXACT(OWNED[[#This Row],[name]],OWNED[[#This Row],[bgg_name]])</f>
        <v>1</v>
      </c>
      <c r="G104" s="1" t="s">
        <v>2471</v>
      </c>
      <c r="H104" s="1" t="b">
        <f>_xlfn.XLOOKUP(OWNED[[#This Row],[bgg_id]],library_data[bgg_id],library_data[mana_meeple_category])=OWNED[[#This Row],[category]]</f>
        <v>1</v>
      </c>
      <c r="I104" s="1">
        <f>COUNTIF(nzdesgn[NAME],OWNED[[#This Row],[bgg_name]])</f>
        <v>0</v>
      </c>
    </row>
    <row r="105" spans="1:9" x14ac:dyDescent="0.25">
      <c r="A105" s="1" t="s">
        <v>51</v>
      </c>
      <c r="B105" s="1">
        <v>118</v>
      </c>
      <c r="C105" s="1"/>
      <c r="D105" s="1">
        <f>COUNTIF(OWNED[bgg_id],OWNED[[#This Row],[bgg_id]])</f>
        <v>1</v>
      </c>
      <c r="E105" s="1" t="str">
        <f>_xlfn.XLOOKUP(OWNED[[#This Row],[bgg_id]],bgg_cache[id],bgg_cache[title])</f>
        <v>Modern Art</v>
      </c>
      <c r="F105" s="1" t="b">
        <f>EXACT(OWNED[[#This Row],[name]],OWNED[[#This Row],[bgg_name]])</f>
        <v>1</v>
      </c>
      <c r="G105" s="1" t="s">
        <v>2471</v>
      </c>
      <c r="H105" s="1" t="b">
        <f>_xlfn.XLOOKUP(OWNED[[#This Row],[bgg_id]],library_data[bgg_id],library_data[mana_meeple_category])=OWNED[[#This Row],[category]]</f>
        <v>1</v>
      </c>
      <c r="I105" s="1">
        <f>COUNTIF(nzdesgn[NAME],OWNED[[#This Row],[bgg_name]])</f>
        <v>0</v>
      </c>
    </row>
    <row r="106" spans="1:9" x14ac:dyDescent="0.25">
      <c r="A106" s="1" t="s">
        <v>200</v>
      </c>
      <c r="B106" s="1">
        <v>156546</v>
      </c>
      <c r="C106" s="1">
        <v>1</v>
      </c>
      <c r="D106" s="1">
        <f>COUNTIF(OWNED[bgg_id],OWNED[[#This Row],[bgg_id]])</f>
        <v>1</v>
      </c>
      <c r="E106" s="1" t="str">
        <f>_xlfn.XLOOKUP(OWNED[[#This Row],[bgg_id]],bgg_cache[id],bgg_cache[title])</f>
        <v>Monikers</v>
      </c>
      <c r="F106" s="1" t="b">
        <f>EXACT(OWNED[[#This Row],[name]],OWNED[[#This Row],[bgg_name]])</f>
        <v>1</v>
      </c>
      <c r="G106" s="1"/>
      <c r="H106" s="1" t="e">
        <f>_xlfn.XLOOKUP(OWNED[[#This Row],[bgg_id]],library_data[bgg_id],library_data[mana_meeple_category])=OWNED[[#This Row],[category]]</f>
        <v>#N/A</v>
      </c>
      <c r="I106" s="1">
        <f>COUNTIF(nzdesgn[NAME],OWNED[[#This Row],[bgg_name]])</f>
        <v>0</v>
      </c>
    </row>
    <row r="107" spans="1:9" x14ac:dyDescent="0.25">
      <c r="A107" s="1" t="s">
        <v>396</v>
      </c>
      <c r="B107" s="1">
        <v>295486</v>
      </c>
      <c r="C107" s="1"/>
      <c r="D107" s="1">
        <f>COUNTIF(OWNED[bgg_id],OWNED[[#This Row],[bgg_id]])</f>
        <v>1</v>
      </c>
      <c r="E107" s="1" t="str">
        <f>_xlfn.XLOOKUP(OWNED[[#This Row],[bgg_id]],bgg_cache[id],bgg_cache[title])</f>
        <v>My City</v>
      </c>
      <c r="F107" s="1" t="b">
        <f>EXACT(OWNED[[#This Row],[name]],OWNED[[#This Row],[bgg_name]])</f>
        <v>1</v>
      </c>
      <c r="G107" t="s">
        <v>2471</v>
      </c>
      <c r="H107" t="b">
        <f>_xlfn.XLOOKUP(OWNED[[#This Row],[bgg_id]],library_data[bgg_id],library_data[mana_meeple_category])=OWNED[[#This Row],[category]]</f>
        <v>1</v>
      </c>
      <c r="I107" s="1">
        <f>COUNTIF(nzdesgn[NAME],OWNED[[#This Row],[bgg_name]])</f>
        <v>0</v>
      </c>
    </row>
    <row r="108" spans="1:9" x14ac:dyDescent="0.25">
      <c r="A108" t="s">
        <v>62</v>
      </c>
      <c r="B108" s="1">
        <v>171419</v>
      </c>
      <c r="C108" s="1"/>
      <c r="D108" s="1">
        <f>COUNTIF(OWNED[bgg_id],OWNED[[#This Row],[bgg_id]])</f>
        <v>1</v>
      </c>
      <c r="E108" s="1" t="str">
        <f>_xlfn.XLOOKUP(OWNED[[#This Row],[bgg_id]],bgg_cache[id],bgg_cache[title])</f>
        <v>My First Bohnanza</v>
      </c>
      <c r="F108" s="1" t="b">
        <f>EXACT(OWNED[[#This Row],[name]],OWNED[[#This Row],[bgg_name]])</f>
        <v>1</v>
      </c>
      <c r="G108" s="1" t="s">
        <v>2472</v>
      </c>
      <c r="H108" s="1" t="b">
        <f>_xlfn.XLOOKUP(OWNED[[#This Row],[bgg_id]],library_data[bgg_id],library_data[mana_meeple_category])=OWNED[[#This Row],[category]]</f>
        <v>1</v>
      </c>
      <c r="I108" s="1">
        <f>COUNTIF(nzdesgn[NAME],OWNED[[#This Row],[bgg_name]])</f>
        <v>0</v>
      </c>
    </row>
    <row r="109" spans="1:9" x14ac:dyDescent="0.25">
      <c r="A109" s="1" t="s">
        <v>15</v>
      </c>
      <c r="B109" s="1">
        <v>267314</v>
      </c>
      <c r="C109" s="1"/>
      <c r="D109" s="1">
        <f>COUNTIF(OWNED[bgg_id],OWNED[[#This Row],[bgg_id]])</f>
        <v>1</v>
      </c>
      <c r="E109" s="1" t="str">
        <f>_xlfn.XLOOKUP(OWNED[[#This Row],[bgg_id]],bgg_cache[id],bgg_cache[title])</f>
        <v>My First Castle Panic</v>
      </c>
      <c r="F109" s="1" t="b">
        <f>EXACT(OWNED[[#This Row],[name]],OWNED[[#This Row],[bgg_name]])</f>
        <v>1</v>
      </c>
      <c r="G109" s="1" t="s">
        <v>2472</v>
      </c>
      <c r="H109" s="1" t="b">
        <f>_xlfn.XLOOKUP(OWNED[[#This Row],[bgg_id]],library_data[bgg_id],library_data[mana_meeple_category])=OWNED[[#This Row],[category]]</f>
        <v>1</v>
      </c>
      <c r="I109" s="1">
        <f>COUNTIF(nzdesgn[NAME],OWNED[[#This Row],[bgg_name]])</f>
        <v>0</v>
      </c>
    </row>
    <row r="110" spans="1:9" x14ac:dyDescent="0.25">
      <c r="A110" t="s">
        <v>64</v>
      </c>
      <c r="B110" s="1">
        <v>191004</v>
      </c>
      <c r="C110" s="1"/>
      <c r="D110" s="1">
        <f>COUNTIF(OWNED[bgg_id],OWNED[[#This Row],[bgg_id]])</f>
        <v>1</v>
      </c>
      <c r="E110" s="1" t="str">
        <f>_xlfn.XLOOKUP(OWNED[[#This Row],[bgg_id]],bgg_cache[id],bgg_cache[title])</f>
        <v>My First Stone Age</v>
      </c>
      <c r="F110" s="1" t="b">
        <f>EXACT(OWNED[[#This Row],[name]],OWNED[[#This Row],[bgg_name]])</f>
        <v>1</v>
      </c>
      <c r="G110" s="1" t="s">
        <v>2472</v>
      </c>
      <c r="H110" s="1" t="b">
        <f>_xlfn.XLOOKUP(OWNED[[#This Row],[bgg_id]],library_data[bgg_id],library_data[mana_meeple_category])=OWNED[[#This Row],[category]]</f>
        <v>1</v>
      </c>
      <c r="I110" s="1">
        <f>COUNTIF(nzdesgn[NAME],OWNED[[#This Row],[bgg_name]])</f>
        <v>0</v>
      </c>
    </row>
    <row r="111" spans="1:9" x14ac:dyDescent="0.25">
      <c r="A111" t="s">
        <v>67</v>
      </c>
      <c r="B111" s="1">
        <v>301767</v>
      </c>
      <c r="C111" s="1"/>
      <c r="D111" s="1">
        <f>COUNTIF(OWNED[bgg_id],OWNED[[#This Row],[bgg_id]])</f>
        <v>1</v>
      </c>
      <c r="E111" s="1" t="str">
        <f>_xlfn.XLOOKUP(OWNED[[#This Row],[bgg_id]],bgg_cache[id],bgg_cache[title])</f>
        <v>Mysterium Park</v>
      </c>
      <c r="F111" s="1" t="b">
        <f>EXACT(OWNED[[#This Row],[name]],OWNED[[#This Row],[bgg_name]])</f>
        <v>1</v>
      </c>
      <c r="G111" s="1" t="s">
        <v>2470</v>
      </c>
      <c r="H111" s="1" t="b">
        <f>_xlfn.XLOOKUP(OWNED[[#This Row],[bgg_id]],library_data[bgg_id],library_data[mana_meeple_category])=OWNED[[#This Row],[category]]</f>
        <v>1</v>
      </c>
      <c r="I111" s="1">
        <f>COUNTIF(nzdesgn[NAME],OWNED[[#This Row],[bgg_name]])</f>
        <v>0</v>
      </c>
    </row>
    <row r="112" spans="1:9" x14ac:dyDescent="0.25">
      <c r="A112" s="1" t="s">
        <v>293</v>
      </c>
      <c r="B112" s="1">
        <v>167355</v>
      </c>
      <c r="C112" s="1"/>
      <c r="D112" s="1">
        <f>COUNTIF(OWNED[bgg_id],OWNED[[#This Row],[bgg_id]])</f>
        <v>1</v>
      </c>
      <c r="E112" s="1" t="str">
        <f>_xlfn.XLOOKUP(OWNED[[#This Row],[bgg_id]],bgg_cache[id],bgg_cache[title])</f>
        <v>Nemesis</v>
      </c>
      <c r="F112" s="1" t="b">
        <f>EXACT(OWNED[[#This Row],[name]],OWNED[[#This Row],[bgg_name]])</f>
        <v>1</v>
      </c>
      <c r="G112" s="1" t="s">
        <v>2470</v>
      </c>
      <c r="H112" s="1" t="b">
        <f>_xlfn.XLOOKUP(OWNED[[#This Row],[bgg_id]],library_data[bgg_id],library_data[mana_meeple_category])=OWNED[[#This Row],[category]]</f>
        <v>1</v>
      </c>
      <c r="I112" s="1">
        <f>COUNTIF(nzdesgn[NAME],OWNED[[#This Row],[bgg_name]])</f>
        <v>0</v>
      </c>
    </row>
    <row r="113" spans="1:9" x14ac:dyDescent="0.25">
      <c r="A113" s="1" t="s">
        <v>1501</v>
      </c>
      <c r="B113" s="1">
        <v>353545</v>
      </c>
      <c r="C113" s="1">
        <v>1</v>
      </c>
      <c r="D113" s="1">
        <f>COUNTIF(OWNED[bgg_id],OWNED[[#This Row],[bgg_id]])</f>
        <v>1</v>
      </c>
      <c r="E113" s="1" t="str">
        <f>_xlfn.XLOOKUP(OWNED[[#This Row],[bgg_id]],bgg_cache[id],bgg_cache[title])</f>
        <v>Next Station: London</v>
      </c>
      <c r="F113" s="1" t="b">
        <f>EXACT(OWNED[[#This Row],[name]],OWNED[[#This Row],[bgg_name]])</f>
        <v>1</v>
      </c>
      <c r="G113" s="1"/>
      <c r="H113" s="1" t="e">
        <f>_xlfn.XLOOKUP(OWNED[[#This Row],[bgg_id]],library_data[bgg_id],library_data[mana_meeple_category])=OWNED[[#This Row],[category]]</f>
        <v>#N/A</v>
      </c>
      <c r="I113" s="1">
        <f>COUNTIF(nzdesgn[NAME],OWNED[[#This Row],[bgg_name]])</f>
        <v>0</v>
      </c>
    </row>
    <row r="114" spans="1:9" x14ac:dyDescent="0.25">
      <c r="A114" s="1" t="s">
        <v>288</v>
      </c>
      <c r="B114" s="1">
        <v>285125</v>
      </c>
      <c r="C114" s="1"/>
      <c r="D114" s="1">
        <f>COUNTIF(OWNED[bgg_id],OWNED[[#This Row],[bgg_id]])</f>
        <v>1</v>
      </c>
      <c r="E114" s="1" t="str">
        <f>_xlfn.XLOOKUP(OWNED[[#This Row],[bgg_id]],bgg_cache[id],bgg_cache[title])</f>
        <v>Ni no Kuni II: The Board Game</v>
      </c>
      <c r="F114" s="1" t="b">
        <f>EXACT(OWNED[[#This Row],[name]],OWNED[[#This Row],[bgg_name]])</f>
        <v>1</v>
      </c>
      <c r="G114" s="1" t="s">
        <v>2474</v>
      </c>
      <c r="H114" s="1" t="b">
        <f>_xlfn.XLOOKUP(OWNED[[#This Row],[bgg_id]],library_data[bgg_id],library_data[mana_meeple_category])=OWNED[[#This Row],[category]]</f>
        <v>1</v>
      </c>
      <c r="I114" s="1">
        <f>COUNTIF(nzdesgn[NAME],OWNED[[#This Row],[bgg_name]])</f>
        <v>0</v>
      </c>
    </row>
    <row r="115" spans="1:9" x14ac:dyDescent="0.25">
      <c r="A115" t="s">
        <v>71</v>
      </c>
      <c r="B115" s="1">
        <v>299574</v>
      </c>
      <c r="C115" s="1"/>
      <c r="D115" s="1">
        <f>COUNTIF(OWNED[bgg_id],OWNED[[#This Row],[bgg_id]])</f>
        <v>1</v>
      </c>
      <c r="E115" s="1" t="str">
        <f>_xlfn.XLOOKUP(OWNED[[#This Row],[bgg_id]],bgg_cache[id],bgg_cache[title])</f>
        <v>No Mercy for Monsters</v>
      </c>
      <c r="F115" s="1" t="b">
        <f>EXACT(OWNED[[#This Row],[name]],OWNED[[#This Row],[bgg_name]])</f>
        <v>1</v>
      </c>
      <c r="G115" s="1" t="s">
        <v>2472</v>
      </c>
      <c r="H115" s="1" t="b">
        <f>_xlfn.XLOOKUP(OWNED[[#This Row],[bgg_id]],library_data[bgg_id],library_data[mana_meeple_category])=OWNED[[#This Row],[category]]</f>
        <v>1</v>
      </c>
      <c r="I115" s="1">
        <f>COUNTIF(nzdesgn[NAME],OWNED[[#This Row],[bgg_name]])</f>
        <v>0</v>
      </c>
    </row>
    <row r="116" spans="1:9" x14ac:dyDescent="0.25">
      <c r="A116" s="1" t="s">
        <v>127</v>
      </c>
      <c r="B116" s="1">
        <v>12942</v>
      </c>
      <c r="C116" s="1"/>
      <c r="D116" s="1">
        <f>COUNTIF(OWNED[bgg_id],OWNED[[#This Row],[bgg_id]])</f>
        <v>1</v>
      </c>
      <c r="E116" s="1" t="str">
        <f>_xlfn.XLOOKUP(OWNED[[#This Row],[bgg_id]],bgg_cache[id],bgg_cache[title])</f>
        <v>No Thanks!</v>
      </c>
      <c r="F116" s="1" t="b">
        <f>EXACT(OWNED[[#This Row],[name]],OWNED[[#This Row],[bgg_name]])</f>
        <v>1</v>
      </c>
      <c r="G116" s="1" t="s">
        <v>2473</v>
      </c>
      <c r="H116" s="1" t="b">
        <f>_xlfn.XLOOKUP(OWNED[[#This Row],[bgg_id]],library_data[bgg_id],library_data[mana_meeple_category])=OWNED[[#This Row],[category]]</f>
        <v>1</v>
      </c>
      <c r="I116" s="1">
        <f>COUNTIF(nzdesgn[NAME],OWNED[[#This Row],[bgg_name]])</f>
        <v>0</v>
      </c>
    </row>
    <row r="117" spans="1:9" x14ac:dyDescent="0.25">
      <c r="A117" s="1" t="s">
        <v>210</v>
      </c>
      <c r="B117" s="1">
        <v>383158</v>
      </c>
      <c r="C117" s="1"/>
      <c r="D117" s="1">
        <f>COUNTIF(OWNED[bgg_id],OWNED[[#This Row],[bgg_id]])</f>
        <v>1</v>
      </c>
      <c r="E117" s="1" t="str">
        <f>_xlfn.XLOOKUP(OWNED[[#This Row],[bgg_id]],bgg_cache[id],bgg_cache[title])</f>
        <v>Nunatak: Temple of Ice</v>
      </c>
      <c r="F117" s="1" t="b">
        <f>EXACT(OWNED[[#This Row],[name]],OWNED[[#This Row],[bgg_name]])</f>
        <v>1</v>
      </c>
      <c r="G117" s="1" t="s">
        <v>2471</v>
      </c>
      <c r="H117" s="1" t="b">
        <f>_xlfn.XLOOKUP(OWNED[[#This Row],[bgg_id]],library_data[bgg_id],library_data[mana_meeple_category])=OWNED[[#This Row],[category]]</f>
        <v>1</v>
      </c>
      <c r="I117" s="1">
        <f>COUNTIF(nzdesgn[NAME],OWNED[[#This Row],[bgg_name]])</f>
        <v>0</v>
      </c>
    </row>
    <row r="118" spans="1:9" x14ac:dyDescent="0.25">
      <c r="A118" s="1" t="s">
        <v>91</v>
      </c>
      <c r="B118" s="1">
        <v>147241</v>
      </c>
      <c r="C118" s="1"/>
      <c r="D118" s="1">
        <f>COUNTIF(OWNED[bgg_id],OWNED[[#This Row],[bgg_id]])</f>
        <v>1</v>
      </c>
      <c r="E118" s="1" t="str">
        <f>_xlfn.XLOOKUP(OWNED[[#This Row],[bgg_id]],bgg_cache[id],bgg_cache[title])</f>
        <v>Oaxaca: Crafts of a Culture</v>
      </c>
      <c r="F118" s="1" t="b">
        <f>EXACT(OWNED[[#This Row],[name]],OWNED[[#This Row],[bgg_name]])</f>
        <v>1</v>
      </c>
      <c r="G118" s="1" t="s">
        <v>2471</v>
      </c>
      <c r="H118" s="1" t="b">
        <f>_xlfn.XLOOKUP(OWNED[[#This Row],[bgg_id]],library_data[bgg_id],library_data[mana_meeple_category])=OWNED[[#This Row],[category]]</f>
        <v>1</v>
      </c>
      <c r="I118" s="1">
        <f>COUNTIF(nzdesgn[NAME],OWNED[[#This Row],[bgg_name]])</f>
        <v>0</v>
      </c>
    </row>
    <row r="119" spans="1:9" x14ac:dyDescent="0.25">
      <c r="A119" s="1" t="s">
        <v>617</v>
      </c>
      <c r="B119" s="1">
        <v>273477</v>
      </c>
      <c r="C119" s="1">
        <v>1</v>
      </c>
      <c r="D119" s="1">
        <f>COUNTIF(OWNED[bgg_id],OWNED[[#This Row],[bgg_id]])</f>
        <v>1</v>
      </c>
      <c r="E119" s="1" t="str">
        <f>_xlfn.XLOOKUP(OWNED[[#This Row],[bgg_id]],bgg_cache[id],bgg_cache[title])</f>
        <v>Obscurio</v>
      </c>
      <c r="F119" s="1" t="b">
        <f>EXACT(OWNED[[#This Row],[name]],OWNED[[#This Row],[bgg_name]])</f>
        <v>1</v>
      </c>
      <c r="G119" s="1" t="s">
        <v>2470</v>
      </c>
      <c r="H119" s="1" t="b">
        <f>_xlfn.XLOOKUP(OWNED[[#This Row],[bgg_id]],library_data[bgg_id],library_data[mana_meeple_category])=OWNED[[#This Row],[category]]</f>
        <v>1</v>
      </c>
      <c r="I119" s="1">
        <f>COUNTIF(nzdesgn[NAME],OWNED[[#This Row],[bgg_name]])</f>
        <v>0</v>
      </c>
    </row>
    <row r="120" spans="1:9" x14ac:dyDescent="0.25">
      <c r="A120" s="1" t="s">
        <v>2370</v>
      </c>
      <c r="B120" s="1">
        <v>251412</v>
      </c>
      <c r="C120" s="1"/>
      <c r="D120" s="1">
        <f>COUNTIF(OWNED[bgg_id],OWNED[[#This Row],[bgg_id]])</f>
        <v>1</v>
      </c>
      <c r="E120" s="1" t="str">
        <f>_xlfn.XLOOKUP(OWNED[[#This Row],[bgg_id]],bgg_cache[id],bgg_cache[title])</f>
        <v>On Tour</v>
      </c>
      <c r="F120" s="1" t="b">
        <f>EXACT(OWNED[[#This Row],[name]],OWNED[[#This Row],[bgg_name]])</f>
        <v>1</v>
      </c>
      <c r="G120" s="1" t="s">
        <v>2473</v>
      </c>
      <c r="H120" s="1" t="b">
        <f>_xlfn.XLOOKUP(OWNED[[#This Row],[bgg_id]],library_data[bgg_id],library_data[mana_meeple_category])=OWNED[[#This Row],[category]]</f>
        <v>1</v>
      </c>
      <c r="I120" s="1">
        <f>COUNTIF(nzdesgn[NAME],OWNED[[#This Row],[bgg_name]])</f>
        <v>0</v>
      </c>
    </row>
    <row r="121" spans="1:9" x14ac:dyDescent="0.25">
      <c r="A121" s="1" t="s">
        <v>197</v>
      </c>
      <c r="B121" s="1">
        <v>172931</v>
      </c>
      <c r="C121" s="1"/>
      <c r="D121" s="1">
        <f>COUNTIF(OWNED[bgg_id],OWNED[[#This Row],[bgg_id]])</f>
        <v>1</v>
      </c>
      <c r="E121" s="1" t="str">
        <f>_xlfn.XLOOKUP(OWNED[[#This Row],[bgg_id]],bgg_cache[id],bgg_cache[title])</f>
        <v>Outfoxed!</v>
      </c>
      <c r="F121" s="1" t="b">
        <f>EXACT(OWNED[[#This Row],[name]],OWNED[[#This Row],[bgg_name]])</f>
        <v>1</v>
      </c>
      <c r="G121" s="1" t="s">
        <v>2472</v>
      </c>
      <c r="H121" s="1" t="b">
        <f>_xlfn.XLOOKUP(OWNED[[#This Row],[bgg_id]],library_data[bgg_id],library_data[mana_meeple_category])=OWNED[[#This Row],[category]]</f>
        <v>1</v>
      </c>
      <c r="I121" s="1">
        <f>COUNTIF(nzdesgn[NAME],OWNED[[#This Row],[bgg_name]])</f>
        <v>0</v>
      </c>
    </row>
    <row r="122" spans="1:9" x14ac:dyDescent="0.25">
      <c r="A122" s="1" t="s">
        <v>90</v>
      </c>
      <c r="B122" s="1">
        <v>326264</v>
      </c>
      <c r="C122" s="1"/>
      <c r="D122" s="1">
        <f>COUNTIF(OWNED[bgg_id],OWNED[[#This Row],[bgg_id]])</f>
        <v>1</v>
      </c>
      <c r="E122" s="1" t="str">
        <f>_xlfn.XLOOKUP(OWNED[[#This Row],[bgg_id]],bgg_cache[id],bgg_cache[title])</f>
        <v>Ovation</v>
      </c>
      <c r="F122" s="1" t="b">
        <f>EXACT(OWNED[[#This Row],[name]],OWNED[[#This Row],[bgg_name]])</f>
        <v>1</v>
      </c>
      <c r="G122" s="1" t="s">
        <v>2471</v>
      </c>
      <c r="H122" s="1" t="b">
        <f>_xlfn.XLOOKUP(OWNED[[#This Row],[bgg_id]],library_data[bgg_id],library_data[mana_meeple_category])=OWNED[[#This Row],[category]]</f>
        <v>1</v>
      </c>
      <c r="I122" s="1">
        <f>COUNTIF(nzdesgn[NAME],OWNED[[#This Row],[bgg_name]])</f>
        <v>0</v>
      </c>
    </row>
    <row r="123" spans="1:9" x14ac:dyDescent="0.25">
      <c r="A123" s="1" t="s">
        <v>18</v>
      </c>
      <c r="B123" s="1">
        <v>266810</v>
      </c>
      <c r="C123" s="1"/>
      <c r="D123" s="1">
        <f>COUNTIF(OWNED[bgg_id],OWNED[[#This Row],[bgg_id]])</f>
        <v>1</v>
      </c>
      <c r="E123" s="1" t="str">
        <f>_xlfn.XLOOKUP(OWNED[[#This Row],[bgg_id]],bgg_cache[id],bgg_cache[title])</f>
        <v>Paladins of the West Kingdom</v>
      </c>
      <c r="F123" s="1" t="b">
        <f>EXACT(OWNED[[#This Row],[name]],OWNED[[#This Row],[bgg_name]])</f>
        <v>1</v>
      </c>
      <c r="G123" s="1" t="s">
        <v>2474</v>
      </c>
      <c r="H123" s="1" t="b">
        <f>_xlfn.XLOOKUP(OWNED[[#This Row],[bgg_id]],library_data[bgg_id],library_data[mana_meeple_category])=OWNED[[#This Row],[category]]</f>
        <v>1</v>
      </c>
      <c r="I123" s="1">
        <f>COUNTIF(nzdesgn[NAME],OWNED[[#This Row],[bgg_name]])</f>
        <v>1</v>
      </c>
    </row>
    <row r="124" spans="1:9" x14ac:dyDescent="0.25">
      <c r="A124" s="1" t="s">
        <v>98</v>
      </c>
      <c r="B124" s="1">
        <v>30549</v>
      </c>
      <c r="C124" s="1"/>
      <c r="D124" s="1">
        <f>COUNTIF(OWNED[bgg_id],OWNED[[#This Row],[bgg_id]])</f>
        <v>1</v>
      </c>
      <c r="E124" s="1" t="str">
        <f>_xlfn.XLOOKUP(OWNED[[#This Row],[bgg_id]],bgg_cache[id],bgg_cache[title])</f>
        <v>Pandemic</v>
      </c>
      <c r="F124" s="1" t="b">
        <f>EXACT(OWNED[[#This Row],[name]],OWNED[[#This Row],[bgg_name]])</f>
        <v>1</v>
      </c>
      <c r="G124" s="1" t="s">
        <v>2470</v>
      </c>
      <c r="H124" s="1" t="b">
        <f>_xlfn.XLOOKUP(OWNED[[#This Row],[bgg_id]],library_data[bgg_id],library_data[mana_meeple_category])=OWNED[[#This Row],[category]]</f>
        <v>1</v>
      </c>
      <c r="I124" s="1">
        <f>COUNTIF(nzdesgn[NAME],OWNED[[#This Row],[bgg_name]])</f>
        <v>0</v>
      </c>
    </row>
    <row r="125" spans="1:9" x14ac:dyDescent="0.25">
      <c r="A125" s="1" t="s">
        <v>10</v>
      </c>
      <c r="B125" s="1">
        <v>163412</v>
      </c>
      <c r="C125" s="1"/>
      <c r="D125" s="1">
        <f>COUNTIF(OWNED[bgg_id],OWNED[[#This Row],[bgg_id]])</f>
        <v>1</v>
      </c>
      <c r="E125" s="1" t="str">
        <f>_xlfn.XLOOKUP(OWNED[[#This Row],[bgg_id]],bgg_cache[id],bgg_cache[title])</f>
        <v>Patchwork</v>
      </c>
      <c r="F125" s="1" t="b">
        <f>EXACT(OWNED[[#This Row],[name]],OWNED[[#This Row],[bgg_name]])</f>
        <v>1</v>
      </c>
      <c r="G125" s="1" t="s">
        <v>2471</v>
      </c>
      <c r="H125" s="1" t="b">
        <f>_xlfn.XLOOKUP(OWNED[[#This Row],[bgg_id]],library_data[bgg_id],library_data[mana_meeple_category])=OWNED[[#This Row],[category]]</f>
        <v>1</v>
      </c>
      <c r="I125" s="1">
        <f>COUNTIF(nzdesgn[NAME],OWNED[[#This Row],[bgg_name]])</f>
        <v>0</v>
      </c>
    </row>
    <row r="126" spans="1:9" x14ac:dyDescent="0.25">
      <c r="A126" s="1" t="str">
        <f>_xlfn.XLOOKUP(OWNED[[#This Row],[bgg_id]],bgg_cache[id],bgg_cache[title])</f>
        <v>Pictionary Air</v>
      </c>
      <c r="B126" s="1">
        <v>272889</v>
      </c>
      <c r="C126" s="1"/>
      <c r="D126" s="1">
        <f>COUNTIF(OWNED[bgg_id],OWNED[[#This Row],[bgg_id]])</f>
        <v>1</v>
      </c>
      <c r="E126" s="1" t="str">
        <f>_xlfn.XLOOKUP(OWNED[[#This Row],[bgg_id]],bgg_cache[id],bgg_cache[title])</f>
        <v>Pictionary Air</v>
      </c>
      <c r="F126" s="1" t="b">
        <f>EXACT(OWNED[[#This Row],[name]],OWNED[[#This Row],[bgg_name]])</f>
        <v>1</v>
      </c>
      <c r="G126" s="1" t="s">
        <v>2473</v>
      </c>
      <c r="H126" s="1" t="b">
        <f>_xlfn.XLOOKUP(OWNED[[#This Row],[bgg_id]],library_data[bgg_id],library_data[mana_meeple_category])=OWNED[[#This Row],[category]]</f>
        <v>1</v>
      </c>
      <c r="I126" s="1">
        <f>COUNTIF(nzdesgn[NAME],OWNED[[#This Row],[bgg_name]])</f>
        <v>0</v>
      </c>
    </row>
    <row r="127" spans="1:9" x14ac:dyDescent="0.25">
      <c r="A127" s="1" t="s">
        <v>196</v>
      </c>
      <c r="B127" s="1">
        <v>365104</v>
      </c>
      <c r="C127" s="1"/>
      <c r="D127" s="1">
        <f>COUNTIF(OWNED[bgg_id],OWNED[[#This Row],[bgg_id]])</f>
        <v>1</v>
      </c>
      <c r="E127" s="1" t="str">
        <f>_xlfn.XLOOKUP(OWNED[[#This Row],[bgg_id]],bgg_cache[id],bgg_cache[title])</f>
        <v>Planted: A Game of Nature &amp; Nurture</v>
      </c>
      <c r="F127" s="1" t="b">
        <f>EXACT(OWNED[[#This Row],[name]],OWNED[[#This Row],[bgg_name]])</f>
        <v>1</v>
      </c>
      <c r="G127" s="1" t="s">
        <v>2471</v>
      </c>
      <c r="H127" s="1" t="b">
        <f>_xlfn.XLOOKUP(OWNED[[#This Row],[bgg_id]],library_data[bgg_id],library_data[mana_meeple_category])=OWNED[[#This Row],[category]]</f>
        <v>1</v>
      </c>
      <c r="I127" s="1">
        <f>COUNTIF(nzdesgn[NAME],OWNED[[#This Row],[bgg_name]])</f>
        <v>0</v>
      </c>
    </row>
    <row r="128" spans="1:9" x14ac:dyDescent="0.25">
      <c r="A128" s="1" t="s">
        <v>105</v>
      </c>
      <c r="B128" s="1">
        <v>274960</v>
      </c>
      <c r="C128" s="1"/>
      <c r="D128" s="1">
        <f>COUNTIF(OWNED[bgg_id],OWNED[[#This Row],[bgg_id]])</f>
        <v>1</v>
      </c>
      <c r="E128" s="1" t="str">
        <f>_xlfn.XLOOKUP(OWNED[[#This Row],[bgg_id]],bgg_cache[id],bgg_cache[title])</f>
        <v>Point Salad</v>
      </c>
      <c r="F128" s="1" t="b">
        <f>EXACT(OWNED[[#This Row],[name]],OWNED[[#This Row],[bgg_name]])</f>
        <v>1</v>
      </c>
      <c r="G128" s="1" t="s">
        <v>2473</v>
      </c>
      <c r="H128" s="1" t="b">
        <f>_xlfn.XLOOKUP(OWNED[[#This Row],[bgg_id]],library_data[bgg_id],library_data[mana_meeple_category])=OWNED[[#This Row],[category]]</f>
        <v>1</v>
      </c>
      <c r="I128" s="1">
        <f>COUNTIF(nzdesgn[NAME],OWNED[[#This Row],[bgg_name]])</f>
        <v>0</v>
      </c>
    </row>
    <row r="129" spans="1:9" x14ac:dyDescent="0.25">
      <c r="A129" s="1" t="s">
        <v>36</v>
      </c>
      <c r="B129" s="1">
        <v>2651</v>
      </c>
      <c r="C129" s="1"/>
      <c r="D129" s="1">
        <f>COUNTIF(OWNED[bgg_id],OWNED[[#This Row],[bgg_id]])</f>
        <v>1</v>
      </c>
      <c r="E129" s="1" t="str">
        <f>_xlfn.XLOOKUP(OWNED[[#This Row],[bgg_id]],bgg_cache[id],bgg_cache[title])</f>
        <v>Power Grid</v>
      </c>
      <c r="F129" s="1" t="b">
        <f>EXACT(OWNED[[#This Row],[name]],OWNED[[#This Row],[bgg_name]])</f>
        <v>1</v>
      </c>
      <c r="G129" s="1" t="s">
        <v>2474</v>
      </c>
      <c r="H129" s="1" t="b">
        <f>_xlfn.XLOOKUP(OWNED[[#This Row],[bgg_id]],library_data[bgg_id],library_data[mana_meeple_category])=OWNED[[#This Row],[category]]</f>
        <v>1</v>
      </c>
      <c r="I129" s="1">
        <f>COUNTIF(nzdesgn[NAME],OWNED[[#This Row],[bgg_name]])</f>
        <v>0</v>
      </c>
    </row>
    <row r="130" spans="1:9" x14ac:dyDescent="0.25">
      <c r="A130" s="1" t="s">
        <v>5346</v>
      </c>
      <c r="B130" s="1">
        <v>367272</v>
      </c>
      <c r="C130" s="1">
        <v>1</v>
      </c>
      <c r="D130" s="1">
        <f>COUNTIF(OWNED[bgg_id],OWNED[[#This Row],[bgg_id]])</f>
        <v>1</v>
      </c>
      <c r="E130" s="1" t="e">
        <f>_xlfn.XLOOKUP(OWNED[[#This Row],[bgg_id]],bgg_cache[id],bgg_cache[title])</f>
        <v>#N/A</v>
      </c>
      <c r="F130" s="1" t="e">
        <f>EXACT(OWNED[[#This Row],[name]],OWNED[[#This Row],[bgg_name]])</f>
        <v>#N/A</v>
      </c>
      <c r="G130" s="1"/>
      <c r="H130" s="1" t="e">
        <f>_xlfn.XLOOKUP(OWNED[[#This Row],[bgg_id]],library_data[bgg_id],library_data[mana_meeple_category])=OWNED[[#This Row],[category]]</f>
        <v>#N/A</v>
      </c>
      <c r="I130" s="1">
        <f>COUNTIF(nzdesgn[NAME],OWNED[[#This Row],[bgg_name]])</f>
        <v>0</v>
      </c>
    </row>
    <row r="131" spans="1:9" x14ac:dyDescent="0.25">
      <c r="A131" s="1" t="s">
        <v>258</v>
      </c>
      <c r="B131" s="1">
        <v>1419</v>
      </c>
      <c r="C131" s="1"/>
      <c r="D131" s="1">
        <f>COUNTIF(OWNED[bgg_id],OWNED[[#This Row],[bgg_id]])</f>
        <v>1</v>
      </c>
      <c r="E131" s="1" t="str">
        <f>_xlfn.XLOOKUP(OWNED[[#This Row],[bgg_id]],bgg_cache[id],bgg_cache[title])</f>
        <v>Pylos</v>
      </c>
      <c r="F131" s="1" t="b">
        <f>EXACT(OWNED[[#This Row],[name]],OWNED[[#This Row],[bgg_name]])</f>
        <v>1</v>
      </c>
      <c r="G131" s="1" t="s">
        <v>2474</v>
      </c>
      <c r="H131" s="1" t="b">
        <f>_xlfn.XLOOKUP(OWNED[[#This Row],[bgg_id]],library_data[bgg_id],library_data[mana_meeple_category])=OWNED[[#This Row],[category]]</f>
        <v>1</v>
      </c>
      <c r="I131" s="1">
        <f>COUNTIF(nzdesgn[NAME],OWNED[[#This Row],[bgg_name]])</f>
        <v>0</v>
      </c>
    </row>
    <row r="132" spans="1:9" x14ac:dyDescent="0.25">
      <c r="A132" s="1" t="s">
        <v>2</v>
      </c>
      <c r="B132" s="1">
        <v>254386</v>
      </c>
      <c r="C132" s="1"/>
      <c r="D132" s="1">
        <f>COUNTIF(OWNED[bgg_id],OWNED[[#This Row],[bgg_id]])</f>
        <v>1</v>
      </c>
      <c r="E132" s="1" t="str">
        <f>_xlfn.XLOOKUP(OWNED[[#This Row],[bgg_id]],bgg_cache[id],bgg_cache[title])</f>
        <v>Raccoon Tycoon</v>
      </c>
      <c r="F132" s="1" t="b">
        <f>EXACT(OWNED[[#This Row],[name]],OWNED[[#This Row],[bgg_name]])</f>
        <v>1</v>
      </c>
      <c r="G132" s="1" t="s">
        <v>2471</v>
      </c>
      <c r="H132" s="1" t="b">
        <f>_xlfn.XLOOKUP(OWNED[[#This Row],[bgg_id]],library_data[bgg_id],library_data[mana_meeple_category])=OWNED[[#This Row],[category]]</f>
        <v>1</v>
      </c>
      <c r="I132" s="1">
        <f>COUNTIF(nzdesgn[NAME],OWNED[[#This Row],[bgg_name]])</f>
        <v>0</v>
      </c>
    </row>
    <row r="133" spans="1:9" x14ac:dyDescent="0.25">
      <c r="A133" s="1" t="s">
        <v>273</v>
      </c>
      <c r="B133" s="1">
        <v>28143</v>
      </c>
      <c r="C133" s="1"/>
      <c r="D133" s="1">
        <f>COUNTIF(OWNED[bgg_id],OWNED[[#This Row],[bgg_id]])</f>
        <v>1</v>
      </c>
      <c r="E133" s="1" t="str">
        <f>_xlfn.XLOOKUP(OWNED[[#This Row],[bgg_id]],bgg_cache[id],bgg_cache[title])</f>
        <v>Race for the Galaxy</v>
      </c>
      <c r="F133" s="1" t="b">
        <f>EXACT(OWNED[[#This Row],[name]],OWNED[[#This Row],[bgg_name]])</f>
        <v>1</v>
      </c>
      <c r="G133" s="1" t="s">
        <v>2474</v>
      </c>
      <c r="H133" s="1" t="b">
        <f>_xlfn.XLOOKUP(OWNED[[#This Row],[bgg_id]],library_data[bgg_id],library_data[mana_meeple_category])=OWNED[[#This Row],[category]]</f>
        <v>1</v>
      </c>
      <c r="I133" s="1">
        <f>COUNTIF(nzdesgn[NAME],OWNED[[#This Row],[bgg_name]])</f>
        <v>0</v>
      </c>
    </row>
    <row r="134" spans="1:9" x14ac:dyDescent="0.25">
      <c r="A134" s="1" t="s">
        <v>82</v>
      </c>
      <c r="B134" s="1">
        <v>124918</v>
      </c>
      <c r="C134" s="1"/>
      <c r="D134" s="1">
        <f>COUNTIF(OWNED[bgg_id],OWNED[[#This Row],[bgg_id]])</f>
        <v>1</v>
      </c>
      <c r="E134" s="1" t="str">
        <f>_xlfn.XLOOKUP(OWNED[[#This Row],[bgg_id]],bgg_cache[id],bgg_cache[title])</f>
        <v>Raid the Pantry</v>
      </c>
      <c r="F134" s="1" t="b">
        <f>EXACT(OWNED[[#This Row],[name]],OWNED[[#This Row],[bgg_name]])</f>
        <v>1</v>
      </c>
      <c r="G134" s="1" t="s">
        <v>2471</v>
      </c>
      <c r="H134" s="1" t="b">
        <f>_xlfn.XLOOKUP(OWNED[[#This Row],[bgg_id]],library_data[bgg_id],library_data[mana_meeple_category])=OWNED[[#This Row],[category]]</f>
        <v>1</v>
      </c>
      <c r="I134" s="1">
        <f>COUNTIF(nzdesgn[NAME],OWNED[[#This Row],[bgg_name]])</f>
        <v>1</v>
      </c>
    </row>
    <row r="135" spans="1:9" x14ac:dyDescent="0.25">
      <c r="A135" s="1" t="s">
        <v>56</v>
      </c>
      <c r="B135" s="1">
        <v>351040</v>
      </c>
      <c r="C135" s="1"/>
      <c r="D135" s="1">
        <f>COUNTIF(OWNED[bgg_id],OWNED[[#This Row],[bgg_id]])</f>
        <v>1</v>
      </c>
      <c r="E135" s="1" t="str">
        <f>_xlfn.XLOOKUP(OWNED[[#This Row],[bgg_id]],bgg_cache[id],bgg_cache[title])</f>
        <v>Ready Set Bet</v>
      </c>
      <c r="F135" s="1" t="b">
        <f>EXACT(OWNED[[#This Row],[name]],OWNED[[#This Row],[bgg_name]])</f>
        <v>1</v>
      </c>
      <c r="G135" s="1" t="s">
        <v>2473</v>
      </c>
      <c r="H135" s="1" t="b">
        <f>_xlfn.XLOOKUP(OWNED[[#This Row],[bgg_id]],library_data[bgg_id],library_data[mana_meeple_category])=OWNED[[#This Row],[category]]</f>
        <v>1</v>
      </c>
      <c r="I135" s="1">
        <f>COUNTIF(nzdesgn[NAME],OWNED[[#This Row],[bgg_name]])</f>
        <v>0</v>
      </c>
    </row>
    <row r="136" spans="1:9" x14ac:dyDescent="0.25">
      <c r="A136" s="1" t="s">
        <v>477</v>
      </c>
      <c r="B136" s="1">
        <v>307002</v>
      </c>
      <c r="C136" s="1"/>
      <c r="D136" s="1">
        <f>COUNTIF(OWNED[bgg_id],OWNED[[#This Row],[bgg_id]])</f>
        <v>1</v>
      </c>
      <c r="E136" s="1" t="str">
        <f>_xlfn.XLOOKUP(OWNED[[#This Row],[bgg_id]],bgg_cache[id],bgg_cache[title])</f>
        <v>Regicide</v>
      </c>
      <c r="F136" s="1" t="b">
        <f>EXACT(OWNED[[#This Row],[name]],OWNED[[#This Row],[bgg_name]])</f>
        <v>1</v>
      </c>
      <c r="G136" s="1" t="s">
        <v>2470</v>
      </c>
      <c r="H136" s="1" t="b">
        <f>_xlfn.XLOOKUP(OWNED[[#This Row],[bgg_id]],library_data[bgg_id],library_data[mana_meeple_category])=OWNED[[#This Row],[category]]</f>
        <v>1</v>
      </c>
      <c r="I136" s="1">
        <f>COUNTIF(nzdesgn[NAME],OWNED[[#This Row],[bgg_name]])</f>
        <v>1</v>
      </c>
    </row>
    <row r="137" spans="1:9" x14ac:dyDescent="0.25">
      <c r="A137" s="1" t="s">
        <v>61</v>
      </c>
      <c r="B137" s="1">
        <v>91514</v>
      </c>
      <c r="C137" s="1"/>
      <c r="D137" s="1">
        <f>COUNTIF(OWNED[bgg_id],OWNED[[#This Row],[bgg_id]])</f>
        <v>1</v>
      </c>
      <c r="E137" s="1" t="str">
        <f>_xlfn.XLOOKUP(OWNED[[#This Row],[bgg_id]],bgg_cache[id],bgg_cache[title])</f>
        <v>Rhino Hero</v>
      </c>
      <c r="F137" s="1" t="b">
        <f>EXACT(OWNED[[#This Row],[name]],OWNED[[#This Row],[bgg_name]])</f>
        <v>1</v>
      </c>
      <c r="G137" s="1" t="s">
        <v>2472</v>
      </c>
      <c r="H137" s="1" t="b">
        <f>_xlfn.XLOOKUP(OWNED[[#This Row],[bgg_id]],library_data[bgg_id],library_data[mana_meeple_category])=OWNED[[#This Row],[category]]</f>
        <v>1</v>
      </c>
      <c r="I137" s="1">
        <f>COUNTIF(nzdesgn[NAME],OWNED[[#This Row],[bgg_name]])</f>
        <v>0</v>
      </c>
    </row>
    <row r="138" spans="1:9" x14ac:dyDescent="0.25">
      <c r="A138" s="1" t="s">
        <v>41</v>
      </c>
      <c r="B138" s="1">
        <v>66056</v>
      </c>
      <c r="C138" s="1"/>
      <c r="D138" s="1">
        <f>COUNTIF(OWNED[bgg_id],OWNED[[#This Row],[bgg_id]])</f>
        <v>1</v>
      </c>
      <c r="E138" s="1" t="str">
        <f>_xlfn.XLOOKUP(OWNED[[#This Row],[bgg_id]],bgg_cache[id],bgg_cache[title])</f>
        <v>Rivals for Catan</v>
      </c>
      <c r="F138" s="1" t="b">
        <f>EXACT(OWNED[[#This Row],[name]],OWNED[[#This Row],[bgg_name]])</f>
        <v>1</v>
      </c>
      <c r="G138" s="1" t="s">
        <v>2471</v>
      </c>
      <c r="H138" s="1" t="b">
        <f>_xlfn.XLOOKUP(OWNED[[#This Row],[bgg_id]],library_data[bgg_id],library_data[mana_meeple_category])=OWNED[[#This Row],[category]]</f>
        <v>1</v>
      </c>
      <c r="I138" s="1">
        <f>COUNTIF(nzdesgn[NAME],OWNED[[#This Row],[bgg_name]])</f>
        <v>0</v>
      </c>
    </row>
    <row r="139" spans="1:9" x14ac:dyDescent="0.25">
      <c r="A139" s="1" t="s">
        <v>13</v>
      </c>
      <c r="B139" s="1">
        <v>634</v>
      </c>
      <c r="C139" s="1"/>
      <c r="D139" s="1">
        <f>COUNTIF(OWNED[bgg_id],OWNED[[#This Row],[bgg_id]])</f>
        <v>1</v>
      </c>
      <c r="E139" s="1" t="str">
        <f>_xlfn.XLOOKUP(OWNED[[#This Row],[bgg_id]],bgg_cache[id],bgg_cache[title])</f>
        <v>River Dragons</v>
      </c>
      <c r="F139" s="1" t="b">
        <f>EXACT(OWNED[[#This Row],[name]],OWNED[[#This Row],[bgg_name]])</f>
        <v>1</v>
      </c>
      <c r="G139" s="1" t="s">
        <v>2471</v>
      </c>
      <c r="H139" s="1" t="b">
        <f>_xlfn.XLOOKUP(OWNED[[#This Row],[bgg_id]],library_data[bgg_id],library_data[mana_meeple_category])=OWNED[[#This Row],[category]]</f>
        <v>1</v>
      </c>
      <c r="I139" s="1">
        <f>COUNTIF(nzdesgn[NAME],OWNED[[#This Row],[bgg_name]])</f>
        <v>0</v>
      </c>
    </row>
    <row r="140" spans="1:9" x14ac:dyDescent="0.25">
      <c r="A140" s="1" t="s">
        <v>37</v>
      </c>
      <c r="B140" s="1">
        <v>18</v>
      </c>
      <c r="C140" s="1"/>
      <c r="D140" s="1">
        <f>COUNTIF(OWNED[bgg_id],OWNED[[#This Row],[bgg_id]])</f>
        <v>1</v>
      </c>
      <c r="E140" s="1" t="str">
        <f>_xlfn.XLOOKUP(OWNED[[#This Row],[bgg_id]],bgg_cache[id],bgg_cache[title])</f>
        <v>RoboRally</v>
      </c>
      <c r="F140" s="1" t="b">
        <f>EXACT(OWNED[[#This Row],[name]],OWNED[[#This Row],[bgg_name]])</f>
        <v>1</v>
      </c>
      <c r="G140" s="1" t="s">
        <v>2474</v>
      </c>
      <c r="H140" s="1" t="b">
        <f>_xlfn.XLOOKUP(OWNED[[#This Row],[bgg_id]],library_data[bgg_id],library_data[mana_meeple_category])=OWNED[[#This Row],[category]]</f>
        <v>1</v>
      </c>
      <c r="I140" s="1">
        <f>COUNTIF(nzdesgn[NAME],OWNED[[#This Row],[bgg_name]])</f>
        <v>0</v>
      </c>
    </row>
    <row r="141" spans="1:9" x14ac:dyDescent="0.25">
      <c r="A141" s="1" t="s">
        <v>274</v>
      </c>
      <c r="B141" s="1">
        <v>379644</v>
      </c>
      <c r="C141" s="1"/>
      <c r="D141" s="1">
        <f>COUNTIF(OWNED[bgg_id],OWNED[[#This Row],[bgg_id]])</f>
        <v>1</v>
      </c>
      <c r="E141" s="1" t="str">
        <f>_xlfn.XLOOKUP(OWNED[[#This Row],[bgg_id]],bgg_cache[id],bgg_cache[title])</f>
        <v>Roller Coaster Rush</v>
      </c>
      <c r="F141" s="1" t="b">
        <f>EXACT(OWNED[[#This Row],[name]],OWNED[[#This Row],[bgg_name]])</f>
        <v>1</v>
      </c>
      <c r="G141" s="1" t="s">
        <v>2471</v>
      </c>
      <c r="H141" s="1" t="b">
        <f>_xlfn.XLOOKUP(OWNED[[#This Row],[bgg_id]],library_data[bgg_id],library_data[mana_meeple_category])=OWNED[[#This Row],[category]]</f>
        <v>1</v>
      </c>
      <c r="I141" s="1">
        <f>COUNTIF(nzdesgn[NAME],OWNED[[#This Row],[bgg_name]])</f>
        <v>0</v>
      </c>
    </row>
    <row r="142" spans="1:9" x14ac:dyDescent="0.25">
      <c r="A142" s="1" t="s">
        <v>2365</v>
      </c>
      <c r="B142" s="1">
        <v>305682</v>
      </c>
      <c r="C142" s="1">
        <v>1</v>
      </c>
      <c r="D142" s="1">
        <f>COUNTIF(OWNED[bgg_id],OWNED[[#This Row],[bgg_id]])</f>
        <v>1</v>
      </c>
      <c r="E142" s="1" t="str">
        <f>_xlfn.XLOOKUP(OWNED[[#This Row],[bgg_id]],bgg_cache[id],bgg_cache[title])</f>
        <v>Rolling Realms</v>
      </c>
      <c r="F142" s="1" t="b">
        <f>EXACT(OWNED[[#This Row],[name]],OWNED[[#This Row],[bgg_name]])</f>
        <v>1</v>
      </c>
      <c r="G142" s="1"/>
      <c r="H142" s="1" t="e">
        <f>_xlfn.XLOOKUP(OWNED[[#This Row],[bgg_id]],library_data[bgg_id],library_data[mana_meeple_category])=OWNED[[#This Row],[category]]</f>
        <v>#N/A</v>
      </c>
      <c r="I142" s="1">
        <f>COUNTIF(nzdesgn[NAME],OWNED[[#This Row],[bgg_name]])</f>
        <v>0</v>
      </c>
    </row>
    <row r="143" spans="1:9" x14ac:dyDescent="0.25">
      <c r="A143" s="1" t="s">
        <v>53</v>
      </c>
      <c r="B143" s="1">
        <v>811</v>
      </c>
      <c r="C143" s="1"/>
      <c r="D143" s="1">
        <f>COUNTIF(OWNED[bgg_id],OWNED[[#This Row],[bgg_id]])</f>
        <v>1</v>
      </c>
      <c r="E143" s="1" t="str">
        <f>_xlfn.XLOOKUP(OWNED[[#This Row],[bgg_id]],bgg_cache[id],bgg_cache[title])</f>
        <v>Rummikub</v>
      </c>
      <c r="F143" s="1" t="b">
        <f>EXACT(OWNED[[#This Row],[name]],OWNED[[#This Row],[bgg_name]])</f>
        <v>1</v>
      </c>
      <c r="G143" s="1" t="s">
        <v>2471</v>
      </c>
      <c r="H143" s="1" t="b">
        <f>_xlfn.XLOOKUP(OWNED[[#This Row],[bgg_id]],library_data[bgg_id],library_data[mana_meeple_category])=OWNED[[#This Row],[category]]</f>
        <v>1</v>
      </c>
      <c r="I143" s="1">
        <f>COUNTIF(nzdesgn[NAME],OWNED[[#This Row],[bgg_name]])</f>
        <v>0</v>
      </c>
    </row>
    <row r="144" spans="1:9" x14ac:dyDescent="0.25">
      <c r="A144" s="1" t="s">
        <v>253</v>
      </c>
      <c r="B144" s="1">
        <v>9220</v>
      </c>
      <c r="C144" s="1"/>
      <c r="D144" s="1">
        <f>COUNTIF(OWNED[bgg_id],OWNED[[#This Row],[bgg_id]])</f>
        <v>1</v>
      </c>
      <c r="E144" s="1" t="str">
        <f>_xlfn.XLOOKUP(OWNED[[#This Row],[bgg_id]],bgg_cache[id],bgg_cache[title])</f>
        <v>Saboteur</v>
      </c>
      <c r="F144" s="1" t="b">
        <f>EXACT(OWNED[[#This Row],[name]],OWNED[[#This Row],[bgg_name]])</f>
        <v>1</v>
      </c>
      <c r="G144" s="1" t="s">
        <v>2471</v>
      </c>
      <c r="H144" s="1" t="b">
        <f>_xlfn.XLOOKUP(OWNED[[#This Row],[bgg_id]],library_data[bgg_id],library_data[mana_meeple_category])=OWNED[[#This Row],[category]]</f>
        <v>1</v>
      </c>
      <c r="I144" s="1">
        <f>COUNTIF(nzdesgn[NAME],OWNED[[#This Row],[bgg_name]])</f>
        <v>0</v>
      </c>
    </row>
    <row r="145" spans="1:9" x14ac:dyDescent="0.25">
      <c r="A145" s="1" t="s">
        <v>7</v>
      </c>
      <c r="B145" s="1">
        <v>169786</v>
      </c>
      <c r="C145" s="1"/>
      <c r="D145" s="1">
        <f>COUNTIF(OWNED[bgg_id],OWNED[[#This Row],[bgg_id]])</f>
        <v>1</v>
      </c>
      <c r="E145" s="1" t="str">
        <f>_xlfn.XLOOKUP(OWNED[[#This Row],[bgg_id]],bgg_cache[id],bgg_cache[title])</f>
        <v>Scythe</v>
      </c>
      <c r="F145" s="1" t="b">
        <f>EXACT(OWNED[[#This Row],[name]],OWNED[[#This Row],[bgg_name]])</f>
        <v>1</v>
      </c>
      <c r="G145" s="1" t="s">
        <v>2474</v>
      </c>
      <c r="H145" s="1" t="b">
        <f>_xlfn.XLOOKUP(OWNED[[#This Row],[bgg_id]],library_data[bgg_id],library_data[mana_meeple_category])=OWNED[[#This Row],[category]]</f>
        <v>1</v>
      </c>
      <c r="I145" s="1">
        <f>COUNTIF(nzdesgn[NAME],OWNED[[#This Row],[bgg_name]])</f>
        <v>0</v>
      </c>
    </row>
    <row r="146" spans="1:9" x14ac:dyDescent="0.25">
      <c r="A146" s="1" t="s">
        <v>108</v>
      </c>
      <c r="B146" s="1">
        <v>367220</v>
      </c>
      <c r="C146" s="1"/>
      <c r="D146" s="1">
        <f>COUNTIF(OWNED[bgg_id],OWNED[[#This Row],[bgg_id]])</f>
        <v>1</v>
      </c>
      <c r="E146" s="1" t="str">
        <f>_xlfn.XLOOKUP(OWNED[[#This Row],[bgg_id]],bgg_cache[id],bgg_cache[title])</f>
        <v>Sea Salt &amp; Paper</v>
      </c>
      <c r="F146" s="1" t="b">
        <f>EXACT(OWNED[[#This Row],[name]],OWNED[[#This Row],[bgg_name]])</f>
        <v>1</v>
      </c>
      <c r="G146" s="1" t="s">
        <v>2473</v>
      </c>
      <c r="H146" s="1" t="b">
        <f>_xlfn.XLOOKUP(OWNED[[#This Row],[bgg_id]],library_data[bgg_id],library_data[mana_meeple_category])=OWNED[[#This Row],[category]]</f>
        <v>1</v>
      </c>
      <c r="I146" s="1">
        <f>COUNTIF(nzdesgn[NAME],OWNED[[#This Row],[bgg_name]])</f>
        <v>0</v>
      </c>
    </row>
    <row r="147" spans="1:9" x14ac:dyDescent="0.25">
      <c r="A147" s="1" t="s">
        <v>29</v>
      </c>
      <c r="B147" s="1">
        <v>2375</v>
      </c>
      <c r="C147" s="1"/>
      <c r="D147" s="1">
        <f>COUNTIF(OWNED[bgg_id],OWNED[[#This Row],[bgg_id]])</f>
        <v>1</v>
      </c>
      <c r="E147" s="1" t="str">
        <f>_xlfn.XLOOKUP(OWNED[[#This Row],[bgg_id]],bgg_cache[id],bgg_cache[title])</f>
        <v>Sequence</v>
      </c>
      <c r="F147" s="1" t="b">
        <f>EXACT(OWNED[[#This Row],[name]],OWNED[[#This Row],[bgg_name]])</f>
        <v>1</v>
      </c>
      <c r="G147" s="1" t="s">
        <v>2473</v>
      </c>
      <c r="H147" s="1" t="b">
        <f>_xlfn.XLOOKUP(OWNED[[#This Row],[bgg_id]],library_data[bgg_id],library_data[mana_meeple_category])=OWNED[[#This Row],[category]]</f>
        <v>1</v>
      </c>
      <c r="I147" s="1">
        <f>COUNTIF(nzdesgn[NAME],OWNED[[#This Row],[bgg_name]])</f>
        <v>0</v>
      </c>
    </row>
    <row r="148" spans="1:9" x14ac:dyDescent="0.25">
      <c r="A148" s="1" t="s">
        <v>264</v>
      </c>
      <c r="B148" s="1">
        <v>298638</v>
      </c>
      <c r="C148" s="1"/>
      <c r="D148" s="1">
        <f>COUNTIF(OWNED[bgg_id],OWNED[[#This Row],[bgg_id]])</f>
        <v>1</v>
      </c>
      <c r="E148" s="1" t="str">
        <f>_xlfn.XLOOKUP(OWNED[[#This Row],[bgg_id]],bgg_cache[id],bgg_cache[title])</f>
        <v>Sheriff of Nottingham: 2nd Edition</v>
      </c>
      <c r="F148" s="1" t="b">
        <f>EXACT(OWNED[[#This Row],[name]],OWNED[[#This Row],[bgg_name]])</f>
        <v>1</v>
      </c>
      <c r="G148" s="1" t="s">
        <v>2473</v>
      </c>
      <c r="H148" s="1" t="b">
        <f>_xlfn.XLOOKUP(OWNED[[#This Row],[bgg_id]],library_data[bgg_id],library_data[mana_meeple_category])=OWNED[[#This Row],[category]]</f>
        <v>1</v>
      </c>
      <c r="I148" s="1">
        <f>COUNTIF(nzdesgn[NAME],OWNED[[#This Row],[bgg_name]])</f>
        <v>0</v>
      </c>
    </row>
    <row r="149" spans="1:9" x14ac:dyDescent="0.25">
      <c r="A149" s="1" t="s">
        <v>120</v>
      </c>
      <c r="B149" s="1">
        <v>92415</v>
      </c>
      <c r="C149" s="1"/>
      <c r="D149" s="1">
        <f>COUNTIF(OWNED[bgg_id],OWNED[[#This Row],[bgg_id]])</f>
        <v>1</v>
      </c>
      <c r="E149" s="1" t="str">
        <f>_xlfn.XLOOKUP(OWNED[[#This Row],[bgg_id]],bgg_cache[id],bgg_cache[title])</f>
        <v>Skull</v>
      </c>
      <c r="F149" s="1" t="b">
        <f>EXACT(OWNED[[#This Row],[name]],OWNED[[#This Row],[bgg_name]])</f>
        <v>1</v>
      </c>
      <c r="G149" s="1" t="s">
        <v>2473</v>
      </c>
      <c r="H149" s="1" t="b">
        <f>_xlfn.XLOOKUP(OWNED[[#This Row],[bgg_id]],library_data[bgg_id],library_data[mana_meeple_category])=OWNED[[#This Row],[category]]</f>
        <v>1</v>
      </c>
      <c r="I149" s="1">
        <f>COUNTIF(nzdesgn[NAME],OWNED[[#This Row],[bgg_name]])</f>
        <v>0</v>
      </c>
    </row>
    <row r="150" spans="1:9" x14ac:dyDescent="0.25">
      <c r="A150" s="1" t="s">
        <v>75</v>
      </c>
      <c r="B150" s="1">
        <v>373106</v>
      </c>
      <c r="C150" s="1"/>
      <c r="D150" s="1">
        <f>COUNTIF(OWNED[bgg_id],OWNED[[#This Row],[bgg_id]])</f>
        <v>1</v>
      </c>
      <c r="E150" s="1" t="str">
        <f>_xlfn.XLOOKUP(OWNED[[#This Row],[bgg_id]],bgg_cache[id],bgg_cache[title])</f>
        <v>Sky Team</v>
      </c>
      <c r="F150" s="1" t="b">
        <f>EXACT(OWNED[[#This Row],[name]],OWNED[[#This Row],[bgg_name]])</f>
        <v>1</v>
      </c>
      <c r="G150" s="1" t="s">
        <v>2470</v>
      </c>
      <c r="H150" s="1" t="b">
        <f>_xlfn.XLOOKUP(OWNED[[#This Row],[bgg_id]],library_data[bgg_id],library_data[mana_meeple_category])=OWNED[[#This Row],[category]]</f>
        <v>1</v>
      </c>
      <c r="I150" s="1">
        <f>COUNTIF(nzdesgn[NAME],OWNED[[#This Row],[bgg_name]])</f>
        <v>0</v>
      </c>
    </row>
    <row r="151" spans="1:9" x14ac:dyDescent="0.25">
      <c r="A151" s="1" t="s">
        <v>5307</v>
      </c>
      <c r="B151" s="1">
        <v>204135</v>
      </c>
      <c r="C151" s="1">
        <v>1</v>
      </c>
      <c r="D151" s="1">
        <f>COUNTIF(OWNED[bgg_id],OWNED[[#This Row],[bgg_id]])</f>
        <v>1</v>
      </c>
      <c r="E151" s="1" t="str">
        <f>_xlfn.XLOOKUP(OWNED[[#This Row],[bgg_id]],bgg_cache[id],bgg_cache[title])</f>
        <v>Skyjo</v>
      </c>
      <c r="F151" s="1" t="b">
        <f>EXACT(OWNED[[#This Row],[name]],OWNED[[#This Row],[bgg_name]])</f>
        <v>1</v>
      </c>
      <c r="G151" s="1" t="s">
        <v>2472</v>
      </c>
      <c r="H151" s="1" t="b">
        <f>_xlfn.XLOOKUP(OWNED[[#This Row],[bgg_id]],library_data[bgg_id],library_data[mana_meeple_category])=OWNED[[#This Row],[category]]</f>
        <v>1</v>
      </c>
      <c r="I151" s="1">
        <f>COUNTIF(nzdesgn[NAME],OWNED[[#This Row],[bgg_name]])</f>
        <v>0</v>
      </c>
    </row>
    <row r="152" spans="1:9" x14ac:dyDescent="0.25">
      <c r="A152" s="1" t="s">
        <v>78</v>
      </c>
      <c r="B152" s="1">
        <v>338960</v>
      </c>
      <c r="C152" s="1"/>
      <c r="D152" s="1">
        <f>COUNTIF(OWNED[bgg_id],OWNED[[#This Row],[bgg_id]])</f>
        <v>1</v>
      </c>
      <c r="E152" s="1" t="str">
        <f>_xlfn.XLOOKUP(OWNED[[#This Row],[bgg_id]],bgg_cache[id],bgg_cache[title])</f>
        <v>Slay the Spire: The Board Game</v>
      </c>
      <c r="F152" s="1" t="b">
        <f>EXACT(OWNED[[#This Row],[name]],OWNED[[#This Row],[bgg_name]])</f>
        <v>1</v>
      </c>
      <c r="G152" s="1" t="s">
        <v>2470</v>
      </c>
      <c r="H152" s="1" t="b">
        <f>_xlfn.XLOOKUP(OWNED[[#This Row],[bgg_id]],library_data[bgg_id],library_data[mana_meeple_category])=OWNED[[#This Row],[category]]</f>
        <v>1</v>
      </c>
      <c r="I152" s="1">
        <f>COUNTIF(nzdesgn[NAME],OWNED[[#This Row],[bgg_name]])</f>
        <v>0</v>
      </c>
    </row>
    <row r="153" spans="1:9" x14ac:dyDescent="0.25">
      <c r="A153" s="1" t="s">
        <v>2158</v>
      </c>
      <c r="B153" s="1">
        <v>358050</v>
      </c>
      <c r="C153" s="1"/>
      <c r="D153" s="1">
        <f>COUNTIF(OWNED[bgg_id],OWNED[[#This Row],[bgg_id]])</f>
        <v>1</v>
      </c>
      <c r="E153" s="1" t="str">
        <f>_xlfn.XLOOKUP(OWNED[[#This Row],[bgg_id]],bgg_cache[id],bgg_cache[title])</f>
        <v>Sleeping Queens 2: The Rescue!</v>
      </c>
      <c r="F153" s="1" t="b">
        <f>EXACT(OWNED[[#This Row],[name]],OWNED[[#This Row],[bgg_name]])</f>
        <v>1</v>
      </c>
      <c r="G153" s="1" t="s">
        <v>2472</v>
      </c>
      <c r="H153" s="1" t="b">
        <f>_xlfn.XLOOKUP(OWNED[[#This Row],[bgg_id]],library_data[bgg_id],library_data[mana_meeple_category])=OWNED[[#This Row],[category]]</f>
        <v>1</v>
      </c>
      <c r="I153" s="1">
        <f>COUNTIF(nzdesgn[NAME],OWNED[[#This Row],[bgg_name]])</f>
        <v>0</v>
      </c>
    </row>
    <row r="154" spans="1:9" x14ac:dyDescent="0.25">
      <c r="A154" s="1" t="s">
        <v>1948</v>
      </c>
      <c r="B154" s="1">
        <v>38453</v>
      </c>
      <c r="C154" s="1"/>
      <c r="D154" s="1">
        <f>COUNTIF(OWNED[bgg_id],OWNED[[#This Row],[bgg_id]])</f>
        <v>1</v>
      </c>
      <c r="E154" s="1" t="str">
        <f>_xlfn.XLOOKUP(OWNED[[#This Row],[bgg_id]],bgg_cache[id],bgg_cache[title])</f>
        <v>Space Alert</v>
      </c>
      <c r="F154" s="1" t="b">
        <f>EXACT(OWNED[[#This Row],[name]],OWNED[[#This Row],[bgg_name]])</f>
        <v>1</v>
      </c>
      <c r="G154" t="s">
        <v>2470</v>
      </c>
      <c r="H154" t="b">
        <f>_xlfn.XLOOKUP(OWNED[[#This Row],[bgg_id]],library_data[bgg_id],library_data[mana_meeple_category])=OWNED[[#This Row],[category]]</f>
        <v>1</v>
      </c>
      <c r="I154" s="1">
        <f>COUNTIF(nzdesgn[NAME],OWNED[[#This Row],[bgg_name]])</f>
        <v>0</v>
      </c>
    </row>
    <row r="155" spans="1:9" x14ac:dyDescent="0.25">
      <c r="A155" s="1" t="s">
        <v>104</v>
      </c>
      <c r="B155" s="1">
        <v>148228</v>
      </c>
      <c r="C155" s="1"/>
      <c r="D155" s="1">
        <f>COUNTIF(OWNED[bgg_id],OWNED[[#This Row],[bgg_id]])</f>
        <v>1</v>
      </c>
      <c r="E155" s="1" t="str">
        <f>_xlfn.XLOOKUP(OWNED[[#This Row],[bgg_id]],bgg_cache[id],bgg_cache[title])</f>
        <v>Splendor</v>
      </c>
      <c r="F155" s="1" t="b">
        <f>EXACT(OWNED[[#This Row],[name]],OWNED[[#This Row],[bgg_name]])</f>
        <v>1</v>
      </c>
      <c r="G155" s="1" t="s">
        <v>2471</v>
      </c>
      <c r="H155" s="1" t="b">
        <f>_xlfn.XLOOKUP(OWNED[[#This Row],[bgg_id]],library_data[bgg_id],library_data[mana_meeple_category])=OWNED[[#This Row],[category]]</f>
        <v>1</v>
      </c>
      <c r="I155" s="1">
        <f>COUNTIF(nzdesgn[NAME],OWNED[[#This Row],[bgg_name]])</f>
        <v>0</v>
      </c>
    </row>
    <row r="156" spans="1:9" x14ac:dyDescent="0.25">
      <c r="A156" s="1" t="s">
        <v>286</v>
      </c>
      <c r="B156" s="1">
        <v>63268</v>
      </c>
      <c r="C156" s="1"/>
      <c r="D156" s="1">
        <f>COUNTIF(OWNED[bgg_id],OWNED[[#This Row],[bgg_id]])</f>
        <v>1</v>
      </c>
      <c r="E156" s="1" t="str">
        <f>_xlfn.XLOOKUP(OWNED[[#This Row],[bgg_id]],bgg_cache[id],bgg_cache[title])</f>
        <v>Spot it!</v>
      </c>
      <c r="F156" s="1" t="b">
        <f>EXACT(OWNED[[#This Row],[name]],OWNED[[#This Row],[bgg_name]])</f>
        <v>1</v>
      </c>
      <c r="G156" s="1" t="s">
        <v>2472</v>
      </c>
      <c r="H156" s="1" t="b">
        <f>_xlfn.XLOOKUP(OWNED[[#This Row],[bgg_id]],library_data[bgg_id],library_data[mana_meeple_category])=OWNED[[#This Row],[category]]</f>
        <v>1</v>
      </c>
      <c r="I156" s="1">
        <f>COUNTIF(nzdesgn[NAME],OWNED[[#This Row],[bgg_name]])</f>
        <v>0</v>
      </c>
    </row>
    <row r="157" spans="1:9" x14ac:dyDescent="0.25">
      <c r="A157" s="1" t="s">
        <v>1945</v>
      </c>
      <c r="B157" s="1">
        <v>444481</v>
      </c>
      <c r="C157" s="1"/>
      <c r="D157" s="1">
        <f>COUNTIF(OWNED[bgg_id],OWNED[[#This Row],[bgg_id]])</f>
        <v>1</v>
      </c>
      <c r="E157" s="1" t="str">
        <f>_xlfn.XLOOKUP(OWNED[[#This Row],[bgg_id]],bgg_cache[id],bgg_cache[title])</f>
        <v>Star Wars: Battle of Hoth</v>
      </c>
      <c r="F157" s="1" t="b">
        <f>EXACT(OWNED[[#This Row],[name]],OWNED[[#This Row],[bgg_name]])</f>
        <v>1</v>
      </c>
      <c r="G157" t="s">
        <v>2470</v>
      </c>
      <c r="H157" t="b">
        <f>_xlfn.XLOOKUP(OWNED[[#This Row],[bgg_id]],library_data[bgg_id],library_data[mana_meeple_category])=OWNED[[#This Row],[category]]</f>
        <v>1</v>
      </c>
      <c r="I157" s="1">
        <f>COUNTIF(nzdesgn[NAME],OWNED[[#This Row],[bgg_name]])</f>
        <v>0</v>
      </c>
    </row>
    <row r="158" spans="1:9" x14ac:dyDescent="0.25">
      <c r="A158" s="1" t="s">
        <v>5313</v>
      </c>
      <c r="B158" s="1">
        <v>1917</v>
      </c>
      <c r="C158" s="1">
        <v>1</v>
      </c>
      <c r="D158" s="1">
        <f>COUNTIF(OWNED[bgg_id],OWNED[[#This Row],[bgg_id]])</f>
        <v>1</v>
      </c>
      <c r="E158" s="1" t="str">
        <f>_xlfn.XLOOKUP(OWNED[[#This Row],[bgg_id]],bgg_cache[id],bgg_cache[title])</f>
        <v>Stratego</v>
      </c>
      <c r="F158" s="1" t="b">
        <f>EXACT(OWNED[[#This Row],[name]],OWNED[[#This Row],[bgg_name]])</f>
        <v>1</v>
      </c>
      <c r="G158" s="1" t="s">
        <v>2471</v>
      </c>
      <c r="H158" s="1" t="b">
        <f>_xlfn.XLOOKUP(OWNED[[#This Row],[bgg_id]],library_data[bgg_id],library_data[mana_meeple_category])=OWNED[[#This Row],[category]]</f>
        <v>1</v>
      </c>
      <c r="I158" s="1">
        <f>COUNTIF(nzdesgn[NAME],OWNED[[#This Row],[bgg_name]])</f>
        <v>0</v>
      </c>
    </row>
    <row r="159" spans="1:9" x14ac:dyDescent="0.25">
      <c r="A159" s="1" t="s">
        <v>26</v>
      </c>
      <c r="B159" s="1">
        <v>192291</v>
      </c>
      <c r="C159" s="1"/>
      <c r="D159" s="1">
        <f>COUNTIF(OWNED[bgg_id],OWNED[[#This Row],[bgg_id]])</f>
        <v>1</v>
      </c>
      <c r="E159" s="1" t="str">
        <f>_xlfn.XLOOKUP(OWNED[[#This Row],[bgg_id]],bgg_cache[id],bgg_cache[title])</f>
        <v>Sushi Go Party!</v>
      </c>
      <c r="F159" s="1" t="b">
        <f>EXACT(OWNED[[#This Row],[name]],OWNED[[#This Row],[bgg_name]])</f>
        <v>1</v>
      </c>
      <c r="G159" s="1" t="s">
        <v>2473</v>
      </c>
      <c r="H159" s="1" t="b">
        <f>_xlfn.XLOOKUP(OWNED[[#This Row],[bgg_id]],library_data[bgg_id],library_data[mana_meeple_category])=OWNED[[#This Row],[category]]</f>
        <v>1</v>
      </c>
      <c r="I159" s="1">
        <f>COUNTIF(nzdesgn[NAME],OWNED[[#This Row],[bgg_name]])</f>
        <v>0</v>
      </c>
    </row>
    <row r="160" spans="1:9" x14ac:dyDescent="0.25">
      <c r="A160" s="1" t="s">
        <v>311</v>
      </c>
      <c r="B160" s="1">
        <v>302463</v>
      </c>
      <c r="C160" s="1"/>
      <c r="D160" s="1">
        <f>COUNTIF(OWNED[bgg_id],OWNED[[#This Row],[bgg_id]])</f>
        <v>1</v>
      </c>
      <c r="E160" s="1" t="str">
        <f>_xlfn.XLOOKUP(OWNED[[#This Row],[bgg_id]],bgg_cache[id],bgg_cache[title])</f>
        <v>Telestrations: Upside Drawn</v>
      </c>
      <c r="F160" s="1" t="b">
        <f>EXACT(OWNED[[#This Row],[name]],OWNED[[#This Row],[bgg_name]])</f>
        <v>1</v>
      </c>
      <c r="G160" s="1" t="s">
        <v>2473</v>
      </c>
      <c r="H160" s="1" t="b">
        <f>_xlfn.XLOOKUP(OWNED[[#This Row],[bgg_id]],library_data[bgg_id],library_data[mana_meeple_category])=OWNED[[#This Row],[category]]</f>
        <v>1</v>
      </c>
      <c r="I160" s="1">
        <f>COUNTIF(nzdesgn[NAME],OWNED[[#This Row],[bgg_name]])</f>
        <v>0</v>
      </c>
    </row>
    <row r="161" spans="1:9" x14ac:dyDescent="0.25">
      <c r="A161" s="1" t="s">
        <v>38</v>
      </c>
      <c r="B161" s="1">
        <v>244522</v>
      </c>
      <c r="C161" s="1"/>
      <c r="D161" s="1">
        <f>COUNTIF(OWNED[bgg_id],OWNED[[#This Row],[bgg_id]])</f>
        <v>1</v>
      </c>
      <c r="E161" s="1" t="str">
        <f>_xlfn.XLOOKUP(OWNED[[#This Row],[bgg_id]],bgg_cache[id],bgg_cache[title])</f>
        <v>That's Pretty Clever!</v>
      </c>
      <c r="F161" s="1" t="b">
        <f>EXACT(OWNED[[#This Row],[name]],OWNED[[#This Row],[bgg_name]])</f>
        <v>1</v>
      </c>
      <c r="G161" s="1" t="s">
        <v>2473</v>
      </c>
      <c r="H161" s="1" t="b">
        <f>_xlfn.XLOOKUP(OWNED[[#This Row],[bgg_id]],library_data[bgg_id],library_data[mana_meeple_category])=OWNED[[#This Row],[category]]</f>
        <v>1</v>
      </c>
      <c r="I161" s="1">
        <f>COUNTIF(nzdesgn[NAME],OWNED[[#This Row],[bgg_name]])</f>
        <v>0</v>
      </c>
    </row>
    <row r="162" spans="1:9" x14ac:dyDescent="0.25">
      <c r="A162" s="1" t="s">
        <v>33</v>
      </c>
      <c r="B162" s="1">
        <v>286063</v>
      </c>
      <c r="C162" s="1"/>
      <c r="D162" s="1">
        <f>COUNTIF(OWNED[bgg_id],OWNED[[#This Row],[bgg_id]])</f>
        <v>1</v>
      </c>
      <c r="E162" s="1" t="str">
        <f>_xlfn.XLOOKUP(OWNED[[#This Row],[bgg_id]],bgg_cache[id],bgg_cache[title])</f>
        <v>The 7th Citadel</v>
      </c>
      <c r="F162" s="1" t="b">
        <f>EXACT(OWNED[[#This Row],[name]],OWNED[[#This Row],[bgg_name]])</f>
        <v>1</v>
      </c>
      <c r="G162" s="1" t="s">
        <v>2470</v>
      </c>
      <c r="H162" s="1" t="b">
        <f>_xlfn.XLOOKUP(OWNED[[#This Row],[bgg_id]],library_data[bgg_id],library_data[mana_meeple_category])=OWNED[[#This Row],[category]]</f>
        <v>1</v>
      </c>
      <c r="I162" s="1">
        <f>COUNTIF(nzdesgn[NAME],OWNED[[#This Row],[bgg_name]])</f>
        <v>0</v>
      </c>
    </row>
    <row r="163" spans="1:9" x14ac:dyDescent="0.25">
      <c r="A163" s="1" t="s">
        <v>32</v>
      </c>
      <c r="B163" s="1">
        <v>180263</v>
      </c>
      <c r="C163" s="1"/>
      <c r="D163" s="1">
        <f>COUNTIF(OWNED[bgg_id],OWNED[[#This Row],[bgg_id]])</f>
        <v>1</v>
      </c>
      <c r="E163" s="1" t="str">
        <f>_xlfn.XLOOKUP(OWNED[[#This Row],[bgg_id]],bgg_cache[id],bgg_cache[title])</f>
        <v>The 7th Continent</v>
      </c>
      <c r="F163" s="1" t="b">
        <f>EXACT(OWNED[[#This Row],[name]],OWNED[[#This Row],[bgg_name]])</f>
        <v>1</v>
      </c>
      <c r="G163" s="1" t="s">
        <v>2470</v>
      </c>
      <c r="H163" s="1" t="b">
        <f>_xlfn.XLOOKUP(OWNED[[#This Row],[bgg_id]],library_data[bgg_id],library_data[mana_meeple_category])=OWNED[[#This Row],[category]]</f>
        <v>1</v>
      </c>
      <c r="I163" s="1">
        <f>COUNTIF(nzdesgn[NAME],OWNED[[#This Row],[bgg_name]])</f>
        <v>0</v>
      </c>
    </row>
    <row r="164" spans="1:9" x14ac:dyDescent="0.25">
      <c r="A164" s="1" t="s">
        <v>324</v>
      </c>
      <c r="B164" s="1">
        <v>227072</v>
      </c>
      <c r="C164" s="1">
        <v>1</v>
      </c>
      <c r="D164" s="1">
        <f>COUNTIF(OWNED[bgg_id],OWNED[[#This Row],[bgg_id]])</f>
        <v>1</v>
      </c>
      <c r="E164" s="1" t="str">
        <f>_xlfn.XLOOKUP(OWNED[[#This Row],[bgg_id]],bgg_cache[id],bgg_cache[title])</f>
        <v>The Chameleon</v>
      </c>
      <c r="F164" s="1" t="b">
        <f>EXACT(OWNED[[#This Row],[name]],OWNED[[#This Row],[bgg_name]])</f>
        <v>1</v>
      </c>
      <c r="G164" s="1" t="s">
        <v>2473</v>
      </c>
      <c r="H164" s="1" t="b">
        <f>_xlfn.XLOOKUP(OWNED[[#This Row],[bgg_id]],library_data[bgg_id],library_data[mana_meeple_category])=OWNED[[#This Row],[category]]</f>
        <v>1</v>
      </c>
      <c r="I164" s="1">
        <f>COUNTIF(nzdesgn[NAME],OWNED[[#This Row],[bgg_name]])</f>
        <v>0</v>
      </c>
    </row>
    <row r="165" spans="1:9" x14ac:dyDescent="0.25">
      <c r="A165" s="1" t="s">
        <v>99</v>
      </c>
      <c r="B165" s="1">
        <v>324856</v>
      </c>
      <c r="C165" s="1"/>
      <c r="D165" s="1">
        <f>COUNTIF(OWNED[bgg_id],OWNED[[#This Row],[bgg_id]])</f>
        <v>1</v>
      </c>
      <c r="E165" s="1" t="str">
        <f>_xlfn.XLOOKUP(OWNED[[#This Row],[bgg_id]],bgg_cache[id],bgg_cache[title])</f>
        <v>The Crew: Mission Deep Sea</v>
      </c>
      <c r="F165" s="1" t="b">
        <f>EXACT(OWNED[[#This Row],[name]],OWNED[[#This Row],[bgg_name]])</f>
        <v>1</v>
      </c>
      <c r="G165" s="1" t="s">
        <v>2470</v>
      </c>
      <c r="H165" s="1" t="b">
        <f>_xlfn.XLOOKUP(OWNED[[#This Row],[bgg_id]],library_data[bgg_id],library_data[mana_meeple_category])=OWNED[[#This Row],[category]]</f>
        <v>1</v>
      </c>
      <c r="I165" s="1">
        <f>COUNTIF(nzdesgn[NAME],OWNED[[#This Row],[bgg_name]])</f>
        <v>0</v>
      </c>
    </row>
    <row r="166" spans="1:9" x14ac:dyDescent="0.25">
      <c r="A166" s="1" t="s">
        <v>296</v>
      </c>
      <c r="B166" s="1">
        <v>284083</v>
      </c>
      <c r="C166" s="1">
        <v>1</v>
      </c>
      <c r="D166" s="1">
        <f>COUNTIF(OWNED[bgg_id],OWNED[[#This Row],[bgg_id]])</f>
        <v>1</v>
      </c>
      <c r="E166" s="1" t="str">
        <f>_xlfn.XLOOKUP(OWNED[[#This Row],[bgg_id]],bgg_cache[id],bgg_cache[title])</f>
        <v>The Crew: The Quest for Planet Nine</v>
      </c>
      <c r="F166" s="1" t="b">
        <f>EXACT(OWNED[[#This Row],[name]],OWNED[[#This Row],[bgg_name]])</f>
        <v>1</v>
      </c>
      <c r="G166" s="1"/>
      <c r="H166" s="1" t="e">
        <f>_xlfn.XLOOKUP(OWNED[[#This Row],[bgg_id]],library_data[bgg_id],library_data[mana_meeple_category])=OWNED[[#This Row],[category]]</f>
        <v>#N/A</v>
      </c>
      <c r="I166" s="1">
        <f>COUNTIF(nzdesgn[NAME],OWNED[[#This Row],[bgg_name]])</f>
        <v>0</v>
      </c>
    </row>
    <row r="167" spans="1:9" x14ac:dyDescent="0.25">
      <c r="A167" s="1" t="s">
        <v>743</v>
      </c>
      <c r="B167" s="1">
        <v>429293</v>
      </c>
      <c r="C167" s="1"/>
      <c r="D167" s="1">
        <f>COUNTIF(OWNED[bgg_id],OWNED[[#This Row],[bgg_id]])</f>
        <v>1</v>
      </c>
      <c r="E167" s="1" t="str">
        <f>_xlfn.XLOOKUP(OWNED[[#This Row],[bgg_id]],bgg_cache[id],bgg_cache[title])</f>
        <v>The Lord of the Rings: The Fellowship of the Ring – Trick-Taking Game</v>
      </c>
      <c r="F167" s="1" t="b">
        <f>EXACT(OWNED[[#This Row],[name]],OWNED[[#This Row],[bgg_name]])</f>
        <v>0</v>
      </c>
      <c r="G167" s="1" t="s">
        <v>2470</v>
      </c>
      <c r="H167" s="1" t="b">
        <f>_xlfn.XLOOKUP(OWNED[[#This Row],[bgg_id]],library_data[bgg_id],library_data[mana_meeple_category])=OWNED[[#This Row],[category]]</f>
        <v>1</v>
      </c>
      <c r="I167" s="1">
        <f>COUNTIF(nzdesgn[NAME],OWNED[[#This Row],[bgg_name]])</f>
        <v>0</v>
      </c>
    </row>
    <row r="168" spans="1:9" x14ac:dyDescent="0.25">
      <c r="A168" s="1" t="s">
        <v>209</v>
      </c>
      <c r="B168" s="1">
        <v>221965</v>
      </c>
      <c r="C168" s="1"/>
      <c r="D168" s="1">
        <f>COUNTIF(OWNED[bgg_id],OWNED[[#This Row],[bgg_id]])</f>
        <v>1</v>
      </c>
      <c r="E168" s="1" t="str">
        <f>_xlfn.XLOOKUP(OWNED[[#This Row],[bgg_id]],bgg_cache[id],bgg_cache[title])</f>
        <v>The Fox in the Forest</v>
      </c>
      <c r="F168" s="1" t="b">
        <f>EXACT(OWNED[[#This Row],[name]],OWNED[[#This Row],[bgg_name]])</f>
        <v>1</v>
      </c>
      <c r="G168" s="1" t="s">
        <v>2471</v>
      </c>
      <c r="H168" s="1" t="b">
        <f>_xlfn.XLOOKUP(OWNED[[#This Row],[bgg_id]],library_data[bgg_id],library_data[mana_meeple_category])=OWNED[[#This Row],[category]]</f>
        <v>1</v>
      </c>
      <c r="I168" s="1">
        <f>COUNTIF(nzdesgn[NAME],OWNED[[#This Row],[bgg_name]])</f>
        <v>0</v>
      </c>
    </row>
    <row r="169" spans="1:9" x14ac:dyDescent="0.25">
      <c r="A169" s="1" t="s">
        <v>257</v>
      </c>
      <c r="B169" s="1">
        <v>288169</v>
      </c>
      <c r="C169" s="1"/>
      <c r="D169" s="1">
        <f>COUNTIF(OWNED[bgg_id],OWNED[[#This Row],[bgg_id]])</f>
        <v>1</v>
      </c>
      <c r="E169" s="1" t="str">
        <f>_xlfn.XLOOKUP(OWNED[[#This Row],[bgg_id]],bgg_cache[id],bgg_cache[title])</f>
        <v>The Fox in the Forest Duet</v>
      </c>
      <c r="F169" s="1" t="b">
        <f>EXACT(OWNED[[#This Row],[name]],OWNED[[#This Row],[bgg_name]])</f>
        <v>1</v>
      </c>
      <c r="G169" s="1" t="s">
        <v>2470</v>
      </c>
      <c r="H169" s="1" t="b">
        <f>_xlfn.XLOOKUP(OWNED[[#This Row],[bgg_id]],library_data[bgg_id],library_data[mana_meeple_category])=OWNED[[#This Row],[category]]</f>
        <v>1</v>
      </c>
      <c r="I169" s="1">
        <f>COUNTIF(nzdesgn[NAME],OWNED[[#This Row],[bgg_name]])</f>
        <v>0</v>
      </c>
    </row>
    <row r="170" spans="1:9" x14ac:dyDescent="0.25">
      <c r="A170" s="1" t="s">
        <v>2341</v>
      </c>
      <c r="B170" s="1">
        <v>314421</v>
      </c>
      <c r="C170" s="1">
        <v>1</v>
      </c>
      <c r="D170" s="1">
        <f>COUNTIF(OWNED[bgg_id],OWNED[[#This Row],[bgg_id]])</f>
        <v>1</v>
      </c>
      <c r="E170" s="1" t="str">
        <f>_xlfn.XLOOKUP(OWNED[[#This Row],[bgg_id]],bgg_cache[id],bgg_cache[title])</f>
        <v>The Fuzzies</v>
      </c>
      <c r="F170" s="1" t="b">
        <f>EXACT(OWNED[[#This Row],[name]],OWNED[[#This Row],[bgg_name]])</f>
        <v>1</v>
      </c>
      <c r="G170" s="1"/>
      <c r="H170" s="1" t="e">
        <f>_xlfn.XLOOKUP(OWNED[[#This Row],[bgg_id]],library_data[bgg_id],library_data[mana_meeple_category])=OWNED[[#This Row],[category]]</f>
        <v>#N/A</v>
      </c>
      <c r="I170" s="1">
        <f>COUNTIF(nzdesgn[NAME],OWNED[[#This Row],[bgg_name]])</f>
        <v>0</v>
      </c>
    </row>
    <row r="171" spans="1:9" x14ac:dyDescent="0.25">
      <c r="A171" t="s">
        <v>72</v>
      </c>
      <c r="B171" s="1">
        <v>172307</v>
      </c>
      <c r="C171" s="1"/>
      <c r="D171" s="1">
        <f>COUNTIF(OWNED[bgg_id],OWNED[[#This Row],[bgg_id]])</f>
        <v>1</v>
      </c>
      <c r="E171" s="1" t="str">
        <f>_xlfn.XLOOKUP(OWNED[[#This Row],[bgg_id]],bgg_cache[id],bgg_cache[title])</f>
        <v>The Game of Life (2013- Editions)</v>
      </c>
      <c r="F171" s="1" t="b">
        <f>EXACT(OWNED[[#This Row],[name]],OWNED[[#This Row],[bgg_name]])</f>
        <v>1</v>
      </c>
      <c r="G171" s="1" t="s">
        <v>2472</v>
      </c>
      <c r="H171" s="1" t="b">
        <f>_xlfn.XLOOKUP(OWNED[[#This Row],[bgg_id]],library_data[bgg_id],library_data[mana_meeple_category])=OWNED[[#This Row],[category]]</f>
        <v>1</v>
      </c>
      <c r="I171" s="1">
        <f>COUNTIF(nzdesgn[NAME],OWNED[[#This Row],[bgg_name]])</f>
        <v>0</v>
      </c>
    </row>
    <row r="172" spans="1:9" x14ac:dyDescent="0.25">
      <c r="A172" s="1" t="s">
        <v>117</v>
      </c>
      <c r="B172" s="1">
        <v>411567</v>
      </c>
      <c r="C172" s="1"/>
      <c r="D172" s="1">
        <f>COUNTIF(OWNED[bgg_id],OWNED[[#This Row],[bgg_id]])</f>
        <v>1</v>
      </c>
      <c r="E172" s="1" t="str">
        <f>_xlfn.XLOOKUP(OWNED[[#This Row],[bgg_id]],bgg_cache[id],bgg_cache[title])</f>
        <v>The Gang</v>
      </c>
      <c r="F172" s="1" t="b">
        <f>EXACT(OWNED[[#This Row],[name]],OWNED[[#This Row],[bgg_name]])</f>
        <v>1</v>
      </c>
      <c r="G172" s="1" t="s">
        <v>2473</v>
      </c>
      <c r="H172" s="1" t="b">
        <f>_xlfn.XLOOKUP(OWNED[[#This Row],[bgg_id]],library_data[bgg_id],library_data[mana_meeple_category])=OWNED[[#This Row],[category]]</f>
        <v>1</v>
      </c>
      <c r="I172" s="1">
        <f>COUNTIF(nzdesgn[NAME],OWNED[[#This Row],[bgg_name]])</f>
        <v>0</v>
      </c>
    </row>
    <row r="173" spans="1:9" x14ac:dyDescent="0.25">
      <c r="A173" s="1" t="s">
        <v>289</v>
      </c>
      <c r="B173" s="1">
        <v>287174</v>
      </c>
      <c r="C173" s="1"/>
      <c r="D173" s="1">
        <f>COUNTIF(OWNED[bgg_id],OWNED[[#This Row],[bgg_id]])</f>
        <v>1</v>
      </c>
      <c r="E173" s="1" t="str">
        <f>_xlfn.XLOOKUP(OWNED[[#This Row],[bgg_id]],bgg_cache[id],bgg_cache[title])</f>
        <v>The Hobbit: An Unexpected Party</v>
      </c>
      <c r="F173" s="1" t="b">
        <f>EXACT(OWNED[[#This Row],[name]],OWNED[[#This Row],[bgg_name]])</f>
        <v>1</v>
      </c>
      <c r="G173" s="1" t="s">
        <v>2470</v>
      </c>
      <c r="H173" s="1" t="b">
        <f>_xlfn.XLOOKUP(OWNED[[#This Row],[bgg_id]],library_data[bgg_id],library_data[mana_meeple_category])=OWNED[[#This Row],[category]]</f>
        <v>1</v>
      </c>
      <c r="I173" s="1">
        <f>COUNTIF(nzdesgn[NAME],OWNED[[#This Row],[bgg_name]])</f>
        <v>1</v>
      </c>
    </row>
    <row r="174" spans="1:9" x14ac:dyDescent="0.25">
      <c r="A174" s="1" t="s">
        <v>128</v>
      </c>
      <c r="B174" s="1">
        <v>244992</v>
      </c>
      <c r="C174" s="1"/>
      <c r="D174" s="1">
        <f>COUNTIF(OWNED[bgg_id],OWNED[[#This Row],[bgg_id]])</f>
        <v>1</v>
      </c>
      <c r="E174" s="1" t="str">
        <f>_xlfn.XLOOKUP(OWNED[[#This Row],[bgg_id]],bgg_cache[id],bgg_cache[title])</f>
        <v>The Mind</v>
      </c>
      <c r="F174" s="1" t="b">
        <f>EXACT(OWNED[[#This Row],[name]],OWNED[[#This Row],[bgg_name]])</f>
        <v>1</v>
      </c>
      <c r="G174" s="1" t="s">
        <v>2473</v>
      </c>
      <c r="H174" s="1" t="b">
        <f>_xlfn.XLOOKUP(OWNED[[#This Row],[bgg_id]],library_data[bgg_id],library_data[mana_meeple_category])=OWNED[[#This Row],[category]]</f>
        <v>1</v>
      </c>
      <c r="I174" s="1">
        <f>COUNTIF(nzdesgn[NAME],OWNED[[#This Row],[bgg_name]])</f>
        <v>0</v>
      </c>
    </row>
    <row r="175" spans="1:9" x14ac:dyDescent="0.25">
      <c r="A175" s="1" t="s">
        <v>57</v>
      </c>
      <c r="B175" s="1">
        <v>371942</v>
      </c>
      <c r="C175" s="1"/>
      <c r="D175" s="1">
        <f>COUNTIF(OWNED[bgg_id],OWNED[[#This Row],[bgg_id]])</f>
        <v>1</v>
      </c>
      <c r="E175" s="1" t="str">
        <f>_xlfn.XLOOKUP(OWNED[[#This Row],[bgg_id]],bgg_cache[id],bgg_cache[title])</f>
        <v>The White Castle</v>
      </c>
      <c r="F175" s="1" t="b">
        <f>EXACT(OWNED[[#This Row],[name]],OWNED[[#This Row],[bgg_name]])</f>
        <v>1</v>
      </c>
      <c r="G175" s="1" t="s">
        <v>2474</v>
      </c>
      <c r="H175" s="1" t="b">
        <f>_xlfn.XLOOKUP(OWNED[[#This Row],[bgg_id]],library_data[bgg_id],library_data[mana_meeple_category])=OWNED[[#This Row],[category]]</f>
        <v>1</v>
      </c>
      <c r="I175" s="1">
        <f>COUNTIF(nzdesgn[NAME],OWNED[[#This Row],[bgg_name]])</f>
        <v>0</v>
      </c>
    </row>
    <row r="176" spans="1:9" x14ac:dyDescent="0.25">
      <c r="A176" t="s">
        <v>68</v>
      </c>
      <c r="B176" s="1">
        <v>423789</v>
      </c>
      <c r="C176" s="1"/>
      <c r="D176" s="1">
        <f>COUNTIF(OWNED[bgg_id],OWNED[[#This Row],[bgg_id]])</f>
        <v>1</v>
      </c>
      <c r="E176" s="1" t="str">
        <f>_xlfn.XLOOKUP(OWNED[[#This Row],[bgg_id]],bgg_cache[id],bgg_cache[title])</f>
        <v>Three Arrows</v>
      </c>
      <c r="F176" s="1" t="b">
        <f>EXACT(OWNED[[#This Row],[name]],OWNED[[#This Row],[bgg_name]])</f>
        <v>1</v>
      </c>
      <c r="G176" s="1" t="s">
        <v>2473</v>
      </c>
      <c r="H176" s="1" t="b">
        <f>_xlfn.XLOOKUP(OWNED[[#This Row],[bgg_id]],library_data[bgg_id],library_data[mana_meeple_category])=OWNED[[#This Row],[category]]</f>
        <v>1</v>
      </c>
      <c r="I176" s="1">
        <f>COUNTIF(nzdesgn[NAME],OWNED[[#This Row],[bgg_name]])</f>
        <v>1</v>
      </c>
    </row>
    <row r="177" spans="1:9" x14ac:dyDescent="0.25">
      <c r="A177" s="1" t="s">
        <v>9</v>
      </c>
      <c r="B177" s="1">
        <v>503</v>
      </c>
      <c r="C177" s="1"/>
      <c r="D177" s="1">
        <f>COUNTIF(OWNED[bgg_id],OWNED[[#This Row],[bgg_id]])</f>
        <v>1</v>
      </c>
      <c r="E177" s="1" t="str">
        <f>_xlfn.XLOOKUP(OWNED[[#This Row],[bgg_id]],bgg_cache[id],bgg_cache[title])</f>
        <v>Through the Desert</v>
      </c>
      <c r="F177" s="1" t="b">
        <f>EXACT(OWNED[[#This Row],[name]],OWNED[[#This Row],[bgg_name]])</f>
        <v>1</v>
      </c>
      <c r="G177" s="1" t="s">
        <v>2471</v>
      </c>
      <c r="H177" s="1" t="b">
        <f>_xlfn.XLOOKUP(OWNED[[#This Row],[bgg_id]],library_data[bgg_id],library_data[mana_meeple_category])=OWNED[[#This Row],[category]]</f>
        <v>1</v>
      </c>
      <c r="I177" s="1">
        <f>COUNTIF(nzdesgn[NAME],OWNED[[#This Row],[bgg_name]])</f>
        <v>0</v>
      </c>
    </row>
    <row r="178" spans="1:9" x14ac:dyDescent="0.25">
      <c r="A178" s="1" t="s">
        <v>47</v>
      </c>
      <c r="B178" s="1">
        <v>215</v>
      </c>
      <c r="C178" s="1"/>
      <c r="D178" s="1">
        <f>COUNTIF(OWNED[bgg_id],OWNED[[#This Row],[bgg_id]])</f>
        <v>1</v>
      </c>
      <c r="E178" s="1" t="str">
        <f>_xlfn.XLOOKUP(OWNED[[#This Row],[bgg_id]],bgg_cache[id],bgg_cache[title])</f>
        <v>Tichu</v>
      </c>
      <c r="F178" s="1" t="b">
        <f>EXACT(OWNED[[#This Row],[name]],OWNED[[#This Row],[bgg_name]])</f>
        <v>1</v>
      </c>
      <c r="G178" s="1" t="s">
        <v>2473</v>
      </c>
      <c r="H178" s="1" t="b">
        <f>_xlfn.XLOOKUP(OWNED[[#This Row],[bgg_id]],library_data[bgg_id],library_data[mana_meeple_category])=OWNED[[#This Row],[category]]</f>
        <v>1</v>
      </c>
      <c r="I178" s="1">
        <f>COUNTIF(nzdesgn[NAME],OWNED[[#This Row],[bgg_name]])</f>
        <v>0</v>
      </c>
    </row>
    <row r="179" spans="1:9" x14ac:dyDescent="0.25">
      <c r="A179" s="1" t="s">
        <v>6</v>
      </c>
      <c r="B179" s="1">
        <v>14996</v>
      </c>
      <c r="C179" s="1"/>
      <c r="D179" s="1">
        <f>COUNTIF(OWNED[bgg_id],OWNED[[#This Row],[bgg_id]])</f>
        <v>1</v>
      </c>
      <c r="E179" s="1" t="str">
        <f>_xlfn.XLOOKUP(OWNED[[#This Row],[bgg_id]],bgg_cache[id],bgg_cache[title])</f>
        <v>Ticket to Ride: Europe</v>
      </c>
      <c r="F179" s="1" t="b">
        <f>EXACT(OWNED[[#This Row],[name]],OWNED[[#This Row],[bgg_name]])</f>
        <v>1</v>
      </c>
      <c r="G179" s="1" t="s">
        <v>2471</v>
      </c>
      <c r="H179" s="1" t="b">
        <f>_xlfn.XLOOKUP(OWNED[[#This Row],[bgg_id]],library_data[bgg_id],library_data[mana_meeple_category])=OWNED[[#This Row],[category]]</f>
        <v>1</v>
      </c>
      <c r="I179" s="1">
        <f>COUNTIF(nzdesgn[NAME],OWNED[[#This Row],[bgg_name]])</f>
        <v>0</v>
      </c>
    </row>
    <row r="180" spans="1:9" x14ac:dyDescent="0.25">
      <c r="A180" s="1" t="s">
        <v>471</v>
      </c>
      <c r="B180" s="1">
        <v>205125</v>
      </c>
      <c r="C180" s="1"/>
      <c r="D180" s="1">
        <f>COUNTIF(OWNED[bgg_id],OWNED[[#This Row],[bgg_id]])</f>
        <v>1</v>
      </c>
      <c r="E180" s="1" t="str">
        <f>_xlfn.XLOOKUP(OWNED[[#This Row],[bgg_id]],bgg_cache[id],bgg_cache[title])</f>
        <v>Ticket to Ride: First Journey (U.S.)</v>
      </c>
      <c r="F180" s="1" t="b">
        <f>EXACT(OWNED[[#This Row],[name]],OWNED[[#This Row],[bgg_name]])</f>
        <v>1</v>
      </c>
      <c r="G180" s="1" t="s">
        <v>2472</v>
      </c>
      <c r="H180" s="1" t="b">
        <f>_xlfn.XLOOKUP(OWNED[[#This Row],[bgg_id]],library_data[bgg_id],library_data[mana_meeple_category])=OWNED[[#This Row],[category]]</f>
        <v>1</v>
      </c>
      <c r="I180" s="1">
        <f>COUNTIF(nzdesgn[NAME],OWNED[[#This Row],[bgg_name]])</f>
        <v>0</v>
      </c>
    </row>
    <row r="181" spans="1:9" x14ac:dyDescent="0.25">
      <c r="A181" s="1" t="s">
        <v>252</v>
      </c>
      <c r="B181" s="1">
        <v>295192</v>
      </c>
      <c r="C181" s="1"/>
      <c r="D181" s="1">
        <f>COUNTIF(OWNED[bgg_id],OWNED[[#This Row],[bgg_id]])</f>
        <v>1</v>
      </c>
      <c r="E181" s="1" t="str">
        <f>_xlfn.XLOOKUP(OWNED[[#This Row],[bgg_id]],bgg_cache[id],bgg_cache[title])</f>
        <v>Tinderblox</v>
      </c>
      <c r="F181" s="1" t="b">
        <f>EXACT(OWNED[[#This Row],[name]],OWNED[[#This Row],[bgg_name]])</f>
        <v>1</v>
      </c>
      <c r="G181" s="1" t="s">
        <v>2472</v>
      </c>
      <c r="H181" s="1" t="b">
        <f>_xlfn.XLOOKUP(OWNED[[#This Row],[bgg_id]],library_data[bgg_id],library_data[mana_meeple_category])=OWNED[[#This Row],[category]]</f>
        <v>1</v>
      </c>
      <c r="I181" s="1">
        <f>COUNTIF(nzdesgn[NAME],OWNED[[#This Row],[bgg_name]])</f>
        <v>0</v>
      </c>
    </row>
    <row r="182" spans="1:9" x14ac:dyDescent="0.25">
      <c r="A182" s="1" t="str">
        <f>_xlfn.XLOOKUP(OWNED[[#This Row],[bgg_id]],bgg_cache[id],bgg_cache[title])</f>
        <v>Trapwords</v>
      </c>
      <c r="B182" s="1">
        <v>257527</v>
      </c>
      <c r="C182" s="1">
        <v>1</v>
      </c>
      <c r="D182" s="1">
        <f>COUNTIF(OWNED[bgg_id],OWNED[[#This Row],[bgg_id]])</f>
        <v>1</v>
      </c>
      <c r="E182" s="1" t="str">
        <f>_xlfn.XLOOKUP(OWNED[[#This Row],[bgg_id]],bgg_cache[id],bgg_cache[title])</f>
        <v>Trapwords</v>
      </c>
      <c r="F182" s="1" t="b">
        <f>EXACT(OWNED[[#This Row],[name]],OWNED[[#This Row],[bgg_name]])</f>
        <v>1</v>
      </c>
      <c r="G182" s="1"/>
      <c r="H182" s="1" t="e">
        <f>_xlfn.XLOOKUP(OWNED[[#This Row],[bgg_id]],library_data[bgg_id],library_data[mana_meeple_category])=OWNED[[#This Row],[category]]</f>
        <v>#N/A</v>
      </c>
      <c r="I182" s="1">
        <f>COUNTIF(nzdesgn[NAME],OWNED[[#This Row],[bgg_name]])</f>
        <v>0</v>
      </c>
    </row>
    <row r="183" spans="1:9" x14ac:dyDescent="0.25">
      <c r="A183" s="1" t="s">
        <v>3</v>
      </c>
      <c r="B183" s="1">
        <v>16992</v>
      </c>
      <c r="C183" s="1"/>
      <c r="D183" s="1">
        <f>COUNTIF(OWNED[bgg_id],OWNED[[#This Row],[bgg_id]])</f>
        <v>1</v>
      </c>
      <c r="E183" s="1" t="str">
        <f>_xlfn.XLOOKUP(OWNED[[#This Row],[bgg_id]],bgg_cache[id],bgg_cache[title])</f>
        <v>Tsuro</v>
      </c>
      <c r="F183" s="1" t="b">
        <f>EXACT(OWNED[[#This Row],[name]],OWNED[[#This Row],[bgg_name]])</f>
        <v>1</v>
      </c>
      <c r="G183" s="1" t="s">
        <v>2473</v>
      </c>
      <c r="H183" s="1" t="b">
        <f>_xlfn.XLOOKUP(OWNED[[#This Row],[bgg_id]],library_data[bgg_id],library_data[mana_meeple_category])=OWNED[[#This Row],[category]]</f>
        <v>1</v>
      </c>
      <c r="I183" s="1">
        <f>COUNTIF(nzdesgn[NAME],OWNED[[#This Row],[bgg_name]])</f>
        <v>0</v>
      </c>
    </row>
    <row r="184" spans="1:9" x14ac:dyDescent="0.25">
      <c r="A184" s="1" t="s">
        <v>40</v>
      </c>
      <c r="B184" s="1">
        <v>233078</v>
      </c>
      <c r="C184" s="1"/>
      <c r="D184" s="1">
        <f>COUNTIF(OWNED[bgg_id],OWNED[[#This Row],[bgg_id]])</f>
        <v>1</v>
      </c>
      <c r="E184" s="1" t="str">
        <f>_xlfn.XLOOKUP(OWNED[[#This Row],[bgg_id]],bgg_cache[id],bgg_cache[title])</f>
        <v>Twilight Imperium: Fourth Edition</v>
      </c>
      <c r="F184" s="1" t="b">
        <f>EXACT(OWNED[[#This Row],[name]],OWNED[[#This Row],[bgg_name]])</f>
        <v>1</v>
      </c>
      <c r="G184" s="1" t="s">
        <v>2474</v>
      </c>
      <c r="H184" s="1" t="b">
        <f>_xlfn.XLOOKUP(OWNED[[#This Row],[bgg_id]],library_data[bgg_id],library_data[mana_meeple_category])=OWNED[[#This Row],[category]]</f>
        <v>1</v>
      </c>
      <c r="I184" s="1">
        <f>COUNTIF(nzdesgn[NAME],OWNED[[#This Row],[bgg_name]])</f>
        <v>0</v>
      </c>
    </row>
    <row r="185" spans="1:9" x14ac:dyDescent="0.25">
      <c r="A185" s="1" t="s">
        <v>52</v>
      </c>
      <c r="B185" s="1">
        <v>12333</v>
      </c>
      <c r="C185" s="1"/>
      <c r="D185" s="1">
        <f>COUNTIF(OWNED[bgg_id],OWNED[[#This Row],[bgg_id]])</f>
        <v>1</v>
      </c>
      <c r="E185" s="1" t="str">
        <f>_xlfn.XLOOKUP(OWNED[[#This Row],[bgg_id]],bgg_cache[id],bgg_cache[title])</f>
        <v>Twilight Struggle</v>
      </c>
      <c r="F185" s="1" t="b">
        <f>EXACT(OWNED[[#This Row],[name]],OWNED[[#This Row],[bgg_name]])</f>
        <v>1</v>
      </c>
      <c r="G185" s="1" t="s">
        <v>2474</v>
      </c>
      <c r="H185" s="1" t="b">
        <f>_xlfn.XLOOKUP(OWNED[[#This Row],[bgg_id]],library_data[bgg_id],library_data[mana_meeple_category])=OWNED[[#This Row],[category]]</f>
        <v>1</v>
      </c>
      <c r="I185" s="1">
        <f>COUNTIF(nzdesgn[NAME],OWNED[[#This Row],[bgg_name]])</f>
        <v>0</v>
      </c>
    </row>
    <row r="186" spans="1:9" x14ac:dyDescent="0.25">
      <c r="A186" s="1" t="s">
        <v>83</v>
      </c>
      <c r="B186" s="1">
        <v>374447</v>
      </c>
      <c r="C186" s="1"/>
      <c r="D186" s="1">
        <f>COUNTIF(OWNED[bgg_id],OWNED[[#This Row],[bgg_id]])</f>
        <v>1</v>
      </c>
      <c r="E186" s="1" t="str">
        <f>_xlfn.XLOOKUP(OWNED[[#This Row],[bgg_id]],bgg_cache[id],bgg_cache[title])</f>
        <v>Ulterior Design</v>
      </c>
      <c r="F186" s="1" t="b">
        <f>EXACT(OWNED[[#This Row],[name]],OWNED[[#This Row],[bgg_name]])</f>
        <v>1</v>
      </c>
      <c r="G186" s="1" t="s">
        <v>2473</v>
      </c>
      <c r="H186" s="1" t="b">
        <f>_xlfn.XLOOKUP(OWNED[[#This Row],[bgg_id]],library_data[bgg_id],library_data[mana_meeple_category])=OWNED[[#This Row],[category]]</f>
        <v>1</v>
      </c>
      <c r="I186" s="1">
        <f>COUNTIF(nzdesgn[NAME],OWNED[[#This Row],[bgg_name]])</f>
        <v>1</v>
      </c>
    </row>
    <row r="187" spans="1:9" x14ac:dyDescent="0.25">
      <c r="A187" s="1" t="s">
        <v>780</v>
      </c>
      <c r="B187" s="1">
        <v>391995</v>
      </c>
      <c r="C187" s="1"/>
      <c r="D187" s="1">
        <f>COUNTIF(OWNED[bgg_id],OWNED[[#This Row],[bgg_id]])</f>
        <v>1</v>
      </c>
      <c r="E187" s="1" t="str">
        <f>_xlfn.XLOOKUP(OWNED[[#This Row],[bgg_id]],bgg_cache[id],bgg_cache[title])</f>
        <v>Unlock!: Short Adventures – Red Mask</v>
      </c>
      <c r="F187" s="1" t="b">
        <f>EXACT(OWNED[[#This Row],[name]],OWNED[[#This Row],[bgg_name]])</f>
        <v>1</v>
      </c>
      <c r="G187" s="1" t="s">
        <v>2470</v>
      </c>
      <c r="H187" s="1" t="b">
        <f>_xlfn.XLOOKUP(OWNED[[#This Row],[bgg_id]],library_data[bgg_id],library_data[mana_meeple_category])=OWNED[[#This Row],[category]]</f>
        <v>1</v>
      </c>
      <c r="I187" s="1">
        <f>COUNTIF(nzdesgn[NAME],OWNED[[#This Row],[bgg_name]])</f>
        <v>0</v>
      </c>
    </row>
    <row r="188" spans="1:9" x14ac:dyDescent="0.25">
      <c r="A188" s="1" t="s">
        <v>285</v>
      </c>
      <c r="B188" s="1">
        <v>2223</v>
      </c>
      <c r="C188" s="1"/>
      <c r="D188" s="1">
        <f>COUNTIF(OWNED[bgg_id],OWNED[[#This Row],[bgg_id]])</f>
        <v>1</v>
      </c>
      <c r="E188" s="1" t="str">
        <f>_xlfn.XLOOKUP(OWNED[[#This Row],[bgg_id]],bgg_cache[id],bgg_cache[title])</f>
        <v>UNO</v>
      </c>
      <c r="F188" s="1" t="b">
        <f>EXACT(OWNED[[#This Row],[name]],OWNED[[#This Row],[bgg_name]])</f>
        <v>1</v>
      </c>
      <c r="G188" s="1" t="s">
        <v>2473</v>
      </c>
      <c r="H188" s="1" t="b">
        <f>_xlfn.XLOOKUP(OWNED[[#This Row],[bgg_id]],library_data[bgg_id],library_data[mana_meeple_category])=OWNED[[#This Row],[category]]</f>
        <v>1</v>
      </c>
      <c r="I188" s="1">
        <f>COUNTIF(nzdesgn[NAME],OWNED[[#This Row],[bgg_name]])</f>
        <v>0</v>
      </c>
    </row>
    <row r="189" spans="1:9" x14ac:dyDescent="0.25">
      <c r="A189" s="1" t="s">
        <v>473</v>
      </c>
      <c r="B189" s="1">
        <v>399088</v>
      </c>
      <c r="C189" s="1"/>
      <c r="D189" s="1">
        <f>COUNTIF(OWNED[bgg_id],OWNED[[#This Row],[bgg_id]])</f>
        <v>1</v>
      </c>
      <c r="E189" s="1" t="str">
        <f>_xlfn.XLOOKUP(OWNED[[#This Row],[bgg_id]],bgg_cache[id],bgg_cache[title])</f>
        <v>UNO: Show 'Em No Mercy</v>
      </c>
      <c r="F189" s="1" t="b">
        <f>EXACT(OWNED[[#This Row],[name]],OWNED[[#This Row],[bgg_name]])</f>
        <v>1</v>
      </c>
      <c r="G189" s="1" t="s">
        <v>2473</v>
      </c>
      <c r="H189" s="1" t="b">
        <f>_xlfn.XLOOKUP(OWNED[[#This Row],[bgg_id]],library_data[bgg_id],library_data[mana_meeple_category])=OWNED[[#This Row],[category]]</f>
        <v>1</v>
      </c>
      <c r="I189" s="1">
        <f>COUNTIF(nzdesgn[NAME],OWNED[[#This Row],[bgg_name]])</f>
        <v>0</v>
      </c>
    </row>
    <row r="190" spans="1:9" x14ac:dyDescent="0.25">
      <c r="A190" s="1" t="s">
        <v>203</v>
      </c>
      <c r="B190" s="1">
        <v>183394</v>
      </c>
      <c r="C190" s="1"/>
      <c r="D190" s="1">
        <f>COUNTIF(OWNED[bgg_id],OWNED[[#This Row],[bgg_id]])</f>
        <v>1</v>
      </c>
      <c r="E190" s="1" t="str">
        <f>_xlfn.XLOOKUP(OWNED[[#This Row],[bgg_id]],bgg_cache[id],bgg_cache[title])</f>
        <v>Viticulture Essential Edition</v>
      </c>
      <c r="F190" s="1" t="b">
        <f>EXACT(OWNED[[#This Row],[name]],OWNED[[#This Row],[bgg_name]])</f>
        <v>1</v>
      </c>
      <c r="G190" s="1" t="s">
        <v>2474</v>
      </c>
      <c r="H190" s="1" t="b">
        <f>_xlfn.XLOOKUP(OWNED[[#This Row],[bgg_id]],library_data[bgg_id],library_data[mana_meeple_category])=OWNED[[#This Row],[category]]</f>
        <v>1</v>
      </c>
      <c r="I190" s="1">
        <f>COUNTIF(nzdesgn[NAME],OWNED[[#This Row],[bgg_name]])</f>
        <v>0</v>
      </c>
    </row>
    <row r="191" spans="1:9" x14ac:dyDescent="0.25">
      <c r="A191" s="1" t="s">
        <v>97</v>
      </c>
      <c r="B191" s="1">
        <v>262543</v>
      </c>
      <c r="C191" s="1"/>
      <c r="D191" s="1">
        <f>COUNTIF(OWNED[bgg_id],OWNED[[#This Row],[bgg_id]])</f>
        <v>1</v>
      </c>
      <c r="E191" s="1" t="str">
        <f>_xlfn.XLOOKUP(OWNED[[#This Row],[bgg_id]],bgg_cache[id],bgg_cache[title])</f>
        <v>Wavelength</v>
      </c>
      <c r="F191" s="1" t="b">
        <f>EXACT(OWNED[[#This Row],[name]],OWNED[[#This Row],[bgg_name]])</f>
        <v>1</v>
      </c>
      <c r="G191" s="1" t="s">
        <v>2473</v>
      </c>
      <c r="H191" s="1" t="b">
        <f>_xlfn.XLOOKUP(OWNED[[#This Row],[bgg_id]],library_data[bgg_id],library_data[mana_meeple_category])=OWNED[[#This Row],[category]]</f>
        <v>1</v>
      </c>
      <c r="I191" s="1">
        <f>COUNTIF(nzdesgn[NAME],OWNED[[#This Row],[bgg_name]])</f>
        <v>0</v>
      </c>
    </row>
    <row r="192" spans="1:9" x14ac:dyDescent="0.25">
      <c r="A192" s="1" t="s">
        <v>605</v>
      </c>
      <c r="B192" s="1">
        <v>233867</v>
      </c>
      <c r="C192" s="1">
        <v>1</v>
      </c>
      <c r="D192" s="1">
        <f>COUNTIF(OWNED[bgg_id],OWNED[[#This Row],[bgg_id]])</f>
        <v>1</v>
      </c>
      <c r="E192" s="1" t="str">
        <f>_xlfn.XLOOKUP(OWNED[[#This Row],[bgg_id]],bgg_cache[id],bgg_cache[title])</f>
        <v>Welcome To...</v>
      </c>
      <c r="F192" s="1" t="b">
        <f>EXACT(OWNED[[#This Row],[name]],OWNED[[#This Row],[bgg_name]])</f>
        <v>1</v>
      </c>
      <c r="G192" s="1"/>
      <c r="H192" s="1" t="e">
        <f>_xlfn.XLOOKUP(OWNED[[#This Row],[bgg_id]],library_data[bgg_id],library_data[mana_meeple_category])=OWNED[[#This Row],[category]]</f>
        <v>#N/A</v>
      </c>
      <c r="I192" s="1">
        <f>COUNTIF(nzdesgn[NAME],OWNED[[#This Row],[bgg_name]])</f>
        <v>0</v>
      </c>
    </row>
    <row r="193" spans="1:9" x14ac:dyDescent="0.25">
      <c r="A193" s="1" t="s">
        <v>5</v>
      </c>
      <c r="B193" s="1">
        <v>232405</v>
      </c>
      <c r="C193" s="1"/>
      <c r="D193" s="1">
        <f>COUNTIF(OWNED[bgg_id],OWNED[[#This Row],[bgg_id]])</f>
        <v>1</v>
      </c>
      <c r="E193" s="1" t="str">
        <f>_xlfn.XLOOKUP(OWNED[[#This Row],[bgg_id]],bgg_cache[id],bgg_cache[title])</f>
        <v>Western Legends</v>
      </c>
      <c r="F193" s="1" t="b">
        <f>EXACT(OWNED[[#This Row],[name]],OWNED[[#This Row],[bgg_name]])</f>
        <v>1</v>
      </c>
      <c r="G193" s="1" t="s">
        <v>2474</v>
      </c>
      <c r="H193" s="1" t="b">
        <f>_xlfn.XLOOKUP(OWNED[[#This Row],[bgg_id]],library_data[bgg_id],library_data[mana_meeple_category])=OWNED[[#This Row],[category]]</f>
        <v>1</v>
      </c>
      <c r="I193" s="1">
        <f>COUNTIF(nzdesgn[NAME],OWNED[[#This Row],[bgg_name]])</f>
        <v>0</v>
      </c>
    </row>
    <row r="194" spans="1:9" x14ac:dyDescent="0.25">
      <c r="A194" s="1" t="s">
        <v>103</v>
      </c>
      <c r="B194" s="1">
        <v>266192</v>
      </c>
      <c r="C194" s="1"/>
      <c r="D194" s="1">
        <f>COUNTIF(OWNED[bgg_id],OWNED[[#This Row],[bgg_id]])</f>
        <v>1</v>
      </c>
      <c r="E194" s="1" t="str">
        <f>_xlfn.XLOOKUP(OWNED[[#This Row],[bgg_id]],bgg_cache[id],bgg_cache[title])</f>
        <v>Wingspan</v>
      </c>
      <c r="F194" s="1" t="b">
        <f>EXACT(OWNED[[#This Row],[name]],OWNED[[#This Row],[bgg_name]])</f>
        <v>1</v>
      </c>
      <c r="G194" s="1" t="s">
        <v>2474</v>
      </c>
      <c r="H194" s="1" t="b">
        <f>_xlfn.XLOOKUP(OWNED[[#This Row],[bgg_id]],library_data[bgg_id],library_data[mana_meeple_category])=OWNED[[#This Row],[category]]</f>
        <v>1</v>
      </c>
      <c r="I194" s="1">
        <f>COUNTIF(nzdesgn[NAME],OWNED[[#This Row],[bgg_name]])</f>
        <v>0</v>
      </c>
    </row>
    <row r="195" spans="1:9" x14ac:dyDescent="0.25">
      <c r="A195" s="1" t="s">
        <v>298</v>
      </c>
      <c r="B195" s="1">
        <v>366161</v>
      </c>
      <c r="C195" s="1"/>
      <c r="D195" s="1">
        <f>COUNTIF(OWNED[bgg_id],OWNED[[#This Row],[bgg_id]])</f>
        <v>1</v>
      </c>
      <c r="E195" s="1" t="str">
        <f>_xlfn.XLOOKUP(OWNED[[#This Row],[bgg_id]],bgg_cache[id],bgg_cache[title])</f>
        <v>Wingspan Asia</v>
      </c>
      <c r="F195" s="1" t="b">
        <f>EXACT(OWNED[[#This Row],[name]],OWNED[[#This Row],[bgg_name]])</f>
        <v>1</v>
      </c>
      <c r="G195" s="1" t="s">
        <v>2474</v>
      </c>
      <c r="H195" s="1" t="b">
        <f>_xlfn.XLOOKUP(OWNED[[#This Row],[bgg_id]],library_data[bgg_id],library_data[mana_meeple_category])=OWNED[[#This Row],[category]]</f>
        <v>1</v>
      </c>
      <c r="I195" s="1">
        <f>COUNTIF(nzdesgn[NAME],OWNED[[#This Row],[bgg_name]])</f>
        <v>0</v>
      </c>
    </row>
    <row r="196" spans="1:9" x14ac:dyDescent="0.25">
      <c r="A196" s="1" t="s">
        <v>84</v>
      </c>
      <c r="B196" s="1">
        <v>315624</v>
      </c>
      <c r="C196" s="1"/>
      <c r="D196" s="1">
        <f>COUNTIF(OWNED[bgg_id],OWNED[[#This Row],[bgg_id]])</f>
        <v>1</v>
      </c>
      <c r="E196" s="1" t="str">
        <f>_xlfn.XLOOKUP(OWNED[[#This Row],[bgg_id]],bgg_cache[id],bgg_cache[title])</f>
        <v>World Changers</v>
      </c>
      <c r="F196" s="1" t="b">
        <f>EXACT(OWNED[[#This Row],[name]],OWNED[[#This Row],[bgg_name]])</f>
        <v>1</v>
      </c>
      <c r="G196" s="1" t="s">
        <v>2473</v>
      </c>
      <c r="H196" s="1" t="b">
        <f>_xlfn.XLOOKUP(OWNED[[#This Row],[bgg_id]],library_data[bgg_id],library_data[mana_meeple_category])=OWNED[[#This Row],[category]]</f>
        <v>1</v>
      </c>
      <c r="I196" s="1">
        <f>COUNTIF(nzdesgn[NAME],OWNED[[#This Row],[bgg_name]])</f>
        <v>1</v>
      </c>
    </row>
    <row r="197" spans="1:9" x14ac:dyDescent="0.25">
      <c r="A197" s="1" t="s">
        <v>31</v>
      </c>
      <c r="B197" s="1">
        <v>163602</v>
      </c>
      <c r="C197" s="1"/>
      <c r="D197" s="1">
        <f>COUNTIF(OWNED[bgg_id],OWNED[[#This Row],[bgg_id]])</f>
        <v>1</v>
      </c>
      <c r="E197" s="1" t="str">
        <f>_xlfn.XLOOKUP(OWNED[[#This Row],[bgg_id]],bgg_cache[id],bgg_cache[title])</f>
        <v>XCOM: The Board Game</v>
      </c>
      <c r="F197" s="1" t="b">
        <f>EXACT(OWNED[[#This Row],[name]],OWNED[[#This Row],[bgg_name]])</f>
        <v>1</v>
      </c>
      <c r="G197" s="1" t="s">
        <v>2470</v>
      </c>
      <c r="H197" s="1" t="b">
        <f>_xlfn.XLOOKUP(OWNED[[#This Row],[bgg_id]],library_data[bgg_id],library_data[mana_meeple_category])=OWNED[[#This Row],[category]]</f>
        <v>1</v>
      </c>
      <c r="I197" s="1">
        <f>COUNTIF(nzdesgn[NAME],OWNED[[#This Row],[bgg_name]])</f>
        <v>0</v>
      </c>
    </row>
    <row r="198" spans="1:9" x14ac:dyDescent="0.25">
      <c r="A198" s="1" t="s">
        <v>740</v>
      </c>
      <c r="B198" s="1">
        <v>62871</v>
      </c>
      <c r="C198" s="1"/>
      <c r="D198" s="1">
        <f>COUNTIF(OWNED[bgg_id],OWNED[[#This Row],[bgg_id]])</f>
        <v>1</v>
      </c>
      <c r="E198" s="1" t="str">
        <f>_xlfn.XLOOKUP(OWNED[[#This Row],[bgg_id]],bgg_cache[id],bgg_cache[title])</f>
        <v>Zombie Dice</v>
      </c>
      <c r="F198" s="1" t="b">
        <f>EXACT(OWNED[[#This Row],[name]],OWNED[[#This Row],[bgg_name]])</f>
        <v>1</v>
      </c>
      <c r="G198" s="1" t="s">
        <v>2473</v>
      </c>
      <c r="H198" s="1" t="b">
        <f>_xlfn.XLOOKUP(OWNED[[#This Row],[bgg_id]],library_data[bgg_id],library_data[mana_meeple_category])=OWNED[[#This Row],[category]]</f>
        <v>1</v>
      </c>
      <c r="I198" s="1">
        <f>COUNTIF(nzdesgn[NAME],OWNED[[#This Row],[bgg_name]])</f>
        <v>0</v>
      </c>
    </row>
    <row r="199" spans="1:9" x14ac:dyDescent="0.25">
      <c r="A199" s="1" t="s">
        <v>34</v>
      </c>
      <c r="B199" s="1">
        <v>256952</v>
      </c>
      <c r="C199" s="1"/>
      <c r="D199" s="1">
        <f>COUNTIF(OWNED[bgg_id],OWNED[[#This Row],[bgg_id]])</f>
        <v>1</v>
      </c>
      <c r="E199" s="1" t="str">
        <f>_xlfn.XLOOKUP(OWNED[[#This Row],[bgg_id]],bgg_cache[id],bgg_cache[title])</f>
        <v>Zombie Kidz Evolution</v>
      </c>
      <c r="F199" s="1" t="b">
        <f>EXACT(OWNED[[#This Row],[name]],OWNED[[#This Row],[bgg_name]])</f>
        <v>1</v>
      </c>
      <c r="G199" s="1" t="s">
        <v>2472</v>
      </c>
      <c r="H199" s="1" t="b">
        <f>_xlfn.XLOOKUP(OWNED[[#This Row],[bgg_id]],library_data[bgg_id],library_data[mana_meeple_category])=OWNED[[#This Row],[category]]</f>
        <v>1</v>
      </c>
      <c r="I199" s="1">
        <f>COUNTIF(nzdesgn[NAME],OWNED[[#This Row],[bgg_name]])</f>
        <v>0</v>
      </c>
    </row>
    <row r="200" spans="1:9" x14ac:dyDescent="0.25">
      <c r="A200" s="1" t="s">
        <v>1685</v>
      </c>
      <c r="B200" s="1">
        <v>9209</v>
      </c>
      <c r="C200" s="1">
        <v>1</v>
      </c>
      <c r="D200" s="1">
        <f>COUNTIF(OWNED[bgg_id],OWNED[[#This Row],[bgg_id]])</f>
        <v>1</v>
      </c>
      <c r="E200" s="1" t="str">
        <f>_xlfn.XLOOKUP(OWNED[[#This Row],[bgg_id]],bgg_cache[id],bgg_cache[title])</f>
        <v>Ticket to Ride</v>
      </c>
      <c r="F200" s="1" t="b">
        <f>EXACT(OWNED[[#This Row],[name]],OWNED[[#This Row],[bgg_name]])</f>
        <v>1</v>
      </c>
      <c r="G200" s="1"/>
      <c r="H200" s="1" t="e">
        <f>_xlfn.XLOOKUP(OWNED[[#This Row],[bgg_id]],library_data[bgg_id],library_data[mana_meeple_category])=OWNED[[#This Row],[category]]</f>
        <v>#N/A</v>
      </c>
      <c r="I200" s="1">
        <f>COUNTIF(nzdesgn[NAME],OWNED[[#This Row],[bgg_name]])</f>
        <v>0</v>
      </c>
    </row>
    <row r="201" spans="1:9" x14ac:dyDescent="0.25">
      <c r="A201" s="1" t="s">
        <v>669</v>
      </c>
      <c r="B201" s="1">
        <v>304783</v>
      </c>
      <c r="C201" s="1"/>
      <c r="D201" s="1">
        <f>COUNTIF(OWNED[bgg_id],OWNED[[#This Row],[bgg_id]])</f>
        <v>1</v>
      </c>
      <c r="E201" s="1" t="str">
        <f>_xlfn.XLOOKUP(OWNED[[#This Row],[bgg_id]],bgg_cache[id],bgg_cache[title])</f>
        <v>Hadrian's Wall</v>
      </c>
      <c r="F201" s="1" t="b">
        <f>EXACT(OWNED[[#This Row],[name]],OWNED[[#This Row],[bgg_name]])</f>
        <v>1</v>
      </c>
      <c r="G201" s="1"/>
      <c r="H201" s="1" t="e">
        <f>_xlfn.XLOOKUP(OWNED[[#This Row],[bgg_id]],library_data[bgg_id],library_data[mana_meeple_category])=OWNED[[#This Row],[category]]</f>
        <v>#N/A</v>
      </c>
      <c r="I201" s="1">
        <f>COUNTIF(nzdesgn[NAME],OWNED[[#This Row],[bgg_name]])</f>
        <v>0</v>
      </c>
    </row>
    <row r="202" spans="1:9" x14ac:dyDescent="0.25">
      <c r="A202" s="1" t="s">
        <v>96</v>
      </c>
      <c r="B202" s="1">
        <v>329839</v>
      </c>
      <c r="C202" s="1">
        <v>1</v>
      </c>
      <c r="D202" s="17">
        <f>COUNTIF(OWNED[bgg_id],OWNED[[#This Row],[bgg_id]])</f>
        <v>1</v>
      </c>
      <c r="E202" s="17" t="str">
        <f>_xlfn.XLOOKUP(OWNED[[#This Row],[bgg_id]],bgg_cache[id],bgg_cache[title])</f>
        <v>So Clover!</v>
      </c>
      <c r="F202" s="17" t="b">
        <f>EXACT(OWNED[[#This Row],[name]],OWNED[[#This Row],[bgg_name]])</f>
        <v>1</v>
      </c>
      <c r="G202" s="17"/>
      <c r="H202" s="17" t="e">
        <f>_xlfn.XLOOKUP(OWNED[[#This Row],[bgg_id]],library_data[bgg_id],library_data[mana_meeple_category])=OWNED[[#This Row],[category]]</f>
        <v>#N/A</v>
      </c>
      <c r="I202" s="17">
        <f>COUNTIF(nzdesgn[NAME],OWNED[[#This Row],[bgg_name]])</f>
        <v>0</v>
      </c>
    </row>
    <row r="203" spans="1:9" x14ac:dyDescent="0.25">
      <c r="A203" s="1" t="s">
        <v>5395</v>
      </c>
      <c r="B203" s="1">
        <v>223278</v>
      </c>
      <c r="C203" s="1"/>
      <c r="D203" s="17">
        <f>COUNTIF(OWNED[bgg_id],OWNED[[#This Row],[bgg_id]])</f>
        <v>1</v>
      </c>
      <c r="E203" s="17" t="e">
        <f>_xlfn.XLOOKUP(OWNED[[#This Row],[bgg_id]],bgg_cache[id],bgg_cache[title])</f>
        <v>#N/A</v>
      </c>
      <c r="F203" s="17" t="e">
        <f>EXACT(OWNED[[#This Row],[name]],OWNED[[#This Row],[bgg_name]])</f>
        <v>#N/A</v>
      </c>
      <c r="G203" s="17"/>
      <c r="H203" s="17" t="e">
        <f>_xlfn.XLOOKUP(OWNED[[#This Row],[bgg_id]],library_data[bgg_id],library_data[mana_meeple_category])=OWNED[[#This Row],[category]]</f>
        <v>#N/A</v>
      </c>
      <c r="I203" s="17">
        <f>COUNTIF(nzdesgn[NAME],OWNED[[#This Row],[bgg_name]])</f>
        <v>0</v>
      </c>
    </row>
    <row r="204" spans="1:9" x14ac:dyDescent="0.25">
      <c r="A204" s="1" t="s">
        <v>5396</v>
      </c>
      <c r="B204" s="1">
        <v>48726</v>
      </c>
      <c r="C204" s="1"/>
      <c r="D204" s="17">
        <f>COUNTIF(OWNED[bgg_id],OWNED[[#This Row],[bgg_id]])</f>
        <v>1</v>
      </c>
      <c r="E204" s="17" t="e">
        <f>_xlfn.XLOOKUP(OWNED[[#This Row],[bgg_id]],bgg_cache[id],bgg_cache[title])</f>
        <v>#N/A</v>
      </c>
      <c r="F204" s="17" t="e">
        <f>EXACT(OWNED[[#This Row],[name]],OWNED[[#This Row],[bgg_name]])</f>
        <v>#N/A</v>
      </c>
      <c r="G204" s="17"/>
      <c r="H204" s="17" t="e">
        <f>_xlfn.XLOOKUP(OWNED[[#This Row],[bgg_id]],library_data[bgg_id],library_data[mana_meeple_category])=OWNED[[#This Row],[category]]</f>
        <v>#N/A</v>
      </c>
      <c r="I204" s="17">
        <f>COUNTIF(nzdesgn[NAME],OWNED[[#This Row],[bgg_name]])</f>
        <v>0</v>
      </c>
    </row>
  </sheetData>
  <sortState xmlns:xlrd2="http://schemas.microsoft.com/office/spreadsheetml/2017/richdata2" ref="N16:N46">
    <sortCondition ref="N16:N46"/>
  </sortState>
  <phoneticPr fontId="2" type="noConversion"/>
  <pageMargins left="0.7" right="0.7" top="0.75" bottom="0.75" header="0.3" footer="0.3"/>
  <pageSetup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3D2A1-7E40-417D-9F81-00197D41C2C1}">
  <dimension ref="A1:P95"/>
  <sheetViews>
    <sheetView workbookViewId="0">
      <selection activeCell="M53" sqref="M53"/>
    </sheetView>
  </sheetViews>
  <sheetFormatPr defaultRowHeight="63.95" customHeight="1" x14ac:dyDescent="0.25"/>
  <cols>
    <col min="1" max="1" width="8.28515625" bestFit="1" customWidth="1"/>
    <col min="2" max="2" width="40.7109375" customWidth="1"/>
    <col min="3" max="3" width="11.42578125" bestFit="1" customWidth="1"/>
    <col min="4" max="4" width="9.7109375" bestFit="1" customWidth="1"/>
    <col min="5" max="5" width="17.42578125" bestFit="1" customWidth="1"/>
    <col min="6" max="6" width="11.42578125" bestFit="1" customWidth="1"/>
    <col min="7" max="7" width="7" customWidth="1"/>
    <col min="8" max="8" width="8.140625" customWidth="1"/>
    <col min="9" max="9" width="7.7109375" bestFit="1" customWidth="1"/>
    <col min="10" max="10" width="11.42578125" bestFit="1" customWidth="1"/>
    <col min="11" max="11" width="8.140625" customWidth="1"/>
    <col min="12" max="12" width="6" bestFit="1" customWidth="1"/>
    <col min="13" max="13" width="24.7109375" customWidth="1"/>
    <col min="14" max="14" width="101.42578125" bestFit="1" customWidth="1"/>
  </cols>
  <sheetData>
    <row r="1" spans="1:16" ht="15" x14ac:dyDescent="0.25">
      <c r="A1" s="2" t="s">
        <v>114</v>
      </c>
      <c r="B1" t="s">
        <v>0</v>
      </c>
      <c r="C1" t="s">
        <v>1384</v>
      </c>
      <c r="D1" t="s">
        <v>44</v>
      </c>
      <c r="E1" t="s">
        <v>4028</v>
      </c>
      <c r="F1" t="s">
        <v>4022</v>
      </c>
      <c r="G1" t="s">
        <v>112</v>
      </c>
      <c r="H1" t="s">
        <v>113</v>
      </c>
      <c r="I1" t="s">
        <v>207</v>
      </c>
      <c r="J1" t="s">
        <v>265</v>
      </c>
      <c r="K1" t="s">
        <v>584</v>
      </c>
      <c r="L1" t="s">
        <v>4029</v>
      </c>
      <c r="M1" t="s">
        <v>585</v>
      </c>
      <c r="N1" t="s">
        <v>129</v>
      </c>
      <c r="O1" t="s">
        <v>260</v>
      </c>
      <c r="P1" t="s">
        <v>299</v>
      </c>
    </row>
    <row r="2" spans="1:16" ht="63.95" hidden="1" customHeight="1" x14ac:dyDescent="0.4">
      <c r="A2" s="6">
        <v>1</v>
      </c>
      <c r="B2" t="str">
        <f>IFERROR(_xlfn.XLOOKUP(BUYLIST10[[#This Row],[BGG ID]],bgg_cache[id],bgg_cache[title]),_xlfn.XLOOKUP(BUYLIST10[[#This Row],[BGG ID]],manual_bgg!B:B,manual_bgg!D:D))</f>
        <v>Terraforming Mars</v>
      </c>
      <c r="C2" t="e" vm="1">
        <f>_xlfn.IMAGE(_xlfn.XLOOKUP(BUYLIST10[[#This Row],[BGG ID]],bgg_cache[id],bgg_cache[thumbnail_url]),,3,80)</f>
        <v>#VALUE!</v>
      </c>
      <c r="D2">
        <v>167791</v>
      </c>
      <c r="E2" t="str">
        <f>_xlfn.XLOOKUP(BUYLIST10[[#This Row],[BGG ID]],STOREURL[BGG ID],STOREURL[STATUS])</f>
        <v>AVAILABLE</v>
      </c>
      <c r="F2">
        <f>_xlfn.XLOOKUP(BUYLIST10[[#This Row],[BGG ID]],STOREURL[BGG ID],STOREURL[LPG_RRP])</f>
        <v>179.99</v>
      </c>
      <c r="G2">
        <f>_xlfn.XLOOKUP(BUYLIST10[[#This Row],[NAME]],summary_prices[game],summary_prices[site_low_nzd])</f>
        <v>99</v>
      </c>
      <c r="H2">
        <f>_xlfn.XLOOKUP(BUYLIST10[[#This Row],[NAME]],summary_prices[game],summary_prices[site_mean_nzd])</f>
        <v>148.06</v>
      </c>
      <c r="I2">
        <f>_xlfn.XLOOKUP(BUYLIST10[[#This Row],[NAME]],summary_prices[game],summary_prices[best_in_stock_nzd])</f>
        <v>124.9</v>
      </c>
      <c r="J2">
        <f>IFERROR(_xlfn.XLOOKUP(BUYLIST10[[#This Row],[NAME]],summary_prices[game],summary_prices[discount_pct_vs_site_mean]),-99)</f>
        <v>15.64</v>
      </c>
      <c r="K2">
        <f>_xlfn.XLOOKUP(BUYLIST10[[#This Row],[NAME]],summary_prices[game],summary_prices[delta_vs_site_disc_mean_pp])</f>
        <v>-17.5</v>
      </c>
      <c r="L2" t="b" cm="1">
        <f t="array" ref="L2">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2" t="str">
        <f>_xlfn.XLOOKUP(BUYLIST10[[#This Row],[NAME]],summary_prices[game],summary_prices[best_in_stock_store])</f>
        <v>Vagabond</v>
      </c>
      <c r="N2" s="4" t="str">
        <f>HYPERLINK(_xlfn.XLOOKUP(BUYLIST10[[#This Row],[BGG ID]],STOREURL[BGG ID],STOREURL[BGO LINK]))</f>
        <v>https://www.boardgameoracle.com/en-NZ/boardgame/price/DJXkZt9Z_z/terraforming-mars</v>
      </c>
      <c r="O2">
        <f>COUNTIF(OWNED[bgg_id],BUYLIST10[[#This Row],[BGG ID]])</f>
        <v>0</v>
      </c>
      <c r="P2">
        <f>COUNTIF(BUYLIST10[NAME],BUYLIST10[[#This Row],[NAME]])</f>
        <v>1</v>
      </c>
    </row>
    <row r="3" spans="1:16" ht="63.95" hidden="1" customHeight="1" x14ac:dyDescent="0.4">
      <c r="A3" s="6">
        <v>2</v>
      </c>
      <c r="B3" t="str">
        <f>IFERROR(_xlfn.XLOOKUP(BUYLIST10[[#This Row],[BGG ID]],bgg_cache[id],bgg_cache[title]),_xlfn.XLOOKUP(BUYLIST10[[#This Row],[BGG ID]],manual_bgg!B:B,manual_bgg!D:D))</f>
        <v>Ark Nova</v>
      </c>
      <c r="C3" t="e" vm="2">
        <f>_xlfn.IMAGE(_xlfn.XLOOKUP(BUYLIST10[[#This Row],[BGG ID]],bgg_cache[id],bgg_cache[thumbnail_url]),,3,80)</f>
        <v>#VALUE!</v>
      </c>
      <c r="D3">
        <v>342942</v>
      </c>
      <c r="E3" t="str">
        <f>_xlfn.XLOOKUP(BUYLIST10[[#This Row],[BGG ID]],STOREURL[BGG ID],STOREURL[STATUS])</f>
        <v>AVAILABLE</v>
      </c>
      <c r="F3">
        <f>_xlfn.XLOOKUP(BUYLIST10[[#This Row],[BGG ID]],STOREURL[BGG ID],STOREURL[LPG_RRP])</f>
        <v>164.99</v>
      </c>
      <c r="G3">
        <f>_xlfn.XLOOKUP(BUYLIST10[[#This Row],[NAME]],summary_prices[game],summary_prices[site_low_nzd])</f>
        <v>98</v>
      </c>
      <c r="H3">
        <f>_xlfn.XLOOKUP(BUYLIST10[[#This Row],[NAME]],summary_prices[game],summary_prices[site_mean_nzd])</f>
        <v>152.01</v>
      </c>
      <c r="I3">
        <f>_xlfn.XLOOKUP(BUYLIST10[[#This Row],[NAME]],summary_prices[game],summary_prices[best_in_stock_nzd])</f>
        <v>98</v>
      </c>
      <c r="J3">
        <f>IFERROR(_xlfn.XLOOKUP(BUYLIST10[[#This Row],[NAME]],summary_prices[game],summary_prices[discount_pct_vs_site_mean]),-99)</f>
        <v>35.53</v>
      </c>
      <c r="K3">
        <f>_xlfn.XLOOKUP(BUYLIST10[[#This Row],[NAME]],summary_prices[game],summary_prices[delta_vs_site_disc_mean_pp])</f>
        <v>0</v>
      </c>
      <c r="L3" t="b" cm="1">
        <f t="array" ref="L3">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3" t="str">
        <f>_xlfn.XLOOKUP(BUYLIST10[[#This Row],[NAME]],summary_prices[game],summary_prices[best_in_stock_store])</f>
        <v>EB Games NZ</v>
      </c>
      <c r="N3" s="4" t="str">
        <f>HYPERLINK(_xlfn.XLOOKUP(BUYLIST10[[#This Row],[BGG ID]],STOREURL[BGG ID],STOREURL[BGO LINK]))</f>
        <v>https://www.boardgameoracle.com/en-NZ/boardgame/price/yKEg3oOK67/ark-nova</v>
      </c>
      <c r="O3">
        <f>COUNTIF(OWNED[bgg_id],BUYLIST10[[#This Row],[BGG ID]])</f>
        <v>0</v>
      </c>
      <c r="P3">
        <f>COUNTIF(BUYLIST10[NAME],BUYLIST10[[#This Row],[NAME]])</f>
        <v>1</v>
      </c>
    </row>
    <row r="4" spans="1:16" ht="63.95" hidden="1" customHeight="1" x14ac:dyDescent="0.4">
      <c r="A4" s="6">
        <v>3</v>
      </c>
      <c r="B4" t="str">
        <f>IFERROR(_xlfn.XLOOKUP(BUYLIST10[[#This Row],[BGG ID]],bgg_cache[id],bgg_cache[title]),_xlfn.XLOOKUP(BUYLIST10[[#This Row],[BGG ID]],manual_bgg!B:B,manual_bgg!D:D))</f>
        <v>Dune: Imperium – Uprising</v>
      </c>
      <c r="C4" t="e" vm="3">
        <f>_xlfn.IMAGE(_xlfn.XLOOKUP(BUYLIST10[[#This Row],[BGG ID]],bgg_cache[id],bgg_cache[thumbnail_url]),,3,80)</f>
        <v>#VALUE!</v>
      </c>
      <c r="D4">
        <v>397598</v>
      </c>
      <c r="E4" t="str">
        <f>_xlfn.XLOOKUP(BUYLIST10[[#This Row],[BGG ID]],STOREURL[BGG ID],STOREURL[STATUS])</f>
        <v>AVAILABLE</v>
      </c>
      <c r="F4">
        <f>_xlfn.XLOOKUP(BUYLIST10[[#This Row],[BGG ID]],STOREURL[BGG ID],STOREURL[LPG_RRP])</f>
        <v>134.99</v>
      </c>
      <c r="G4">
        <f>_xlfn.XLOOKUP(BUYLIST10[[#This Row],[NAME]],summary_prices[game],summary_prices[site_low_nzd])</f>
        <v>108.47</v>
      </c>
      <c r="H4">
        <f>_xlfn.XLOOKUP(BUYLIST10[[#This Row],[NAME]],summary_prices[game],summary_prices[site_mean_nzd])</f>
        <v>129.56</v>
      </c>
      <c r="I4">
        <f>_xlfn.XLOOKUP(BUYLIST10[[#This Row],[NAME]],summary_prices[game],summary_prices[best_in_stock_nzd])</f>
        <v>109.1</v>
      </c>
      <c r="J4">
        <f>IFERROR(_xlfn.XLOOKUP(BUYLIST10[[#This Row],[NAME]],summary_prices[game],summary_prices[discount_pct_vs_site_mean]),-99)</f>
        <v>15.79</v>
      </c>
      <c r="K4">
        <f>_xlfn.XLOOKUP(BUYLIST10[[#This Row],[NAME]],summary_prices[game],summary_prices[delta_vs_site_disc_mean_pp])</f>
        <v>-0.49000000000000199</v>
      </c>
      <c r="L4" t="b" cm="1">
        <f t="array" ref="L4">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4" t="str">
        <f>_xlfn.XLOOKUP(BUYLIST10[[#This Row],[NAME]],summary_prices[game],summary_prices[best_in_stock_store])</f>
        <v>Gameology</v>
      </c>
      <c r="N4" s="4" t="str">
        <f>HYPERLINK(_xlfn.XLOOKUP(BUYLIST10[[#This Row],[BGG ID]],STOREURL[BGG ID],STOREURL[BGO LINK]))</f>
        <v>https://www.boardgameoracle.com/en-NZ/boardgame/price/NfBhb2GnXh/dune-imperium-uprising</v>
      </c>
      <c r="O4">
        <f>COUNTIF(OWNED[bgg_id],BUYLIST10[[#This Row],[BGG ID]])</f>
        <v>0</v>
      </c>
      <c r="P4">
        <f>COUNTIF(BUYLIST10[NAME],BUYLIST10[[#This Row],[NAME]])</f>
        <v>1</v>
      </c>
    </row>
    <row r="5" spans="1:16" ht="63.95" hidden="1" customHeight="1" x14ac:dyDescent="0.4">
      <c r="A5" s="6">
        <v>4</v>
      </c>
      <c r="B5" t="str">
        <f>IFERROR(_xlfn.XLOOKUP(BUYLIST10[[#This Row],[BGG ID]],bgg_cache[id],bgg_cache[title]),_xlfn.XLOOKUP(BUYLIST10[[#This Row],[BGG ID]],manual_bgg!B:B,manual_bgg!D:D))</f>
        <v>Brass: Birmingham</v>
      </c>
      <c r="C5" t="e" vm="4">
        <f>_xlfn.IMAGE(_xlfn.XLOOKUP(BUYLIST10[[#This Row],[BGG ID]],bgg_cache[id],bgg_cache[thumbnail_url]),,3,80)</f>
        <v>#VALUE!</v>
      </c>
      <c r="D5">
        <v>224517</v>
      </c>
      <c r="E5" t="str">
        <f>_xlfn.XLOOKUP(BUYLIST10[[#This Row],[BGG ID]],STOREURL[BGG ID],STOREURL[STATUS])</f>
        <v>AVAILABLE</v>
      </c>
      <c r="F5">
        <f>_xlfn.XLOOKUP(BUYLIST10[[#This Row],[BGG ID]],STOREURL[BGG ID],STOREURL[LPG_RRP])</f>
        <v>179.99</v>
      </c>
      <c r="G5">
        <f>_xlfn.XLOOKUP(BUYLIST10[[#This Row],[NAME]],summary_prices[game],summary_prices[site_low_nzd])</f>
        <v>110</v>
      </c>
      <c r="H5">
        <f>_xlfn.XLOOKUP(BUYLIST10[[#This Row],[NAME]],summary_prices[game],summary_prices[site_mean_nzd])</f>
        <v>167.53</v>
      </c>
      <c r="I5">
        <f>_xlfn.XLOOKUP(BUYLIST10[[#This Row],[NAME]],summary_prices[game],summary_prices[best_in_stock_nzd])</f>
        <v>137.99</v>
      </c>
      <c r="J5">
        <f>IFERROR(_xlfn.XLOOKUP(BUYLIST10[[#This Row],[NAME]],summary_prices[game],summary_prices[discount_pct_vs_site_mean]),-99)</f>
        <v>17.63</v>
      </c>
      <c r="K5">
        <f>_xlfn.XLOOKUP(BUYLIST10[[#This Row],[NAME]],summary_prices[game],summary_prices[delta_vs_site_disc_mean_pp])</f>
        <v>-16.710000000000004</v>
      </c>
      <c r="L5" t="b" cm="1">
        <f t="array" ref="L5">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5" t="str">
        <f>_xlfn.XLOOKUP(BUYLIST10[[#This Row],[NAME]],summary_prices[game],summary_prices[best_in_stock_store])</f>
        <v>The Board Gamer NZ</v>
      </c>
      <c r="N5" s="4" t="str">
        <f>HYPERLINK(_xlfn.XLOOKUP(BUYLIST10[[#This Row],[BGG ID]],STOREURL[BGG ID],STOREURL[BGO LINK]))</f>
        <v>https://www.boardgameoracle.com/en-NZ/boardgame/price/K2tNPgSWOC/brass-birmingham</v>
      </c>
      <c r="O5">
        <f>COUNTIF(OWNED[bgg_id],BUYLIST10[[#This Row],[BGG ID]])</f>
        <v>0</v>
      </c>
      <c r="P5">
        <f>COUNTIF(BUYLIST10[NAME],BUYLIST10[[#This Row],[NAME]])</f>
        <v>1</v>
      </c>
    </row>
    <row r="6" spans="1:16" ht="63.95" hidden="1" customHeight="1" x14ac:dyDescent="0.4">
      <c r="A6" s="6">
        <v>5</v>
      </c>
      <c r="B6" t="str">
        <f>IFERROR(_xlfn.XLOOKUP(BUYLIST10[[#This Row],[BGG ID]],bgg_cache[id],bgg_cache[title]),_xlfn.XLOOKUP(BUYLIST10[[#This Row],[BGG ID]],manual_bgg!B:B,manual_bgg!D:D))</f>
        <v>Spirit Island</v>
      </c>
      <c r="C6" t="e" vm="5">
        <f>_xlfn.IMAGE(_xlfn.XLOOKUP(BUYLIST10[[#This Row],[BGG ID]],bgg_cache[id],bgg_cache[thumbnail_url]),,3,80)</f>
        <v>#VALUE!</v>
      </c>
      <c r="D6">
        <v>162886</v>
      </c>
      <c r="E6" t="str">
        <f>_xlfn.XLOOKUP(BUYLIST10[[#This Row],[BGG ID]],STOREURL[BGG ID],STOREURL[STATUS])</f>
        <v>AVAILABLE</v>
      </c>
      <c r="F6">
        <f>_xlfn.XLOOKUP(BUYLIST10[[#This Row],[BGG ID]],STOREURL[BGG ID],STOREURL[LPG_RRP])</f>
        <v>194.99</v>
      </c>
      <c r="G6">
        <f>_xlfn.XLOOKUP(BUYLIST10[[#This Row],[NAME]],summary_prices[game],summary_prices[site_low_nzd])</f>
        <v>142.75</v>
      </c>
      <c r="H6">
        <f>_xlfn.XLOOKUP(BUYLIST10[[#This Row],[NAME]],summary_prices[game],summary_prices[site_mean_nzd])</f>
        <v>183.72</v>
      </c>
      <c r="I6">
        <f>_xlfn.XLOOKUP(BUYLIST10[[#This Row],[NAME]],summary_prices[game],summary_prices[best_in_stock_nzd])</f>
        <v>143.57</v>
      </c>
      <c r="J6">
        <f>IFERROR(_xlfn.XLOOKUP(BUYLIST10[[#This Row],[NAME]],summary_prices[game],summary_prices[discount_pct_vs_site_mean]),-99)</f>
        <v>21.85</v>
      </c>
      <c r="K6">
        <f>_xlfn.XLOOKUP(BUYLIST10[[#This Row],[NAME]],summary_prices[game],summary_prices[delta_vs_site_disc_mean_pp])</f>
        <v>-0.44999999999999929</v>
      </c>
      <c r="L6" t="b" cm="1">
        <f t="array" ref="L6">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6" t="str">
        <f>_xlfn.XLOOKUP(BUYLIST10[[#This Row],[NAME]],summary_prices[game],summary_prices[best_in_stock_store])</f>
        <v>Gameology</v>
      </c>
      <c r="N6" s="4" t="str">
        <f>HYPERLINK(_xlfn.XLOOKUP(BUYLIST10[[#This Row],[BGG ID]],STOREURL[BGG ID],STOREURL[BGO LINK]))</f>
        <v>https://www.boardgameoracle.com/en-NZ/boardgame/price/dqzBAt2yEb/spirit-island</v>
      </c>
      <c r="O6">
        <f>COUNTIF(OWNED[bgg_id],BUYLIST10[[#This Row],[BGG ID]])</f>
        <v>0</v>
      </c>
      <c r="P6">
        <f>COUNTIF(BUYLIST10[NAME],BUYLIST10[[#This Row],[NAME]])</f>
        <v>1</v>
      </c>
    </row>
    <row r="7" spans="1:16" ht="63.95" hidden="1" customHeight="1" x14ac:dyDescent="0.4">
      <c r="A7" s="6">
        <v>6</v>
      </c>
      <c r="B7" t="str">
        <f>IFERROR(_xlfn.XLOOKUP(BUYLIST10[[#This Row],[BGG ID]],bgg_cache[id],bgg_cache[title]),_xlfn.XLOOKUP(BUYLIST10[[#This Row],[BGG ID]],manual_bgg!B:B,manual_bgg!D:D))</f>
        <v>Concordia</v>
      </c>
      <c r="C7" t="e" vm="6">
        <f>_xlfn.IMAGE(_xlfn.XLOOKUP(BUYLIST10[[#This Row],[BGG ID]],bgg_cache[id],bgg_cache[thumbnail_url]),,3,80)</f>
        <v>#VALUE!</v>
      </c>
      <c r="D7">
        <v>124361</v>
      </c>
      <c r="E7" t="str">
        <f>_xlfn.XLOOKUP(BUYLIST10[[#This Row],[BGG ID]],STOREURL[BGG ID],STOREURL[STATUS])</f>
        <v>AVAILABLE</v>
      </c>
      <c r="F7">
        <f>_xlfn.XLOOKUP(BUYLIST10[[#This Row],[BGG ID]],STOREURL[BGG ID],STOREURL[LPG_RRP])</f>
        <v>144.99</v>
      </c>
      <c r="G7">
        <f>_xlfn.XLOOKUP(BUYLIST10[[#This Row],[NAME]],summary_prices[game],summary_prices[site_low_nzd])</f>
        <v>110.12</v>
      </c>
      <c r="H7">
        <f>_xlfn.XLOOKUP(BUYLIST10[[#This Row],[NAME]],summary_prices[game],summary_prices[site_mean_nzd])</f>
        <v>129.75</v>
      </c>
      <c r="I7">
        <f>_xlfn.XLOOKUP(BUYLIST10[[#This Row],[NAME]],summary_prices[game],summary_prices[best_in_stock_nzd])</f>
        <v>110.87</v>
      </c>
      <c r="J7">
        <f>IFERROR(_xlfn.XLOOKUP(BUYLIST10[[#This Row],[NAME]],summary_prices[game],summary_prices[discount_pct_vs_site_mean]),-99)</f>
        <v>14.55</v>
      </c>
      <c r="K7">
        <f>_xlfn.XLOOKUP(BUYLIST10[[#This Row],[NAME]],summary_prices[game],summary_prices[delta_vs_site_disc_mean_pp])</f>
        <v>-0.58000000000000007</v>
      </c>
      <c r="L7" t="b" cm="1">
        <f t="array" ref="L7">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7" t="str">
        <f>_xlfn.XLOOKUP(BUYLIST10[[#This Row],[NAME]],summary_prices[game],summary_prices[best_in_stock_store])</f>
        <v>Amazon AU</v>
      </c>
      <c r="N7" s="4" t="str">
        <f>HYPERLINK(_xlfn.XLOOKUP(BUYLIST10[[#This Row],[BGG ID]],STOREURL[BGG ID],STOREURL[BGO LINK]))</f>
        <v>https://www.boardgameoracle.com/en-NZ/boardgame/price/lWFkM-ljpv/concordia</v>
      </c>
      <c r="O7">
        <f>COUNTIF(OWNED[bgg_id],BUYLIST10[[#This Row],[BGG ID]])</f>
        <v>0</v>
      </c>
      <c r="P7">
        <f>COUNTIF(BUYLIST10[NAME],BUYLIST10[[#This Row],[NAME]])</f>
        <v>1</v>
      </c>
    </row>
    <row r="8" spans="1:16" ht="63.95" hidden="1" customHeight="1" x14ac:dyDescent="0.4">
      <c r="A8" s="6">
        <v>7</v>
      </c>
      <c r="B8" t="str">
        <f>IFERROR(_xlfn.XLOOKUP(BUYLIST10[[#This Row],[BGG ID]],bgg_cache[id],bgg_cache[title]),_xlfn.XLOOKUP(BUYLIST10[[#This Row],[BGG ID]],manual_bgg!B:B,manual_bgg!D:D))</f>
        <v>Great Western Trail: New Zealand</v>
      </c>
      <c r="C8" t="e" vm="7">
        <f>_xlfn.IMAGE(_xlfn.XLOOKUP(BUYLIST10[[#This Row],[BGG ID]],bgg_cache[id],bgg_cache[thumbnail_url]),,3,80)</f>
        <v>#VALUE!</v>
      </c>
      <c r="D8">
        <v>380607</v>
      </c>
      <c r="E8" t="str">
        <f>_xlfn.XLOOKUP(BUYLIST10[[#This Row],[BGG ID]],STOREURL[BGG ID],STOREURL[STATUS])</f>
        <v>NOT_FOUND</v>
      </c>
      <c r="F8">
        <f>_xlfn.XLOOKUP(BUYLIST10[[#This Row],[BGG ID]],STOREURL[BGG ID],STOREURL[LPG_RRP])</f>
        <v>0</v>
      </c>
      <c r="G8">
        <f>_xlfn.XLOOKUP(BUYLIST10[[#This Row],[NAME]],summary_prices[game],summary_prices[site_low_nzd])</f>
        <v>101.25</v>
      </c>
      <c r="H8">
        <f>_xlfn.XLOOKUP(BUYLIST10[[#This Row],[NAME]],summary_prices[game],summary_prices[site_mean_nzd])</f>
        <v>137.72999999999999</v>
      </c>
      <c r="I8">
        <f>_xlfn.XLOOKUP(BUYLIST10[[#This Row],[NAME]],summary_prices[game],summary_prices[best_in_stock_nzd])</f>
        <v>120.59</v>
      </c>
      <c r="J8">
        <f>IFERROR(_xlfn.XLOOKUP(BUYLIST10[[#This Row],[NAME]],summary_prices[game],summary_prices[discount_pct_vs_site_mean]),-99)</f>
        <v>12.44</v>
      </c>
      <c r="K8">
        <f>_xlfn.XLOOKUP(BUYLIST10[[#This Row],[NAME]],summary_prices[game],summary_prices[delta_vs_site_disc_mean_pp])</f>
        <v>-14.040000000000001</v>
      </c>
      <c r="L8" t="b" cm="1">
        <f t="array" ref="L8">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8" t="str">
        <f>_xlfn.XLOOKUP(BUYLIST10[[#This Row],[NAME]],summary_prices[game],summary_prices[best_in_stock_store])</f>
        <v>Gameology</v>
      </c>
      <c r="N8" s="4" t="str">
        <f>HYPERLINK(_xlfn.XLOOKUP(BUYLIST10[[#This Row],[BGG ID]],STOREURL[BGG ID],STOREURL[BGO LINK]))</f>
        <v>https://www.boardgameoracle.com/en-NZ/boardgame/price/pDrG0cjAJY/great-western-trail-new-zealand</v>
      </c>
      <c r="O8">
        <f>COUNTIF(OWNED[bgg_id],BUYLIST10[[#This Row],[BGG ID]])</f>
        <v>0</v>
      </c>
      <c r="P8">
        <f>COUNTIF(BUYLIST10[NAME],BUYLIST10[[#This Row],[NAME]])</f>
        <v>1</v>
      </c>
    </row>
    <row r="9" spans="1:16" ht="63.95" hidden="1" customHeight="1" x14ac:dyDescent="0.4">
      <c r="A9" s="6">
        <v>8</v>
      </c>
      <c r="B9" t="str">
        <f>IFERROR(_xlfn.XLOOKUP(BUYLIST10[[#This Row],[BGG ID]],bgg_cache[id],bgg_cache[title]),_xlfn.XLOOKUP(BUYLIST10[[#This Row],[BGG ID]],manual_bgg!B:B,manual_bgg!D:D))</f>
        <v>Quacks</v>
      </c>
      <c r="C9" t="e" vm="8">
        <f>_xlfn.IMAGE(_xlfn.XLOOKUP(BUYLIST10[[#This Row],[BGG ID]],bgg_cache[id],bgg_cache[thumbnail_url]),,3,80)</f>
        <v>#VALUE!</v>
      </c>
      <c r="D9">
        <v>244521</v>
      </c>
      <c r="E9" t="str">
        <f>_xlfn.XLOOKUP(BUYLIST10[[#This Row],[BGG ID]],STOREURL[BGG ID],STOREURL[STATUS])</f>
        <v>AVAILABLE</v>
      </c>
      <c r="F9">
        <f>_xlfn.XLOOKUP(BUYLIST10[[#This Row],[BGG ID]],STOREURL[BGG ID],STOREURL[LPG_RRP])</f>
        <v>139.99</v>
      </c>
      <c r="G9">
        <f>_xlfn.XLOOKUP(BUYLIST10[[#This Row],[NAME]],summary_prices[game],summary_prices[site_low_nzd])</f>
        <v>79</v>
      </c>
      <c r="H9">
        <f>_xlfn.XLOOKUP(BUYLIST10[[#This Row],[NAME]],summary_prices[game],summary_prices[site_mean_nzd])</f>
        <v>95.66</v>
      </c>
      <c r="I9">
        <f>_xlfn.XLOOKUP(BUYLIST10[[#This Row],[NAME]],summary_prices[game],summary_prices[best_in_stock_nzd])</f>
        <v>80.37</v>
      </c>
      <c r="J9">
        <f>IFERROR(_xlfn.XLOOKUP(BUYLIST10[[#This Row],[NAME]],summary_prices[game],summary_prices[discount_pct_vs_site_mean]),-99)</f>
        <v>15.98</v>
      </c>
      <c r="K9">
        <f>_xlfn.XLOOKUP(BUYLIST10[[#This Row],[NAME]],summary_prices[game],summary_prices[delta_vs_site_disc_mean_pp])</f>
        <v>-1.4299999999999997</v>
      </c>
      <c r="L9" t="b" cm="1">
        <f t="array" ref="L9">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9" t="str">
        <f>_xlfn.XLOOKUP(BUYLIST10[[#This Row],[NAME]],summary_prices[game],summary_prices[best_in_stock_store])</f>
        <v>Gameology</v>
      </c>
      <c r="N9" s="4" t="str">
        <f>HYPERLINK(_xlfn.XLOOKUP(BUYLIST10[[#This Row],[BGG ID]],STOREURL[BGG ID],STOREURL[BGO LINK]))</f>
        <v>https://www.boardgameoracle.com/en-NZ/boardgame/price/bD0EsHvlcZ/quacks</v>
      </c>
      <c r="O9">
        <f>COUNTIF(OWNED[bgg_id],BUYLIST10[[#This Row],[BGG ID]])</f>
        <v>0</v>
      </c>
      <c r="P9">
        <f>COUNTIF(BUYLIST10[NAME],BUYLIST10[[#This Row],[NAME]])</f>
        <v>1</v>
      </c>
    </row>
    <row r="10" spans="1:16" ht="63.95" hidden="1" customHeight="1" x14ac:dyDescent="0.4">
      <c r="A10" s="6">
        <v>9</v>
      </c>
      <c r="B10" t="str">
        <f>IFERROR(_xlfn.XLOOKUP(BUYLIST10[[#This Row],[BGG ID]],bgg_cache[id],bgg_cache[title]),_xlfn.XLOOKUP(BUYLIST10[[#This Row],[BGG ID]],manual_bgg!B:B,manual_bgg!D:D))</f>
        <v>Everdell</v>
      </c>
      <c r="C10" t="e" vm="9">
        <f>_xlfn.IMAGE(_xlfn.XLOOKUP(BUYLIST10[[#This Row],[BGG ID]],bgg_cache[id],bgg_cache[thumbnail_url]),,3,80)</f>
        <v>#VALUE!</v>
      </c>
      <c r="D10">
        <v>199792</v>
      </c>
      <c r="E10" t="str">
        <f>_xlfn.XLOOKUP(BUYLIST10[[#This Row],[BGG ID]],STOREURL[BGG ID],STOREURL[STATUS])</f>
        <v>AVAILABLE</v>
      </c>
      <c r="F10">
        <f>_xlfn.XLOOKUP(BUYLIST10[[#This Row],[BGG ID]],STOREURL[BGG ID],STOREURL[LPG_RRP])</f>
        <v>159.99</v>
      </c>
      <c r="G10">
        <f>_xlfn.XLOOKUP(BUYLIST10[[#This Row],[NAME]],summary_prices[game],summary_prices[site_low_nzd])</f>
        <v>95.76</v>
      </c>
      <c r="H10">
        <f>_xlfn.XLOOKUP(BUYLIST10[[#This Row],[NAME]],summary_prices[game],summary_prices[site_mean_nzd])</f>
        <v>136.37</v>
      </c>
      <c r="I10">
        <f>_xlfn.XLOOKUP(BUYLIST10[[#This Row],[NAME]],summary_prices[game],summary_prices[best_in_stock_nzd])</f>
        <v>114.27</v>
      </c>
      <c r="J10">
        <f>IFERROR(_xlfn.XLOOKUP(BUYLIST10[[#This Row],[NAME]],summary_prices[game],summary_prices[discount_pct_vs_site_mean]),-99)</f>
        <v>16.21</v>
      </c>
      <c r="K10">
        <f>_xlfn.XLOOKUP(BUYLIST10[[#This Row],[NAME]],summary_prices[game],summary_prices[delta_vs_site_disc_mean_pp])</f>
        <v>-13.57</v>
      </c>
      <c r="L10" t="b" cm="1">
        <f t="array" ref="L10">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10" t="str">
        <f>_xlfn.XLOOKUP(BUYLIST10[[#This Row],[NAME]],summary_prices[game],summary_prices[best_in_stock_store])</f>
        <v>Gameology</v>
      </c>
      <c r="N10" s="4" t="str">
        <f>HYPERLINK(_xlfn.XLOOKUP(BUYLIST10[[#This Row],[BGG ID]],STOREURL[BGG ID],STOREURL[BGO LINK]))</f>
        <v>https://www.boardgameoracle.com/en-NZ/boardgame/price/vhcYsCqPMP/everdell</v>
      </c>
      <c r="O10">
        <f>COUNTIF(OWNED[bgg_id],BUYLIST10[[#This Row],[BGG ID]])</f>
        <v>0</v>
      </c>
      <c r="P10">
        <f>COUNTIF(BUYLIST10[NAME],BUYLIST10[[#This Row],[NAME]])</f>
        <v>1</v>
      </c>
    </row>
    <row r="11" spans="1:16" ht="63.95" hidden="1" customHeight="1" x14ac:dyDescent="0.4">
      <c r="A11" s="6">
        <v>10</v>
      </c>
      <c r="B11" t="str">
        <f>IFERROR(_xlfn.XLOOKUP(BUYLIST10[[#This Row],[BGG ID]],bgg_cache[id],bgg_cache[title]),_xlfn.XLOOKUP(BUYLIST10[[#This Row],[BGG ID]],manual_bgg!B:B,manual_bgg!D:D))</f>
        <v>Clank!: A Deck-Building Adventure</v>
      </c>
      <c r="C11" t="e" vm="10">
        <f>_xlfn.IMAGE(_xlfn.XLOOKUP(BUYLIST10[[#This Row],[BGG ID]],bgg_cache[id],bgg_cache[thumbnail_url]),,3,80)</f>
        <v>#VALUE!</v>
      </c>
      <c r="D11">
        <v>201808</v>
      </c>
      <c r="E11" t="str">
        <f>_xlfn.XLOOKUP(BUYLIST10[[#This Row],[BGG ID]],STOREURL[BGG ID],STOREURL[STATUS])</f>
        <v>AVAILABLE</v>
      </c>
      <c r="F11">
        <f>_xlfn.XLOOKUP(BUYLIST10[[#This Row],[BGG ID]],STOREURL[BGG ID],STOREURL[LPG_RRP])</f>
        <v>134.99</v>
      </c>
      <c r="G11" t="e">
        <f>_xlfn.XLOOKUP(BUYLIST10[[#This Row],[NAME]],summary_prices[game],summary_prices[site_low_nzd])</f>
        <v>#N/A</v>
      </c>
      <c r="H11" t="e">
        <f>_xlfn.XLOOKUP(BUYLIST10[[#This Row],[NAME]],summary_prices[game],summary_prices[site_mean_nzd])</f>
        <v>#N/A</v>
      </c>
      <c r="I11" t="e">
        <f>_xlfn.XLOOKUP(BUYLIST10[[#This Row],[NAME]],summary_prices[game],summary_prices[best_in_stock_nzd])</f>
        <v>#N/A</v>
      </c>
      <c r="J11">
        <f>IFERROR(_xlfn.XLOOKUP(BUYLIST10[[#This Row],[NAME]],summary_prices[game],summary_prices[discount_pct_vs_site_mean]),-99)</f>
        <v>-99</v>
      </c>
      <c r="K11" t="e">
        <f>_xlfn.XLOOKUP(BUYLIST10[[#This Row],[NAME]],summary_prices[game],summary_prices[delta_vs_site_disc_mean_pp])</f>
        <v>#N/A</v>
      </c>
      <c r="L11" t="b" cm="1">
        <f t="array" ref="L11">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11" t="e">
        <f>_xlfn.XLOOKUP(BUYLIST10[[#This Row],[NAME]],summary_prices[game],summary_prices[best_in_stock_store])</f>
        <v>#N/A</v>
      </c>
      <c r="N11" s="4" t="str">
        <f>HYPERLINK(_xlfn.XLOOKUP(BUYLIST10[[#This Row],[BGG ID]],STOREURL[BGG ID],STOREURL[BGO LINK]))</f>
        <v>https://www.boardgameoracle.com/en-NZ/boardgame/price/455SQydqa0/clank-a-deck-building-adventure</v>
      </c>
      <c r="O11">
        <f>COUNTIF(OWNED[bgg_id],BUYLIST10[[#This Row],[BGG ID]])</f>
        <v>0</v>
      </c>
      <c r="P11">
        <f>COUNTIF(BUYLIST10[NAME],BUYLIST10[[#This Row],[NAME]])</f>
        <v>1</v>
      </c>
    </row>
    <row r="12" spans="1:16" ht="63.95" hidden="1" customHeight="1" x14ac:dyDescent="0.4">
      <c r="A12" s="6">
        <v>11</v>
      </c>
      <c r="B12" t="str">
        <f>IFERROR(_xlfn.XLOOKUP(BUYLIST10[[#This Row],[BGG ID]],bgg_cache[id],bgg_cache[title]),_xlfn.XLOOKUP(BUYLIST10[[#This Row],[BGG ID]],manual_bgg!B:B,manual_bgg!D:D))</f>
        <v>The Quest for El Dorado</v>
      </c>
      <c r="C12" t="e">
        <f>_xlfn.IMAGE(_xlfn.XLOOKUP(BUYLIST10[[#This Row],[BGG ID]],bgg_cache[id],bgg_cache[thumbnail_url]),,3,80)</f>
        <v>#N/A</v>
      </c>
      <c r="D12">
        <v>217372</v>
      </c>
      <c r="E12" t="str">
        <f>_xlfn.XLOOKUP(BUYLIST10[[#This Row],[BGG ID]],STOREURL[BGG ID],STOREURL[STATUS])</f>
        <v>NOT_FOUND</v>
      </c>
      <c r="F12">
        <f>_xlfn.XLOOKUP(BUYLIST10[[#This Row],[BGG ID]],STOREURL[BGG ID],STOREURL[LPG_RRP])</f>
        <v>0</v>
      </c>
      <c r="G12">
        <f>_xlfn.XLOOKUP(BUYLIST10[[#This Row],[NAME]],summary_prices[game],summary_prices[site_low_nzd])</f>
        <v>78.77</v>
      </c>
      <c r="H12">
        <f>_xlfn.XLOOKUP(BUYLIST10[[#This Row],[NAME]],summary_prices[game],summary_prices[site_mean_nzd])</f>
        <v>80.56</v>
      </c>
      <c r="I12">
        <f>_xlfn.XLOOKUP(BUYLIST10[[#This Row],[NAME]],summary_prices[game],summary_prices[best_in_stock_nzd])</f>
        <v>79.22</v>
      </c>
      <c r="J12">
        <f>IFERROR(_xlfn.XLOOKUP(BUYLIST10[[#This Row],[NAME]],summary_prices[game],summary_prices[discount_pct_vs_site_mean]),-99)</f>
        <v>1.66</v>
      </c>
      <c r="K12">
        <f>_xlfn.XLOOKUP(BUYLIST10[[#This Row],[NAME]],summary_prices[game],summary_prices[delta_vs_site_disc_mean_pp])</f>
        <v>-0.56000000000000028</v>
      </c>
      <c r="L12" t="b" cm="1">
        <f t="array" ref="L12">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12" t="str">
        <f>_xlfn.XLOOKUP(BUYLIST10[[#This Row],[NAME]],summary_prices[game],summary_prices[best_in_stock_store])</f>
        <v>Gameology</v>
      </c>
      <c r="N12" s="4" t="str">
        <f>HYPERLINK(_xlfn.XLOOKUP(BUYLIST10[[#This Row],[BGG ID]],STOREURL[BGG ID],STOREURL[BGO LINK]))</f>
        <v>https://www.boardgameoracle.com/en-NZ/boardgame/price/ZZsrjOqQFe/the-quest-for-el-dorado</v>
      </c>
      <c r="O12">
        <f>COUNTIF(OWNED[bgg_id],BUYLIST10[[#This Row],[BGG ID]])</f>
        <v>0</v>
      </c>
      <c r="P12">
        <f>COUNTIF(BUYLIST10[NAME],BUYLIST10[[#This Row],[NAME]])</f>
        <v>1</v>
      </c>
    </row>
    <row r="13" spans="1:16" ht="63.95" customHeight="1" x14ac:dyDescent="0.4">
      <c r="A13" s="6">
        <v>12</v>
      </c>
      <c r="B13" t="str">
        <f>IFERROR(_xlfn.XLOOKUP(BUYLIST10[[#This Row],[BGG ID]],bgg_cache[id],bgg_cache[title]),_xlfn.XLOOKUP(BUYLIST10[[#This Row],[BGG ID]],manual_bgg!B:B,manual_bgg!D:D))</f>
        <v>Orléans</v>
      </c>
      <c r="C13" t="e" vm="11">
        <f>_xlfn.IMAGE(_xlfn.XLOOKUP(BUYLIST10[[#This Row],[BGG ID]],bgg_cache[id],bgg_cache[thumbnail_url]),,3,80)</f>
        <v>#VALUE!</v>
      </c>
      <c r="D13">
        <v>164928</v>
      </c>
      <c r="E13" t="str">
        <f>_xlfn.XLOOKUP(BUYLIST10[[#This Row],[BGG ID]],STOREURL[BGG ID],STOREURL[STATUS])</f>
        <v>BACK_ORDER_OOS</v>
      </c>
      <c r="F13">
        <f>_xlfn.XLOOKUP(BUYLIST10[[#This Row],[BGG ID]],STOREURL[BGG ID],STOREURL[LPG_RRP])</f>
        <v>124.99</v>
      </c>
      <c r="G13">
        <f>_xlfn.XLOOKUP(BUYLIST10[[#This Row],[NAME]],summary_prices[game],summary_prices[site_low_nzd])</f>
        <v>68.489999999999995</v>
      </c>
      <c r="H13">
        <f>_xlfn.XLOOKUP(BUYLIST10[[#This Row],[NAME]],summary_prices[game],summary_prices[site_mean_nzd])</f>
        <v>106.19</v>
      </c>
      <c r="I13">
        <f>_xlfn.XLOOKUP(BUYLIST10[[#This Row],[NAME]],summary_prices[game],summary_prices[best_in_stock_nzd])</f>
        <v>68.88</v>
      </c>
      <c r="J13">
        <f>IFERROR(_xlfn.XLOOKUP(BUYLIST10[[#This Row],[NAME]],summary_prices[game],summary_prices[discount_pct_vs_site_mean]),-99)</f>
        <v>35.14</v>
      </c>
      <c r="K13">
        <f>_xlfn.XLOOKUP(BUYLIST10[[#This Row],[NAME]],summary_prices[game],summary_prices[delta_vs_site_disc_mean_pp])</f>
        <v>-0.35999999999999943</v>
      </c>
      <c r="L13" t="b" cm="1">
        <f t="array" ref="L13">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1</v>
      </c>
      <c r="M13" t="str">
        <f>_xlfn.XLOOKUP(BUYLIST10[[#This Row],[NAME]],summary_prices[game],summary_prices[best_in_stock_store])</f>
        <v>Gameology</v>
      </c>
      <c r="N13" s="4" t="str">
        <f>HYPERLINK(_xlfn.XLOOKUP(BUYLIST10[[#This Row],[BGG ID]],STOREURL[BGG ID],STOREURL[BGO LINK]))</f>
        <v>https://www.boardgameoracle.com/en-NZ/boardgame/price/01S6no2BbD/orleans</v>
      </c>
      <c r="O13">
        <f>COUNTIF(OWNED[bgg_id],BUYLIST10[[#This Row],[BGG ID]])</f>
        <v>0</v>
      </c>
      <c r="P13">
        <f>COUNTIF(BUYLIST10[NAME],BUYLIST10[[#This Row],[NAME]])</f>
        <v>1</v>
      </c>
    </row>
    <row r="14" spans="1:16" ht="63.95" hidden="1" customHeight="1" x14ac:dyDescent="0.4">
      <c r="A14" s="6">
        <v>13</v>
      </c>
      <c r="B14" t="str">
        <f>IFERROR(_xlfn.XLOOKUP(BUYLIST10[[#This Row],[BGG ID]],bgg_cache[id],bgg_cache[title]),_xlfn.XLOOKUP(BUYLIST10[[#This Row],[BGG ID]],manual_bgg!B:B,manual_bgg!D:D))</f>
        <v>Root</v>
      </c>
      <c r="C14" t="e" vm="12">
        <f>_xlfn.IMAGE(_xlfn.XLOOKUP(BUYLIST10[[#This Row],[BGG ID]],bgg_cache[id],bgg_cache[thumbnail_url]),,3,80)</f>
        <v>#VALUE!</v>
      </c>
      <c r="D14">
        <v>237182</v>
      </c>
      <c r="E14" t="str">
        <f>_xlfn.XLOOKUP(BUYLIST10[[#This Row],[BGG ID]],STOREURL[BGG ID],STOREURL[STATUS])</f>
        <v>AVAILABLE</v>
      </c>
      <c r="F14">
        <f>_xlfn.XLOOKUP(BUYLIST10[[#This Row],[BGG ID]],STOREURL[BGG ID],STOREURL[LPG_RRP])</f>
        <v>119.99</v>
      </c>
      <c r="G14">
        <f>_xlfn.XLOOKUP(BUYLIST10[[#This Row],[NAME]],summary_prices[game],summary_prices[site_low_nzd])</f>
        <v>83.79</v>
      </c>
      <c r="H14">
        <f>_xlfn.XLOOKUP(BUYLIST10[[#This Row],[NAME]],summary_prices[game],summary_prices[site_mean_nzd])</f>
        <v>110.22</v>
      </c>
      <c r="I14">
        <f>_xlfn.XLOOKUP(BUYLIST10[[#This Row],[NAME]],summary_prices[game],summary_prices[best_in_stock_nzd])</f>
        <v>87.69</v>
      </c>
      <c r="J14">
        <f>IFERROR(_xlfn.XLOOKUP(BUYLIST10[[#This Row],[NAME]],summary_prices[game],summary_prices[discount_pct_vs_site_mean]),-99)</f>
        <v>20.440000000000001</v>
      </c>
      <c r="K14">
        <f>_xlfn.XLOOKUP(BUYLIST10[[#This Row],[NAME]],summary_prices[game],summary_prices[delta_vs_site_disc_mean_pp])</f>
        <v>-3.5399999999999991</v>
      </c>
      <c r="L14" t="b" cm="1">
        <f t="array" ref="L14">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14" t="str">
        <f>_xlfn.XLOOKUP(BUYLIST10[[#This Row],[NAME]],summary_prices[game],summary_prices[best_in_stock_store])</f>
        <v>Amazon AU</v>
      </c>
      <c r="N14" s="4" t="str">
        <f>HYPERLINK(_xlfn.XLOOKUP(BUYLIST10[[#This Row],[BGG ID]],STOREURL[BGG ID],STOREURL[BGO LINK]))</f>
        <v>https://www.boardgameoracle.com/en-NZ/boardgame/price/kpase6kheF/root</v>
      </c>
      <c r="O14">
        <f>COUNTIF(OWNED[bgg_id],BUYLIST10[[#This Row],[BGG ID]])</f>
        <v>0</v>
      </c>
      <c r="P14">
        <f>COUNTIF(BUYLIST10[NAME],BUYLIST10[[#This Row],[NAME]])</f>
        <v>1</v>
      </c>
    </row>
    <row r="15" spans="1:16" ht="63.95" hidden="1" customHeight="1" x14ac:dyDescent="0.4">
      <c r="A15" s="6">
        <v>14</v>
      </c>
      <c r="B15" t="str">
        <f>IFERROR(_xlfn.XLOOKUP(BUYLIST10[[#This Row],[BGG ID]],bgg_cache[id],bgg_cache[title]),_xlfn.XLOOKUP(BUYLIST10[[#This Row],[BGG ID]],manual_bgg!B:B,manual_bgg!D:D))</f>
        <v>Gaia Project</v>
      </c>
      <c r="C15" t="e" vm="13">
        <f>_xlfn.IMAGE(_xlfn.XLOOKUP(BUYLIST10[[#This Row],[BGG ID]],bgg_cache[id],bgg_cache[thumbnail_url]),,3,80)</f>
        <v>#VALUE!</v>
      </c>
      <c r="D15">
        <v>220308</v>
      </c>
      <c r="E15" t="str">
        <f>_xlfn.XLOOKUP(BUYLIST10[[#This Row],[BGG ID]],STOREURL[BGG ID],STOREURL[STATUS])</f>
        <v>BACK_ORDER</v>
      </c>
      <c r="F15">
        <f>_xlfn.XLOOKUP(BUYLIST10[[#This Row],[BGG ID]],STOREURL[BGG ID],STOREURL[LPG_RRP])</f>
        <v>229.99</v>
      </c>
      <c r="G15">
        <f>_xlfn.XLOOKUP(BUYLIST10[[#This Row],[NAME]],summary_prices[game],summary_prices[site_low_nzd])</f>
        <v>175</v>
      </c>
      <c r="H15">
        <f>_xlfn.XLOOKUP(BUYLIST10[[#This Row],[NAME]],summary_prices[game],summary_prices[site_mean_nzd])</f>
        <v>192.5</v>
      </c>
      <c r="I15">
        <f>_xlfn.XLOOKUP(BUYLIST10[[#This Row],[NAME]],summary_prices[game],summary_prices[best_in_stock_nzd])</f>
        <v>175</v>
      </c>
      <c r="J15">
        <f>IFERROR(_xlfn.XLOOKUP(BUYLIST10[[#This Row],[NAME]],summary_prices[game],summary_prices[discount_pct_vs_site_mean]),-99)</f>
        <v>9.09</v>
      </c>
      <c r="K15">
        <f>_xlfn.XLOOKUP(BUYLIST10[[#This Row],[NAME]],summary_prices[game],summary_prices[delta_vs_site_disc_mean_pp])</f>
        <v>0</v>
      </c>
      <c r="L15" t="b" cm="1">
        <f t="array" ref="L15">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15" t="str">
        <f>_xlfn.XLOOKUP(BUYLIST10[[#This Row],[NAME]],summary_prices[game],summary_prices[best_in_stock_store])</f>
        <v>The Game Store</v>
      </c>
      <c r="N15" s="4" t="str">
        <f>HYPERLINK(_xlfn.XLOOKUP(BUYLIST10[[#This Row],[BGG ID]],STOREURL[BGG ID],STOREURL[BGO LINK]))</f>
        <v>https://www.boardgameoracle.com/en-NZ/boardgame/price/RAWR9o2JFh/gaia-project</v>
      </c>
      <c r="O15">
        <f>COUNTIF(OWNED[bgg_id],BUYLIST10[[#This Row],[BGG ID]])</f>
        <v>0</v>
      </c>
      <c r="P15">
        <f>COUNTIF(BUYLIST10[NAME],BUYLIST10[[#This Row],[NAME]])</f>
        <v>1</v>
      </c>
    </row>
    <row r="16" spans="1:16" ht="63.95" hidden="1" customHeight="1" x14ac:dyDescent="0.4">
      <c r="A16" s="6">
        <v>15</v>
      </c>
      <c r="B16" t="str">
        <f>IFERROR(_xlfn.XLOOKUP(BUYLIST10[[#This Row],[BGG ID]],bgg_cache[id],bgg_cache[title]),_xlfn.XLOOKUP(BUYLIST10[[#This Row],[BGG ID]],manual_bgg!B:B,manual_bgg!D:D))</f>
        <v>Parks (Second Edition)</v>
      </c>
      <c r="C16" t="e" vm="14">
        <f>_xlfn.IMAGE(_xlfn.XLOOKUP(BUYLIST10[[#This Row],[BGG ID]],bgg_cache[id],bgg_cache[thumbnail_url]),,3,80)</f>
        <v>#VALUE!</v>
      </c>
      <c r="D16">
        <v>437306</v>
      </c>
      <c r="E16" t="str">
        <f>_xlfn.XLOOKUP(BUYLIST10[[#This Row],[BGG ID]],STOREURL[BGG ID],STOREURL[STATUS])</f>
        <v>AVAILABLE</v>
      </c>
      <c r="F16">
        <f>_xlfn.XLOOKUP(BUYLIST10[[#This Row],[BGG ID]],STOREURL[BGG ID],STOREURL[LPG_RRP])</f>
        <v>114.99</v>
      </c>
      <c r="G16">
        <f>_xlfn.XLOOKUP(BUYLIST10[[#This Row],[NAME]],summary_prices[game],summary_prices[site_low_nzd])</f>
        <v>95</v>
      </c>
      <c r="H16">
        <f>_xlfn.XLOOKUP(BUYLIST10[[#This Row],[NAME]],summary_prices[game],summary_prices[site_mean_nzd])</f>
        <v>102.5</v>
      </c>
      <c r="I16">
        <f>_xlfn.XLOOKUP(BUYLIST10[[#This Row],[NAME]],summary_prices[game],summary_prices[best_in_stock_nzd])</f>
        <v>95</v>
      </c>
      <c r="J16">
        <f>IFERROR(_xlfn.XLOOKUP(BUYLIST10[[#This Row],[NAME]],summary_prices[game],summary_prices[discount_pct_vs_site_mean]),-99)</f>
        <v>7.32</v>
      </c>
      <c r="K16">
        <f>_xlfn.XLOOKUP(BUYLIST10[[#This Row],[NAME]],summary_prices[game],summary_prices[delta_vs_site_disc_mean_pp])</f>
        <v>0</v>
      </c>
      <c r="L16" t="b" cm="1">
        <f t="array" ref="L16">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16" t="str">
        <f>_xlfn.XLOOKUP(BUYLIST10[[#This Row],[NAME]],summary_prices[game],summary_prices[best_in_stock_store])</f>
        <v>Escape Board-Em with Solve It &amp; Escape</v>
      </c>
      <c r="N16" s="4" t="str">
        <f>HYPERLINK(_xlfn.XLOOKUP(BUYLIST10[[#This Row],[BGG ID]],STOREURL[BGG ID],STOREURL[BGO LINK]))</f>
        <v>https://www.boardgameoracle.com/en-NZ/boardgame/price/G9zv2hrtCk/parks</v>
      </c>
      <c r="O16">
        <f>COUNTIF(OWNED[bgg_id],BUYLIST10[[#This Row],[BGG ID]])</f>
        <v>0</v>
      </c>
      <c r="P16">
        <f>COUNTIF(BUYLIST10[NAME],BUYLIST10[[#This Row],[NAME]])</f>
        <v>1</v>
      </c>
    </row>
    <row r="17" spans="1:16" ht="63.95" hidden="1" customHeight="1" x14ac:dyDescent="0.4">
      <c r="A17" s="6">
        <v>16</v>
      </c>
      <c r="B17" t="str">
        <f>IFERROR(_xlfn.XLOOKUP(BUYLIST10[[#This Row],[BGG ID]],bgg_cache[id],bgg_cache[title]),_xlfn.XLOOKUP(BUYLIST10[[#This Row],[BGG ID]],manual_bgg!B:B,manual_bgg!D:D))</f>
        <v>Aeon's End</v>
      </c>
      <c r="C17" t="e" vm="15">
        <f>_xlfn.IMAGE(_xlfn.XLOOKUP(BUYLIST10[[#This Row],[BGG ID]],bgg_cache[id],bgg_cache[thumbnail_url]),,3,80)</f>
        <v>#VALUE!</v>
      </c>
      <c r="D17">
        <v>191189</v>
      </c>
      <c r="E17" t="str">
        <f>_xlfn.XLOOKUP(BUYLIST10[[#This Row],[BGG ID]],STOREURL[BGG ID],STOREURL[STATUS])</f>
        <v>BACK_ORDER_OOS</v>
      </c>
      <c r="F17">
        <f>_xlfn.XLOOKUP(BUYLIST10[[#This Row],[BGG ID]],STOREURL[BGG ID],STOREURL[LPG_RRP])</f>
        <v>134.99</v>
      </c>
      <c r="G17" t="e">
        <f>_xlfn.XLOOKUP(BUYLIST10[[#This Row],[NAME]],summary_prices[game],summary_prices[site_low_nzd])</f>
        <v>#N/A</v>
      </c>
      <c r="H17" t="e">
        <f>_xlfn.XLOOKUP(BUYLIST10[[#This Row],[NAME]],summary_prices[game],summary_prices[site_mean_nzd])</f>
        <v>#N/A</v>
      </c>
      <c r="I17" t="e">
        <f>_xlfn.XLOOKUP(BUYLIST10[[#This Row],[NAME]],summary_prices[game],summary_prices[best_in_stock_nzd])</f>
        <v>#N/A</v>
      </c>
      <c r="J17">
        <f>IFERROR(_xlfn.XLOOKUP(BUYLIST10[[#This Row],[NAME]],summary_prices[game],summary_prices[discount_pct_vs_site_mean]),-99)</f>
        <v>-99</v>
      </c>
      <c r="K17" t="e">
        <f>_xlfn.XLOOKUP(BUYLIST10[[#This Row],[NAME]],summary_prices[game],summary_prices[delta_vs_site_disc_mean_pp])</f>
        <v>#N/A</v>
      </c>
      <c r="L17" t="b" cm="1">
        <f t="array" ref="L17">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17" t="e">
        <f>_xlfn.XLOOKUP(BUYLIST10[[#This Row],[NAME]],summary_prices[game],summary_prices[best_in_stock_store])</f>
        <v>#N/A</v>
      </c>
      <c r="N17" s="4" t="str">
        <f>HYPERLINK(_xlfn.XLOOKUP(BUYLIST10[[#This Row],[BGG ID]],STOREURL[BGG ID],STOREURL[BGO LINK]))</f>
        <v/>
      </c>
      <c r="O17">
        <f>COUNTIF(OWNED[bgg_id],BUYLIST10[[#This Row],[BGG ID]])</f>
        <v>0</v>
      </c>
      <c r="P17">
        <f>COUNTIF(BUYLIST10[NAME],BUYLIST10[[#This Row],[NAME]])</f>
        <v>1</v>
      </c>
    </row>
    <row r="18" spans="1:16" ht="63.95" hidden="1" customHeight="1" x14ac:dyDescent="0.4">
      <c r="A18" s="6">
        <v>18</v>
      </c>
      <c r="B18" t="str">
        <f>IFERROR(_xlfn.XLOOKUP(BUYLIST10[[#This Row],[BGG ID]],bgg_cache[id],bgg_cache[title]),_xlfn.XLOOKUP(BUYLIST10[[#This Row],[BGG ID]],manual_bgg!B:B,manual_bgg!D:D))</f>
        <v>Telestrations</v>
      </c>
      <c r="C18" t="e" vm="16">
        <f>_xlfn.IMAGE(_xlfn.XLOOKUP(BUYLIST10[[#This Row],[BGG ID]],bgg_cache[id],bgg_cache[thumbnail_url]),,3,80)</f>
        <v>#VALUE!</v>
      </c>
      <c r="D18">
        <v>46213</v>
      </c>
      <c r="E18" t="str">
        <f>_xlfn.XLOOKUP(BUYLIST10[[#This Row],[BGG ID]],STOREURL[BGG ID],STOREURL[STATUS])</f>
        <v>AVAILABLE</v>
      </c>
      <c r="F18">
        <f>_xlfn.XLOOKUP(BUYLIST10[[#This Row],[BGG ID]],STOREURL[BGG ID],STOREURL[LPG_RRP])</f>
        <v>64.989999999999995</v>
      </c>
      <c r="G18">
        <f>_xlfn.XLOOKUP(BUYLIST10[[#This Row],[NAME]],summary_prices[game],summary_prices[site_low_nzd])</f>
        <v>51.34</v>
      </c>
      <c r="H18">
        <f>_xlfn.XLOOKUP(BUYLIST10[[#This Row],[NAME]],summary_prices[game],summary_prices[site_mean_nzd])</f>
        <v>61.08</v>
      </c>
      <c r="I18">
        <f>_xlfn.XLOOKUP(BUYLIST10[[#This Row],[NAME]],summary_prices[game],summary_prices[best_in_stock_nzd])</f>
        <v>51.34</v>
      </c>
      <c r="J18">
        <f>IFERROR(_xlfn.XLOOKUP(BUYLIST10[[#This Row],[NAME]],summary_prices[game],summary_prices[discount_pct_vs_site_mean]),-99)</f>
        <v>15.95</v>
      </c>
      <c r="K18">
        <f>_xlfn.XLOOKUP(BUYLIST10[[#This Row],[NAME]],summary_prices[game],summary_prices[delta_vs_site_disc_mean_pp])</f>
        <v>0</v>
      </c>
      <c r="L18" t="b" cm="1">
        <f t="array" ref="L18">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18" t="str">
        <f>_xlfn.XLOOKUP(BUYLIST10[[#This Row],[NAME]],summary_prices[game],summary_prices[best_in_stock_store])</f>
        <v>The Nile NZ</v>
      </c>
      <c r="N18" s="4" t="str">
        <f>HYPERLINK(_xlfn.XLOOKUP(BUYLIST10[[#This Row],[BGG ID]],STOREURL[BGG ID],STOREURL[BGO LINK]))</f>
        <v>https://www.boardgameoracle.com/en-NZ/boardgame/price/YuI5r9aUyL/telestrations</v>
      </c>
      <c r="O18">
        <f>COUNTIF(OWNED[bgg_id],BUYLIST10[[#This Row],[BGG ID]])</f>
        <v>0</v>
      </c>
      <c r="P18">
        <f>COUNTIF(BUYLIST10[NAME],BUYLIST10[[#This Row],[NAME]])</f>
        <v>1</v>
      </c>
    </row>
    <row r="19" spans="1:16" ht="63.95" hidden="1" customHeight="1" x14ac:dyDescent="0.4">
      <c r="A19" s="6">
        <v>19</v>
      </c>
      <c r="B19" t="str">
        <f>IFERROR(_xlfn.XLOOKUP(BUYLIST10[[#This Row],[BGG ID]],bgg_cache[id],bgg_cache[title]),_xlfn.XLOOKUP(BUYLIST10[[#This Row],[BGG ID]],manual_bgg!B:B,manual_bgg!D:D))</f>
        <v>Draftosaurus</v>
      </c>
      <c r="C19" t="e" vm="17">
        <f>_xlfn.IMAGE(_xlfn.XLOOKUP(BUYLIST10[[#This Row],[BGG ID]],bgg_cache[id],bgg_cache[thumbnail_url]),,3,80)</f>
        <v>#VALUE!</v>
      </c>
      <c r="D19">
        <v>264055</v>
      </c>
      <c r="E19" t="str">
        <f>_xlfn.XLOOKUP(BUYLIST10[[#This Row],[BGG ID]],STOREURL[BGG ID],STOREURL[STATUS])</f>
        <v>AVAILABLE</v>
      </c>
      <c r="F19">
        <f>_xlfn.XLOOKUP(BUYLIST10[[#This Row],[BGG ID]],STOREURL[BGG ID],STOREURL[LPG_RRP])</f>
        <v>49.99</v>
      </c>
      <c r="G19">
        <f>_xlfn.XLOOKUP(BUYLIST10[[#This Row],[NAME]],summary_prices[game],summary_prices[site_low_nzd])</f>
        <v>46</v>
      </c>
      <c r="H19">
        <f>_xlfn.XLOOKUP(BUYLIST10[[#This Row],[NAME]],summary_prices[game],summary_prices[site_mean_nzd])</f>
        <v>50.26</v>
      </c>
      <c r="I19">
        <f>_xlfn.XLOOKUP(BUYLIST10[[#This Row],[NAME]],summary_prices[game],summary_prices[best_in_stock_nzd])</f>
        <v>46</v>
      </c>
      <c r="J19">
        <f>IFERROR(_xlfn.XLOOKUP(BUYLIST10[[#This Row],[NAME]],summary_prices[game],summary_prices[discount_pct_vs_site_mean]),-99)</f>
        <v>8.48</v>
      </c>
      <c r="K19">
        <f>_xlfn.XLOOKUP(BUYLIST10[[#This Row],[NAME]],summary_prices[game],summary_prices[delta_vs_site_disc_mean_pp])</f>
        <v>0</v>
      </c>
      <c r="L19" t="b" cm="1">
        <f t="array" ref="L19">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19" t="str">
        <f>_xlfn.XLOOKUP(BUYLIST10[[#This Row],[NAME]],summary_prices[game],summary_prices[best_in_stock_store])</f>
        <v>Escape Board-Em with Solve It &amp; Escape</v>
      </c>
      <c r="N19" s="4" t="str">
        <f>HYPERLINK(_xlfn.XLOOKUP(BUYLIST10[[#This Row],[BGG ID]],STOREURL[BGG ID],STOREURL[BGO LINK]))</f>
        <v>https://www.boardgameoracle.com/en-NZ/boardgame/price/1fceNlC8dC/draftosaurus</v>
      </c>
      <c r="O19">
        <f>COUNTIF(OWNED[bgg_id],BUYLIST10[[#This Row],[BGG ID]])</f>
        <v>0</v>
      </c>
      <c r="P19">
        <f>COUNTIF(BUYLIST10[NAME],BUYLIST10[[#This Row],[NAME]])</f>
        <v>1</v>
      </c>
    </row>
    <row r="20" spans="1:16" ht="63.95" hidden="1" customHeight="1" x14ac:dyDescent="0.4">
      <c r="A20" s="6">
        <v>20</v>
      </c>
      <c r="B20" t="str">
        <f>IFERROR(_xlfn.XLOOKUP(BUYLIST10[[#This Row],[BGG ID]],bgg_cache[id],bgg_cache[title]),_xlfn.XLOOKUP(BUYLIST10[[#This Row],[BGG ID]],manual_bgg!B:B,manual_bgg!D:D))</f>
        <v>Onitama</v>
      </c>
      <c r="C20" t="e" vm="18">
        <f>_xlfn.IMAGE(_xlfn.XLOOKUP(BUYLIST10[[#This Row],[BGG ID]],bgg_cache[id],bgg_cache[thumbnail_url]),,3,80)</f>
        <v>#VALUE!</v>
      </c>
      <c r="D20">
        <v>160477</v>
      </c>
      <c r="E20" t="str">
        <f>_xlfn.XLOOKUP(BUYLIST10[[#This Row],[BGG ID]],STOREURL[BGG ID],STOREURL[STATUS])</f>
        <v>AVAILABLE</v>
      </c>
      <c r="F20">
        <f>_xlfn.XLOOKUP(BUYLIST10[[#This Row],[BGG ID]],STOREURL[BGG ID],STOREURL[LPG_RRP])</f>
        <v>79.989999999999995</v>
      </c>
      <c r="G20">
        <f>_xlfn.XLOOKUP(BUYLIST10[[#This Row],[NAME]],summary_prices[game],summary_prices[site_low_nzd])</f>
        <v>55</v>
      </c>
      <c r="H20">
        <f>_xlfn.XLOOKUP(BUYLIST10[[#This Row],[NAME]],summary_prices[game],summary_prices[site_mean_nzd])</f>
        <v>72.03</v>
      </c>
      <c r="I20">
        <f>_xlfn.XLOOKUP(BUYLIST10[[#This Row],[NAME]],summary_prices[game],summary_prices[best_in_stock_nzd])</f>
        <v>66.52</v>
      </c>
      <c r="J20">
        <f>IFERROR(_xlfn.XLOOKUP(BUYLIST10[[#This Row],[NAME]],summary_prices[game],summary_prices[discount_pct_vs_site_mean]),-99)</f>
        <v>7.65</v>
      </c>
      <c r="K20">
        <f>_xlfn.XLOOKUP(BUYLIST10[[#This Row],[NAME]],summary_prices[game],summary_prices[delta_vs_site_disc_mean_pp])</f>
        <v>-15.99</v>
      </c>
      <c r="L20" t="b" cm="1">
        <f t="array" ref="L20">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20" t="str">
        <f>_xlfn.XLOOKUP(BUYLIST10[[#This Row],[NAME]],summary_prices[game],summary_prices[best_in_stock_store])</f>
        <v>Amazon AU</v>
      </c>
      <c r="N20" s="4" t="str">
        <f>HYPERLINK(_xlfn.XLOOKUP(BUYLIST10[[#This Row],[BGG ID]],STOREURL[BGG ID],STOREURL[BGO LINK]))</f>
        <v>https://www.boardgameoracle.com/en-NZ/boardgame/price/i0kG0sEypk/onitama</v>
      </c>
      <c r="O20">
        <f>COUNTIF(OWNED[bgg_id],BUYLIST10[[#This Row],[BGG ID]])</f>
        <v>0</v>
      </c>
      <c r="P20">
        <f>COUNTIF(BUYLIST10[NAME],BUYLIST10[[#This Row],[NAME]])</f>
        <v>1</v>
      </c>
    </row>
    <row r="21" spans="1:16" ht="63.95" hidden="1" customHeight="1" x14ac:dyDescent="0.4">
      <c r="A21" s="6">
        <v>21</v>
      </c>
      <c r="B21" t="str">
        <f>IFERROR(_xlfn.XLOOKUP(BUYLIST10[[#This Row],[BGG ID]],bgg_cache[id],bgg_cache[title]),_xlfn.XLOOKUP(BUYLIST10[[#This Row],[BGG ID]],manual_bgg!B:B,manual_bgg!D:D))</f>
        <v>Beyond the Sun</v>
      </c>
      <c r="C21" t="e" vm="19">
        <f>_xlfn.IMAGE(_xlfn.XLOOKUP(BUYLIST10[[#This Row],[BGG ID]],bgg_cache[id],bgg_cache[thumbnail_url]),,3,80)</f>
        <v>#VALUE!</v>
      </c>
      <c r="D21">
        <v>317985</v>
      </c>
      <c r="E21" t="str">
        <f>_xlfn.XLOOKUP(BUYLIST10[[#This Row],[BGG ID]],STOREURL[BGG ID],STOREURL[STATUS])</f>
        <v>AVAILABLE</v>
      </c>
      <c r="F21">
        <f>_xlfn.XLOOKUP(BUYLIST10[[#This Row],[BGG ID]],STOREURL[BGG ID],STOREURL[LPG_RRP])</f>
        <v>189.99</v>
      </c>
      <c r="G21">
        <f>_xlfn.XLOOKUP(BUYLIST10[[#This Row],[NAME]],summary_prices[game],summary_prices[site_low_nzd])</f>
        <v>106.53</v>
      </c>
      <c r="H21">
        <f>_xlfn.XLOOKUP(BUYLIST10[[#This Row],[NAME]],summary_prices[game],summary_prices[site_mean_nzd])</f>
        <v>147.34</v>
      </c>
      <c r="I21">
        <f>_xlfn.XLOOKUP(BUYLIST10[[#This Row],[NAME]],summary_prices[game],summary_prices[best_in_stock_nzd])</f>
        <v>106.91</v>
      </c>
      <c r="J21">
        <f>IFERROR(_xlfn.XLOOKUP(BUYLIST10[[#This Row],[NAME]],summary_prices[game],summary_prices[discount_pct_vs_site_mean]),-99)</f>
        <v>27.44</v>
      </c>
      <c r="K21">
        <f>_xlfn.XLOOKUP(BUYLIST10[[#This Row],[NAME]],summary_prices[game],summary_prices[delta_vs_site_disc_mean_pp])</f>
        <v>-0.25999999999999801</v>
      </c>
      <c r="L21" t="b" cm="1">
        <f t="array" ref="L21">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21" t="str">
        <f>_xlfn.XLOOKUP(BUYLIST10[[#This Row],[NAME]],summary_prices[game],summary_prices[best_in_stock_store])</f>
        <v>Amazon AU</v>
      </c>
      <c r="N21" s="4" t="str">
        <f>HYPERLINK(_xlfn.XLOOKUP(BUYLIST10[[#This Row],[BGG ID]],STOREURL[BGG ID],STOREURL[BGO LINK]))</f>
        <v>https://www.boardgameoracle.com/en-NZ/boardgame/price/TjkQy67CFh/beyond-the-sun</v>
      </c>
      <c r="O21">
        <f>COUNTIF(OWNED[bgg_id],BUYLIST10[[#This Row],[BGG ID]])</f>
        <v>0</v>
      </c>
      <c r="P21">
        <f>COUNTIF(BUYLIST10[NAME],BUYLIST10[[#This Row],[NAME]])</f>
        <v>1</v>
      </c>
    </row>
    <row r="22" spans="1:16" ht="63.95" hidden="1" customHeight="1" x14ac:dyDescent="0.4">
      <c r="A22" s="6">
        <v>22</v>
      </c>
      <c r="B22" t="str">
        <f>IFERROR(_xlfn.XLOOKUP(BUYLIST10[[#This Row],[BGG ID]],bgg_cache[id],bgg_cache[title]),_xlfn.XLOOKUP(BUYLIST10[[#This Row],[BGG ID]],manual_bgg!B:B,manual_bgg!D:D))</f>
        <v>Underwater Cities</v>
      </c>
      <c r="C22" t="e" vm="20">
        <f>_xlfn.IMAGE(_xlfn.XLOOKUP(BUYLIST10[[#This Row],[BGG ID]],bgg_cache[id],bgg_cache[thumbnail_url]),,3,80)</f>
        <v>#VALUE!</v>
      </c>
      <c r="D22">
        <v>247763</v>
      </c>
      <c r="E22" t="str">
        <f>_xlfn.XLOOKUP(BUYLIST10[[#This Row],[BGG ID]],STOREURL[BGG ID],STOREURL[STATUS])</f>
        <v>BACK_ORDER_OOS</v>
      </c>
      <c r="F22">
        <f>_xlfn.XLOOKUP(BUYLIST10[[#This Row],[BGG ID]],STOREURL[BGG ID],STOREURL[LPG_RRP])</f>
        <v>169.99</v>
      </c>
      <c r="G22">
        <f>_xlfn.XLOOKUP(BUYLIST10[[#This Row],[NAME]],summary_prices[game],summary_prices[site_low_nzd])</f>
        <v>125.04</v>
      </c>
      <c r="H22">
        <f>_xlfn.XLOOKUP(BUYLIST10[[#This Row],[NAME]],summary_prices[game],summary_prices[site_mean_nzd])</f>
        <v>131.63</v>
      </c>
      <c r="I22">
        <f>_xlfn.XLOOKUP(BUYLIST10[[#This Row],[NAME]],summary_prices[game],summary_prices[best_in_stock_nzd])</f>
        <v>125.76</v>
      </c>
      <c r="J22">
        <f>IFERROR(_xlfn.XLOOKUP(BUYLIST10[[#This Row],[NAME]],summary_prices[game],summary_prices[discount_pct_vs_site_mean]),-99)</f>
        <v>4.46</v>
      </c>
      <c r="K22">
        <f>_xlfn.XLOOKUP(BUYLIST10[[#This Row],[NAME]],summary_prices[game],summary_prices[delta_vs_site_disc_mean_pp])</f>
        <v>-0.54</v>
      </c>
      <c r="L22" t="b" cm="1">
        <f t="array" ref="L22">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22" t="str">
        <f>_xlfn.XLOOKUP(BUYLIST10[[#This Row],[NAME]],summary_prices[game],summary_prices[best_in_stock_store])</f>
        <v>Gameology</v>
      </c>
      <c r="N22" s="4" t="str">
        <f>HYPERLINK(_xlfn.XLOOKUP(BUYLIST10[[#This Row],[BGG ID]],STOREURL[BGG ID],STOREURL[BGO LINK]))</f>
        <v>https://www.boardgameoracle.com/en-NZ/boardgame/price/OWShg7nOJv/underwater-cities</v>
      </c>
      <c r="O22">
        <f>COUNTIF(OWNED[bgg_id],BUYLIST10[[#This Row],[BGG ID]])</f>
        <v>0</v>
      </c>
      <c r="P22">
        <f>COUNTIF(BUYLIST10[NAME],BUYLIST10[[#This Row],[NAME]])</f>
        <v>1</v>
      </c>
    </row>
    <row r="23" spans="1:16" ht="63.95" hidden="1" customHeight="1" x14ac:dyDescent="0.4">
      <c r="A23" s="6">
        <v>23</v>
      </c>
      <c r="B23" t="str">
        <f>IFERROR(_xlfn.XLOOKUP(BUYLIST10[[#This Row],[BGG ID]],bgg_cache[id],bgg_cache[title]),_xlfn.XLOOKUP(BUYLIST10[[#This Row],[BGG ID]],manual_bgg!B:B,manual_bgg!D:D))</f>
        <v>Maracaibo</v>
      </c>
      <c r="C23" t="e">
        <f>_xlfn.IMAGE(_xlfn.XLOOKUP(BUYLIST10[[#This Row],[BGG ID]],bgg_cache[id],bgg_cache[thumbnail_url]),,3,80)</f>
        <v>#N/A</v>
      </c>
      <c r="D23">
        <v>276025</v>
      </c>
      <c r="E23" t="str">
        <f>_xlfn.XLOOKUP(BUYLIST10[[#This Row],[BGG ID]],STOREURL[BGG ID],STOREURL[STATUS])</f>
        <v>OUT_OF_STOCK</v>
      </c>
      <c r="F23">
        <f>_xlfn.XLOOKUP(BUYLIST10[[#This Row],[BGG ID]],STOREURL[BGG ID],STOREURL[LPG_RRP])</f>
        <v>164.99</v>
      </c>
      <c r="G23">
        <f>_xlfn.XLOOKUP(BUYLIST10[[#This Row],[NAME]],summary_prices[game],summary_prices[site_low_nzd])</f>
        <v>99</v>
      </c>
      <c r="H23">
        <f>_xlfn.XLOOKUP(BUYLIST10[[#This Row],[NAME]],summary_prices[game],summary_prices[site_mean_nzd])</f>
        <v>134.6</v>
      </c>
      <c r="I23">
        <f>_xlfn.XLOOKUP(BUYLIST10[[#This Row],[NAME]],summary_prices[game],summary_prices[best_in_stock_nzd])</f>
        <v>99</v>
      </c>
      <c r="J23">
        <f>IFERROR(_xlfn.XLOOKUP(BUYLIST10[[#This Row],[NAME]],summary_prices[game],summary_prices[discount_pct_vs_site_mean]),-99)</f>
        <v>26.45</v>
      </c>
      <c r="K23">
        <f>_xlfn.XLOOKUP(BUYLIST10[[#This Row],[NAME]],summary_prices[game],summary_prices[delta_vs_site_disc_mean_pp])</f>
        <v>0</v>
      </c>
      <c r="L23" t="b" cm="1">
        <f t="array" ref="L23">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23" t="str">
        <f>_xlfn.XLOOKUP(BUYLIST10[[#This Row],[NAME]],summary_prices[game],summary_prices[best_in_stock_store])</f>
        <v>Game Centre</v>
      </c>
      <c r="N23" s="4" t="str">
        <f>HYPERLINK(_xlfn.XLOOKUP(BUYLIST10[[#This Row],[BGG ID]],STOREURL[BGG ID],STOREURL[BGO LINK]))</f>
        <v>https://www.boardgameoracle.com/en-NZ/boardgame/price/JrsCNCAZai/maracaibo</v>
      </c>
      <c r="O23">
        <f>COUNTIF(OWNED[bgg_id],BUYLIST10[[#This Row],[BGG ID]])</f>
        <v>0</v>
      </c>
      <c r="P23">
        <f>COUNTIF(BUYLIST10[NAME],BUYLIST10[[#This Row],[NAME]])</f>
        <v>1</v>
      </c>
    </row>
    <row r="24" spans="1:16" ht="63.95" hidden="1" customHeight="1" x14ac:dyDescent="0.4">
      <c r="A24" s="6">
        <v>24</v>
      </c>
      <c r="B24" t="str">
        <f>IFERROR(_xlfn.XLOOKUP(BUYLIST10[[#This Row],[BGG ID]],bgg_cache[id],bgg_cache[title]),_xlfn.XLOOKUP(BUYLIST10[[#This Row],[BGG ID]],manual_bgg!B:B,manual_bgg!D:D))</f>
        <v>Barrage</v>
      </c>
      <c r="C24" t="e" vm="21">
        <f>_xlfn.IMAGE(_xlfn.XLOOKUP(BUYLIST10[[#This Row],[BGG ID]],bgg_cache[id],bgg_cache[thumbnail_url]),,3,80)</f>
        <v>#VALUE!</v>
      </c>
      <c r="D24">
        <v>251247</v>
      </c>
      <c r="E24" t="str">
        <f>_xlfn.XLOOKUP(BUYLIST10[[#This Row],[BGG ID]],STOREURL[BGG ID],STOREURL[STATUS])</f>
        <v>BACK_ORDER_OOS</v>
      </c>
      <c r="F24">
        <f>_xlfn.XLOOKUP(BUYLIST10[[#This Row],[BGG ID]],STOREURL[BGG ID],STOREURL[LPG_RRP])</f>
        <v>234.99</v>
      </c>
      <c r="G24">
        <f>_xlfn.XLOOKUP(BUYLIST10[[#This Row],[NAME]],summary_prices[game],summary_prices[site_low_nzd])</f>
        <v>173.59</v>
      </c>
      <c r="H24">
        <f>_xlfn.XLOOKUP(BUYLIST10[[#This Row],[NAME]],summary_prices[game],summary_prices[site_mean_nzd])</f>
        <v>205.64</v>
      </c>
      <c r="I24">
        <f>_xlfn.XLOOKUP(BUYLIST10[[#This Row],[NAME]],summary_prices[game],summary_prices[best_in_stock_nzd])</f>
        <v>174.59</v>
      </c>
      <c r="J24">
        <f>IFERROR(_xlfn.XLOOKUP(BUYLIST10[[#This Row],[NAME]],summary_prices[game],summary_prices[discount_pct_vs_site_mean]),-99)</f>
        <v>15.1</v>
      </c>
      <c r="K24">
        <f>_xlfn.XLOOKUP(BUYLIST10[[#This Row],[NAME]],summary_prices[game],summary_prices[delta_vs_site_disc_mean_pp])</f>
        <v>-0.48000000000000043</v>
      </c>
      <c r="L24" t="b" cm="1">
        <f t="array" ref="L24">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24" t="str">
        <f>_xlfn.XLOOKUP(BUYLIST10[[#This Row],[NAME]],summary_prices[game],summary_prices[best_in_stock_store])</f>
        <v>Gameology</v>
      </c>
      <c r="N24" s="4" t="str">
        <f>HYPERLINK(_xlfn.XLOOKUP(BUYLIST10[[#This Row],[BGG ID]],STOREURL[BGG ID],STOREURL[BGO LINK]))</f>
        <v>https://www.boardgameoracle.com/en-NZ/boardgame/price/h_e-3bcNat/barrage</v>
      </c>
      <c r="O24">
        <f>COUNTIF(OWNED[bgg_id],BUYLIST10[[#This Row],[BGG ID]])</f>
        <v>0</v>
      </c>
      <c r="P24">
        <f>COUNTIF(BUYLIST10[NAME],BUYLIST10[[#This Row],[NAME]])</f>
        <v>1</v>
      </c>
    </row>
    <row r="25" spans="1:16" ht="63.95" hidden="1" customHeight="1" x14ac:dyDescent="0.4">
      <c r="A25" s="6">
        <v>25</v>
      </c>
      <c r="B25" t="str">
        <f>IFERROR(_xlfn.XLOOKUP(BUYLIST10[[#This Row],[BGG ID]],bgg_cache[id],bgg_cache[title]),_xlfn.XLOOKUP(BUYLIST10[[#This Row],[BGG ID]],manual_bgg!B:B,manual_bgg!D:D))</f>
        <v>Carnegie</v>
      </c>
      <c r="C25" t="e" vm="22">
        <f>_xlfn.IMAGE(_xlfn.XLOOKUP(BUYLIST10[[#This Row],[BGG ID]],bgg_cache[id],bgg_cache[thumbnail_url]),,3,80)</f>
        <v>#VALUE!</v>
      </c>
      <c r="D25">
        <v>310873</v>
      </c>
      <c r="E25" t="str">
        <f>_xlfn.XLOOKUP(BUYLIST10[[#This Row],[BGG ID]],STOREURL[BGG ID],STOREURL[STATUS])</f>
        <v>BACK_ORDER_OOS</v>
      </c>
      <c r="F25">
        <f>_xlfn.XLOOKUP(BUYLIST10[[#This Row],[BGG ID]],STOREURL[BGG ID],STOREURL[LPG_RRP])</f>
        <v>154.99</v>
      </c>
      <c r="G25">
        <f>_xlfn.XLOOKUP(BUYLIST10[[#This Row],[NAME]],summary_prices[game],summary_prices[site_low_nzd])</f>
        <v>123</v>
      </c>
      <c r="H25">
        <f>_xlfn.XLOOKUP(BUYLIST10[[#This Row],[NAME]],summary_prices[game],summary_prices[site_mean_nzd])</f>
        <v>133.5</v>
      </c>
      <c r="I25">
        <f>_xlfn.XLOOKUP(BUYLIST10[[#This Row],[NAME]],summary_prices[game],summary_prices[best_in_stock_nzd])</f>
        <v>133.29</v>
      </c>
      <c r="J25">
        <f>IFERROR(_xlfn.XLOOKUP(BUYLIST10[[#This Row],[NAME]],summary_prices[game],summary_prices[discount_pct_vs_site_mean]),-99)</f>
        <v>0.16</v>
      </c>
      <c r="K25">
        <f>_xlfn.XLOOKUP(BUYLIST10[[#This Row],[NAME]],summary_prices[game],summary_prices[delta_vs_site_disc_mean_pp])</f>
        <v>-7.71</v>
      </c>
      <c r="L25" t="b" cm="1">
        <f t="array" ref="L25">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25" t="str">
        <f>_xlfn.XLOOKUP(BUYLIST10[[#This Row],[NAME]],summary_prices[game],summary_prices[best_in_stock_store])</f>
        <v>Amazon AU</v>
      </c>
      <c r="N25" s="4" t="str">
        <f>HYPERLINK(_xlfn.XLOOKUP(BUYLIST10[[#This Row],[BGG ID]],STOREURL[BGG ID],STOREURL[BGO LINK]))</f>
        <v>https://www.boardgameoracle.com/en-NZ/boardgame/price/Y9c_xQFjBO/carnegie</v>
      </c>
      <c r="O25">
        <f>COUNTIF(OWNED[bgg_id],BUYLIST10[[#This Row],[BGG ID]])</f>
        <v>0</v>
      </c>
      <c r="P25">
        <f>COUNTIF(BUYLIST10[NAME],BUYLIST10[[#This Row],[NAME]])</f>
        <v>1</v>
      </c>
    </row>
    <row r="26" spans="1:16" ht="63.95" hidden="1" customHeight="1" x14ac:dyDescent="0.4">
      <c r="A26" s="6">
        <v>26</v>
      </c>
      <c r="B26" t="str">
        <f>IFERROR(_xlfn.XLOOKUP(BUYLIST10[[#This Row],[BGG ID]],bgg_cache[id],bgg_cache[title]),_xlfn.XLOOKUP(BUYLIST10[[#This Row],[BGG ID]],manual_bgg!B:B,manual_bgg!D:D))</f>
        <v>Star Wars: Rebellion</v>
      </c>
      <c r="C26" t="e" vm="23">
        <f>_xlfn.IMAGE(_xlfn.XLOOKUP(BUYLIST10[[#This Row],[BGG ID]],bgg_cache[id],bgg_cache[thumbnail_url]),,3,80)</f>
        <v>#VALUE!</v>
      </c>
      <c r="D26">
        <v>187645</v>
      </c>
      <c r="E26" t="str">
        <f>_xlfn.XLOOKUP(BUYLIST10[[#This Row],[BGG ID]],STOREURL[BGG ID],STOREURL[STATUS])</f>
        <v>NOT_FOUND</v>
      </c>
      <c r="F26">
        <f>_xlfn.XLOOKUP(BUYLIST10[[#This Row],[BGG ID]],STOREURL[BGG ID],STOREURL[LPG_RRP])</f>
        <v>0</v>
      </c>
      <c r="G26">
        <f>_xlfn.XLOOKUP(BUYLIST10[[#This Row],[NAME]],summary_prices[game],summary_prices[site_low_nzd])</f>
        <v>173.59</v>
      </c>
      <c r="H26">
        <f>_xlfn.XLOOKUP(BUYLIST10[[#This Row],[NAME]],summary_prices[game],summary_prices[site_mean_nzd])</f>
        <v>212.74</v>
      </c>
      <c r="I26">
        <f>_xlfn.XLOOKUP(BUYLIST10[[#This Row],[NAME]],summary_prices[game],summary_prices[best_in_stock_nzd])</f>
        <v>174.59</v>
      </c>
      <c r="J26">
        <f>IFERROR(_xlfn.XLOOKUP(BUYLIST10[[#This Row],[NAME]],summary_prices[game],summary_prices[discount_pct_vs_site_mean]),-99)</f>
        <v>17.93</v>
      </c>
      <c r="K26">
        <f>_xlfn.XLOOKUP(BUYLIST10[[#This Row],[NAME]],summary_prices[game],summary_prices[delta_vs_site_disc_mean_pp])</f>
        <v>-0.46999999999999886</v>
      </c>
      <c r="L26" t="b" cm="1">
        <f t="array" ref="L26">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26" t="str">
        <f>_xlfn.XLOOKUP(BUYLIST10[[#This Row],[NAME]],summary_prices[game],summary_prices[best_in_stock_store])</f>
        <v>Gameology</v>
      </c>
      <c r="N26" s="4" t="str">
        <f>HYPERLINK(_xlfn.XLOOKUP(BUYLIST10[[#This Row],[BGG ID]],STOREURL[BGG ID],STOREURL[BGO LINK]))</f>
        <v>https://www.boardgameoracle.com/en-NZ/boardgame/price/1ZNrBrjfLr/star-wars-rebellion</v>
      </c>
      <c r="O26">
        <f>COUNTIF(OWNED[bgg_id],BUYLIST10[[#This Row],[BGG ID]])</f>
        <v>0</v>
      </c>
      <c r="P26">
        <f>COUNTIF(BUYLIST10[NAME],BUYLIST10[[#This Row],[NAME]])</f>
        <v>1</v>
      </c>
    </row>
    <row r="27" spans="1:16" ht="63.95" hidden="1" customHeight="1" x14ac:dyDescent="0.4">
      <c r="A27" s="6">
        <v>27</v>
      </c>
      <c r="B27" t="str">
        <f>IFERROR(_xlfn.XLOOKUP(BUYLIST10[[#This Row],[BGG ID]],bgg_cache[id],bgg_cache[title]),_xlfn.XLOOKUP(BUYLIST10[[#This Row],[BGG ID]],manual_bgg!B:B,manual_bgg!D:D))</f>
        <v>Sleeping Gods</v>
      </c>
      <c r="C27" t="e" vm="24">
        <f>_xlfn.IMAGE(_xlfn.XLOOKUP(BUYLIST10[[#This Row],[BGG ID]],bgg_cache[id],bgg_cache[thumbnail_url]),,3,80)</f>
        <v>#VALUE!</v>
      </c>
      <c r="D27">
        <v>255984</v>
      </c>
      <c r="E27" t="str">
        <f>_xlfn.XLOOKUP(BUYLIST10[[#This Row],[BGG ID]],STOREURL[BGG ID],STOREURL[STATUS])</f>
        <v>AVAILABLE</v>
      </c>
      <c r="F27">
        <f>_xlfn.XLOOKUP(BUYLIST10[[#This Row],[BGG ID]],STOREURL[BGG ID],STOREURL[LPG_RRP])</f>
        <v>269.99</v>
      </c>
      <c r="G27">
        <f>_xlfn.XLOOKUP(BUYLIST10[[#This Row],[NAME]],summary_prices[game],summary_prices[site_low_nzd])</f>
        <v>169</v>
      </c>
      <c r="H27">
        <f>_xlfn.XLOOKUP(BUYLIST10[[#This Row],[NAME]],summary_prices[game],summary_prices[site_mean_nzd])</f>
        <v>195.08</v>
      </c>
      <c r="I27">
        <f>_xlfn.XLOOKUP(BUYLIST10[[#This Row],[NAME]],summary_prices[game],summary_prices[best_in_stock_nzd])</f>
        <v>169</v>
      </c>
      <c r="J27">
        <f>IFERROR(_xlfn.XLOOKUP(BUYLIST10[[#This Row],[NAME]],summary_prices[game],summary_prices[discount_pct_vs_site_mean]),-99)</f>
        <v>13.37</v>
      </c>
      <c r="K27">
        <f>_xlfn.XLOOKUP(BUYLIST10[[#This Row],[NAME]],summary_prices[game],summary_prices[delta_vs_site_disc_mean_pp])</f>
        <v>0</v>
      </c>
      <c r="L27" t="b" cm="1">
        <f t="array" ref="L27">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27" t="str">
        <f>_xlfn.XLOOKUP(BUYLIST10[[#This Row],[NAME]],summary_prices[game],summary_prices[best_in_stock_store])</f>
        <v>Escape Board-Em with Solve It &amp; Escape</v>
      </c>
      <c r="N27" s="4" t="str">
        <f>HYPERLINK(_xlfn.XLOOKUP(BUYLIST10[[#This Row],[BGG ID]],STOREURL[BGG ID],STOREURL[BGO LINK]))</f>
        <v>https://www.boardgameoracle.com/en-NZ/boardgame/price/KOLN99FBId/sleeping-gods</v>
      </c>
      <c r="O27">
        <f>COUNTIF(OWNED[bgg_id],BUYLIST10[[#This Row],[BGG ID]])</f>
        <v>0</v>
      </c>
      <c r="P27">
        <f>COUNTIF(BUYLIST10[NAME],BUYLIST10[[#This Row],[NAME]])</f>
        <v>1</v>
      </c>
    </row>
    <row r="28" spans="1:16" ht="63.95" hidden="1" customHeight="1" x14ac:dyDescent="0.4">
      <c r="A28" s="6">
        <v>28</v>
      </c>
      <c r="B28" t="str">
        <f>IFERROR(_xlfn.XLOOKUP(BUYLIST10[[#This Row],[BGG ID]],bgg_cache[id],bgg_cache[title]),_xlfn.XLOOKUP(BUYLIST10[[#This Row],[BGG ID]],manual_bgg!B:B,manual_bgg!D:D))</f>
        <v>Paleo</v>
      </c>
      <c r="C28" t="e" vm="25">
        <f>_xlfn.IMAGE(_xlfn.XLOOKUP(BUYLIST10[[#This Row],[BGG ID]],bgg_cache[id],bgg_cache[thumbnail_url]),,3,80)</f>
        <v>#VALUE!</v>
      </c>
      <c r="D28">
        <v>300531</v>
      </c>
      <c r="E28" t="str">
        <f>_xlfn.XLOOKUP(BUYLIST10[[#This Row],[BGG ID]],STOREURL[BGG ID],STOREURL[STATUS])</f>
        <v>AVAILABLE</v>
      </c>
      <c r="F28">
        <f>_xlfn.XLOOKUP(BUYLIST10[[#This Row],[BGG ID]],STOREURL[BGG ID],STOREURL[LPG_RRP])</f>
        <v>144.99</v>
      </c>
      <c r="G28" t="e">
        <f>_xlfn.XLOOKUP(BUYLIST10[[#This Row],[NAME]],summary_prices[game],summary_prices[site_low_nzd])</f>
        <v>#N/A</v>
      </c>
      <c r="H28" t="e">
        <f>_xlfn.XLOOKUP(BUYLIST10[[#This Row],[NAME]],summary_prices[game],summary_prices[site_mean_nzd])</f>
        <v>#N/A</v>
      </c>
      <c r="I28" t="e">
        <f>_xlfn.XLOOKUP(BUYLIST10[[#This Row],[NAME]],summary_prices[game],summary_prices[best_in_stock_nzd])</f>
        <v>#N/A</v>
      </c>
      <c r="J28">
        <f>IFERROR(_xlfn.XLOOKUP(BUYLIST10[[#This Row],[NAME]],summary_prices[game],summary_prices[discount_pct_vs_site_mean]),-99)</f>
        <v>-99</v>
      </c>
      <c r="K28" t="e">
        <f>_xlfn.XLOOKUP(BUYLIST10[[#This Row],[NAME]],summary_prices[game],summary_prices[delta_vs_site_disc_mean_pp])</f>
        <v>#N/A</v>
      </c>
      <c r="L28" t="b" cm="1">
        <f t="array" ref="L28">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28" t="e">
        <f>_xlfn.XLOOKUP(BUYLIST10[[#This Row],[NAME]],summary_prices[game],summary_prices[best_in_stock_store])</f>
        <v>#N/A</v>
      </c>
      <c r="N28" s="4" t="str">
        <f>HYPERLINK(_xlfn.XLOOKUP(BUYLIST10[[#This Row],[BGG ID]],STOREURL[BGG ID],STOREURL[BGO LINK]))</f>
        <v/>
      </c>
      <c r="O28">
        <f>COUNTIF(OWNED[bgg_id],BUYLIST10[[#This Row],[BGG ID]])</f>
        <v>0</v>
      </c>
      <c r="P28">
        <f>COUNTIF(BUYLIST10[NAME],BUYLIST10[[#This Row],[NAME]])</f>
        <v>1</v>
      </c>
    </row>
    <row r="29" spans="1:16" ht="63.95" hidden="1" customHeight="1" x14ac:dyDescent="0.4">
      <c r="A29" s="6">
        <v>29</v>
      </c>
      <c r="B29" t="str">
        <f>IFERROR(_xlfn.XLOOKUP(BUYLIST10[[#This Row],[BGG ID]],bgg_cache[id],bgg_cache[title]),_xlfn.XLOOKUP(BUYLIST10[[#This Row],[BGG ID]],manual_bgg!B:B,manual_bgg!D:D))</f>
        <v>The LOOP</v>
      </c>
      <c r="C29" t="e" vm="26">
        <f>_xlfn.IMAGE(_xlfn.XLOOKUP(BUYLIST10[[#This Row],[BGG ID]],bgg_cache[id],bgg_cache[thumbnail_url]),,3,80)</f>
        <v>#VALUE!</v>
      </c>
      <c r="D29">
        <v>316412</v>
      </c>
      <c r="E29" t="str">
        <f>_xlfn.XLOOKUP(BUYLIST10[[#This Row],[BGG ID]],STOREURL[BGG ID],STOREURL[STATUS])</f>
        <v>NOT_FOUND</v>
      </c>
      <c r="F29">
        <f>_xlfn.XLOOKUP(BUYLIST10[[#This Row],[BGG ID]],STOREURL[BGG ID],STOREURL[LPG_RRP])</f>
        <v>0</v>
      </c>
      <c r="G29">
        <f>_xlfn.XLOOKUP(BUYLIST10[[#This Row],[NAME]],summary_prices[game],summary_prices[site_low_nzd])</f>
        <v>0</v>
      </c>
      <c r="H29">
        <f>_xlfn.XLOOKUP(BUYLIST10[[#This Row],[NAME]],summary_prices[game],summary_prices[site_mean_nzd])</f>
        <v>0</v>
      </c>
      <c r="I29">
        <f>_xlfn.XLOOKUP(BUYLIST10[[#This Row],[NAME]],summary_prices[game],summary_prices[best_in_stock_nzd])</f>
        <v>0</v>
      </c>
      <c r="J29">
        <f>IFERROR(_xlfn.XLOOKUP(BUYLIST10[[#This Row],[NAME]],summary_prices[game],summary_prices[discount_pct_vs_site_mean]),-99)</f>
        <v>0</v>
      </c>
      <c r="K29">
        <f>_xlfn.XLOOKUP(BUYLIST10[[#This Row],[NAME]],summary_prices[game],summary_prices[delta_vs_site_disc_mean_pp])</f>
        <v>0</v>
      </c>
      <c r="L29" t="b" cm="1">
        <f t="array" ref="L29">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29" t="str">
        <f>_xlfn.XLOOKUP(BUYLIST10[[#This Row],[NAME]],summary_prices[game],summary_prices[best_in_stock_store])</f>
        <v>popstop.co.nz - 11/09/2025</v>
      </c>
      <c r="N29" s="4" t="str">
        <f>HYPERLINK(_xlfn.XLOOKUP(BUYLIST10[[#This Row],[BGG ID]],STOREURL[BGG ID],STOREURL[BGO LINK]))</f>
        <v>https://www.boardgameoracle.com/en-NZ/boardgame/price/sd_mxziM3f/the-loop</v>
      </c>
      <c r="O29">
        <f>COUNTIF(OWNED[bgg_id],BUYLIST10[[#This Row],[BGG ID]])</f>
        <v>0</v>
      </c>
      <c r="P29">
        <f>COUNTIF(BUYLIST10[NAME],BUYLIST10[[#This Row],[NAME]])</f>
        <v>1</v>
      </c>
    </row>
    <row r="30" spans="1:16" ht="63.95" hidden="1" customHeight="1" x14ac:dyDescent="0.4">
      <c r="A30" s="6">
        <v>30</v>
      </c>
      <c r="B30" t="str">
        <f>IFERROR(_xlfn.XLOOKUP(BUYLIST10[[#This Row],[BGG ID]],bgg_cache[id],bgg_cache[title]),_xlfn.XLOOKUP(BUYLIST10[[#This Row],[BGG ID]],manual_bgg!B:B,manual_bgg!D:D))</f>
        <v>Crokinole</v>
      </c>
      <c r="C30" t="e" vm="27">
        <f>_xlfn.IMAGE(_xlfn.XLOOKUP(BUYLIST10[[#This Row],[BGG ID]],bgg_cache[id],bgg_cache[thumbnail_url]),,3,80)</f>
        <v>#VALUE!</v>
      </c>
      <c r="D30">
        <v>521</v>
      </c>
      <c r="E30" t="str">
        <f>_xlfn.XLOOKUP(BUYLIST10[[#This Row],[BGG ID]],STOREURL[BGG ID],STOREURL[STATUS])</f>
        <v>BACK_ORDER</v>
      </c>
      <c r="F30">
        <f>_xlfn.XLOOKUP(BUYLIST10[[#This Row],[BGG ID]],STOREURL[BGG ID],STOREURL[LPG_RRP])</f>
        <v>214.99</v>
      </c>
      <c r="G30">
        <f>_xlfn.XLOOKUP(BUYLIST10[[#This Row],[NAME]],summary_prices[game],summary_prices[site_low_nzd])</f>
        <v>182.73</v>
      </c>
      <c r="H30">
        <f>_xlfn.XLOOKUP(BUYLIST10[[#This Row],[NAME]],summary_prices[game],summary_prices[site_mean_nzd])</f>
        <v>182.73</v>
      </c>
      <c r="I30">
        <f>_xlfn.XLOOKUP(BUYLIST10[[#This Row],[NAME]],summary_prices[game],summary_prices[best_in_stock_nzd])</f>
        <v>183.78</v>
      </c>
      <c r="J30">
        <f>IFERROR(_xlfn.XLOOKUP(BUYLIST10[[#This Row],[NAME]],summary_prices[game],summary_prices[discount_pct_vs_site_mean]),-99)</f>
        <v>-0.56999999999999995</v>
      </c>
      <c r="K30">
        <f>_xlfn.XLOOKUP(BUYLIST10[[#This Row],[NAME]],summary_prices[game],summary_prices[delta_vs_site_disc_mean_pp])</f>
        <v>-0.56999999999999995</v>
      </c>
      <c r="L30" t="b" cm="1">
        <f t="array" ref="L30">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30" t="str">
        <f>_xlfn.XLOOKUP(BUYLIST10[[#This Row],[NAME]],summary_prices[game],summary_prices[best_in_stock_store])</f>
        <v>Gameology</v>
      </c>
      <c r="N30" s="4" t="str">
        <f>HYPERLINK(_xlfn.XLOOKUP(BUYLIST10[[#This Row],[BGG ID]],STOREURL[BGG ID],STOREURL[BGO LINK]))</f>
        <v>https://www.boardgameoracle.com/en-NZ/boardgame/price/x-sVOMQdBT/crokinole</v>
      </c>
      <c r="O30">
        <f>COUNTIF(OWNED[bgg_id],BUYLIST10[[#This Row],[BGG ID]])</f>
        <v>0</v>
      </c>
      <c r="P30">
        <f>COUNTIF(BUYLIST10[NAME],BUYLIST10[[#This Row],[NAME]])</f>
        <v>1</v>
      </c>
    </row>
    <row r="31" spans="1:16" ht="63.95" hidden="1" customHeight="1" x14ac:dyDescent="0.4">
      <c r="A31" s="6">
        <v>31</v>
      </c>
      <c r="B31" t="str">
        <f>IFERROR(_xlfn.XLOOKUP(BUYLIST10[[#This Row],[BGG ID]],bgg_cache[id],bgg_cache[title]),_xlfn.XLOOKUP(BUYLIST10[[#This Row],[BGG ID]],manual_bgg!B:B,manual_bgg!D:D))</f>
        <v>Junk Art Revolution</v>
      </c>
      <c r="C31" t="e" vm="28">
        <f>_xlfn.IMAGE(_xlfn.XLOOKUP(BUYLIST10[[#This Row],[BGG ID]],bgg_cache[id],bgg_cache[thumbnail_url]),,3,80)</f>
        <v>#VALUE!</v>
      </c>
      <c r="D31">
        <v>448188</v>
      </c>
      <c r="E31" t="str">
        <f>_xlfn.XLOOKUP(BUYLIST10[[#This Row],[BGG ID]],STOREURL[BGG ID],STOREURL[STATUS])</f>
        <v>NOT_FOUND</v>
      </c>
      <c r="F31">
        <f>_xlfn.XLOOKUP(BUYLIST10[[#This Row],[BGG ID]],STOREURL[BGG ID],STOREURL[LPG_RRP])</f>
        <v>0</v>
      </c>
      <c r="G31">
        <f>_xlfn.XLOOKUP(BUYLIST10[[#This Row],[NAME]],summary_prices[game],summary_prices[site_low_nzd])</f>
        <v>93.62</v>
      </c>
      <c r="H31">
        <f>_xlfn.XLOOKUP(BUYLIST10[[#This Row],[NAME]],summary_prices[game],summary_prices[site_mean_nzd])</f>
        <v>93.62</v>
      </c>
      <c r="I31">
        <f>_xlfn.XLOOKUP(BUYLIST10[[#This Row],[NAME]],summary_prices[game],summary_prices[best_in_stock_nzd])</f>
        <v>94.16</v>
      </c>
      <c r="J31">
        <f>IFERROR(_xlfn.XLOOKUP(BUYLIST10[[#This Row],[NAME]],summary_prices[game],summary_prices[discount_pct_vs_site_mean]),-99)</f>
        <v>-0.57999999999999996</v>
      </c>
      <c r="K31">
        <f>_xlfn.XLOOKUP(BUYLIST10[[#This Row],[NAME]],summary_prices[game],summary_prices[delta_vs_site_disc_mean_pp])</f>
        <v>-0.57999999999999996</v>
      </c>
      <c r="L31" t="b" cm="1">
        <f t="array" ref="L31">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31" t="str">
        <f>_xlfn.XLOOKUP(BUYLIST10[[#This Row],[NAME]],summary_prices[game],summary_prices[best_in_stock_store])</f>
        <v>Gameology</v>
      </c>
      <c r="N31" s="4" t="str">
        <f>HYPERLINK(_xlfn.XLOOKUP(BUYLIST10[[#This Row],[BGG ID]],STOREURL[BGG ID],STOREURL[BGO LINK]))</f>
        <v>https://www.boardgameoracle.com/en-NZ/boardgame/price/bpybuLeJ_t/junk-art-revolution</v>
      </c>
      <c r="O31">
        <f>COUNTIF(OWNED[bgg_id],BUYLIST10[[#This Row],[BGG ID]])</f>
        <v>0</v>
      </c>
      <c r="P31">
        <f>COUNTIF(BUYLIST10[NAME],BUYLIST10[[#This Row],[NAME]])</f>
        <v>1</v>
      </c>
    </row>
    <row r="32" spans="1:16" ht="63.95" hidden="1" customHeight="1" x14ac:dyDescent="0.4">
      <c r="A32" s="6">
        <v>32</v>
      </c>
      <c r="B32" t="str">
        <f>IFERROR(_xlfn.XLOOKUP(BUYLIST10[[#This Row],[BGG ID]],bgg_cache[id],bgg_cache[title]),_xlfn.XLOOKUP(BUYLIST10[[#This Row],[BGG ID]],manual_bgg!B:B,manual_bgg!D:D))</f>
        <v>Rhino Hero: Super Battle</v>
      </c>
      <c r="C32" t="e" vm="29">
        <f>_xlfn.IMAGE(_xlfn.XLOOKUP(BUYLIST10[[#This Row],[BGG ID]],bgg_cache[id],bgg_cache[thumbnail_url]),,3,80)</f>
        <v>#VALUE!</v>
      </c>
      <c r="D32">
        <v>218333</v>
      </c>
      <c r="E32" t="str">
        <f>_xlfn.XLOOKUP(BUYLIST10[[#This Row],[BGG ID]],STOREURL[BGG ID],STOREURL[STATUS])</f>
        <v>AVAILABLE</v>
      </c>
      <c r="F32">
        <f>_xlfn.XLOOKUP(BUYLIST10[[#This Row],[BGG ID]],STOREURL[BGG ID],STOREURL[LPG_RRP])</f>
        <v>104.99</v>
      </c>
      <c r="G32">
        <f>_xlfn.XLOOKUP(BUYLIST10[[#This Row],[NAME]],summary_prices[game],summary_prices[site_low_nzd])</f>
        <v>55</v>
      </c>
      <c r="H32">
        <f>_xlfn.XLOOKUP(BUYLIST10[[#This Row],[NAME]],summary_prices[game],summary_prices[site_mean_nzd])</f>
        <v>81.260000000000005</v>
      </c>
      <c r="I32">
        <f>_xlfn.XLOOKUP(BUYLIST10[[#This Row],[NAME]],summary_prices[game],summary_prices[best_in_stock_nzd])</f>
        <v>56.24</v>
      </c>
      <c r="J32">
        <f>IFERROR(_xlfn.XLOOKUP(BUYLIST10[[#This Row],[NAME]],summary_prices[game],summary_prices[discount_pct_vs_site_mean]),-99)</f>
        <v>30.79</v>
      </c>
      <c r="K32">
        <f>_xlfn.XLOOKUP(BUYLIST10[[#This Row],[NAME]],summary_prices[game],summary_prices[delta_vs_site_disc_mean_pp])</f>
        <v>-1.5200000000000031</v>
      </c>
      <c r="L32" t="b" cm="1">
        <f t="array" ref="L32">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32" t="str">
        <f>_xlfn.XLOOKUP(BUYLIST10[[#This Row],[NAME]],summary_prices[game],summary_prices[best_in_stock_store])</f>
        <v>Gameology</v>
      </c>
      <c r="N32" s="4" t="str">
        <f>HYPERLINK(_xlfn.XLOOKUP(BUYLIST10[[#This Row],[BGG ID]],STOREURL[BGG ID],STOREURL[BGO LINK]))</f>
        <v>https://www.boardgameoracle.com/en-NZ/boardgame/price/HPN4pqFc3R/rhino-hero-super-battle</v>
      </c>
      <c r="O32">
        <f>COUNTIF(OWNED[bgg_id],BUYLIST10[[#This Row],[BGG ID]])</f>
        <v>0</v>
      </c>
      <c r="P32">
        <f>COUNTIF(BUYLIST10[NAME],BUYLIST10[[#This Row],[NAME]])</f>
        <v>1</v>
      </c>
    </row>
    <row r="33" spans="1:16" ht="63.95" hidden="1" customHeight="1" x14ac:dyDescent="0.4">
      <c r="A33" s="6">
        <v>33</v>
      </c>
      <c r="B33" t="str">
        <f>IFERROR(_xlfn.XLOOKUP(BUYLIST10[[#This Row],[BGG ID]],bgg_cache[id],bgg_cache[title]),_xlfn.XLOOKUP(BUYLIST10[[#This Row],[BGG ID]],manual_bgg!B:B,manual_bgg!D:D))</f>
        <v>Karuba</v>
      </c>
      <c r="C33" t="e" vm="30">
        <f>_xlfn.IMAGE(_xlfn.XLOOKUP(BUYLIST10[[#This Row],[BGG ID]],bgg_cache[id],bgg_cache[thumbnail_url]),,3,80)</f>
        <v>#VALUE!</v>
      </c>
      <c r="D33">
        <v>183251</v>
      </c>
      <c r="E33" t="str">
        <f>_xlfn.XLOOKUP(BUYLIST10[[#This Row],[BGG ID]],STOREURL[BGG ID],STOREURL[STATUS])</f>
        <v>NOT_FOUND</v>
      </c>
      <c r="F33">
        <f>_xlfn.XLOOKUP(BUYLIST10[[#This Row],[BGG ID]],STOREURL[BGG ID],STOREURL[LPG_RRP])</f>
        <v>0</v>
      </c>
      <c r="G33">
        <f>_xlfn.XLOOKUP(BUYLIST10[[#This Row],[NAME]],summary_prices[game],summary_prices[site_low_nzd])</f>
        <v>76.92</v>
      </c>
      <c r="H33">
        <f>_xlfn.XLOOKUP(BUYLIST10[[#This Row],[NAME]],summary_prices[game],summary_prices[site_mean_nzd])</f>
        <v>76.92</v>
      </c>
      <c r="I33">
        <f>_xlfn.XLOOKUP(BUYLIST10[[#This Row],[NAME]],summary_prices[game],summary_prices[best_in_stock_nzd])</f>
        <v>0</v>
      </c>
      <c r="J33">
        <f>IFERROR(_xlfn.XLOOKUP(BUYLIST10[[#This Row],[NAME]],summary_prices[game],summary_prices[discount_pct_vs_site_mean]),-99)</f>
        <v>0</v>
      </c>
      <c r="K33">
        <f>_xlfn.XLOOKUP(BUYLIST10[[#This Row],[NAME]],summary_prices[game],summary_prices[delta_vs_site_disc_mean_pp])</f>
        <v>0</v>
      </c>
      <c r="L33" t="b" cm="1">
        <f t="array" ref="L33">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33" t="str">
        <f>_xlfn.XLOOKUP(BUYLIST10[[#This Row],[NAME]],summary_prices[game],summary_prices[best_in_stock_store])</f>
        <v/>
      </c>
      <c r="N33" s="4" t="str">
        <f>HYPERLINK(_xlfn.XLOOKUP(BUYLIST10[[#This Row],[BGG ID]],STOREURL[BGG ID],STOREURL[BGO LINK]))</f>
        <v>https://www.boardgameoracle.com/en-NZ/boardgame/price/JGhEQkoKrF/karuba</v>
      </c>
      <c r="O33">
        <f>COUNTIF(OWNED[bgg_id],BUYLIST10[[#This Row],[BGG ID]])</f>
        <v>0</v>
      </c>
      <c r="P33">
        <f>COUNTIF(BUYLIST10[NAME],BUYLIST10[[#This Row],[NAME]])</f>
        <v>1</v>
      </c>
    </row>
    <row r="34" spans="1:16" ht="63.95" hidden="1" customHeight="1" x14ac:dyDescent="0.4">
      <c r="A34" s="6">
        <v>34</v>
      </c>
      <c r="B34" t="str">
        <f>IFERROR(_xlfn.XLOOKUP(BUYLIST10[[#This Row],[BGG ID]],bgg_cache[id],bgg_cache[title]),_xlfn.XLOOKUP(BUYLIST10[[#This Row],[BGG ID]],manual_bgg!B:B,manual_bgg!D:D))</f>
        <v>Project L</v>
      </c>
      <c r="C34" t="e" vm="31">
        <f>_xlfn.IMAGE(_xlfn.XLOOKUP(BUYLIST10[[#This Row],[BGG ID]],bgg_cache[id],bgg_cache[thumbnail_url]),,3,80)</f>
        <v>#VALUE!</v>
      </c>
      <c r="D34">
        <v>260180</v>
      </c>
      <c r="E34" t="str">
        <f>_xlfn.XLOOKUP(BUYLIST10[[#This Row],[BGG ID]],STOREURL[BGG ID],STOREURL[STATUS])</f>
        <v>AVAILABLE</v>
      </c>
      <c r="F34">
        <f>_xlfn.XLOOKUP(BUYLIST10[[#This Row],[BGG ID]],STOREURL[BGG ID],STOREURL[LPG_RRP])</f>
        <v>79.989999999999995</v>
      </c>
      <c r="G34">
        <f>_xlfn.XLOOKUP(BUYLIST10[[#This Row],[NAME]],summary_prices[game],summary_prices[site_low_nzd])</f>
        <v>47</v>
      </c>
      <c r="H34">
        <f>_xlfn.XLOOKUP(BUYLIST10[[#This Row],[NAME]],summary_prices[game],summary_prices[site_mean_nzd])</f>
        <v>66.930000000000007</v>
      </c>
      <c r="I34">
        <f>_xlfn.XLOOKUP(BUYLIST10[[#This Row],[NAME]],summary_prices[game],summary_prices[best_in_stock_nzd])</f>
        <v>47.99</v>
      </c>
      <c r="J34">
        <f>IFERROR(_xlfn.XLOOKUP(BUYLIST10[[#This Row],[NAME]],summary_prices[game],summary_prices[discount_pct_vs_site_mean]),-99)</f>
        <v>28.3</v>
      </c>
      <c r="K34">
        <f>_xlfn.XLOOKUP(BUYLIST10[[#This Row],[NAME]],summary_prices[game],summary_prices[delta_vs_site_disc_mean_pp])</f>
        <v>-1.4699999999999989</v>
      </c>
      <c r="L34" t="b" cm="1">
        <f t="array" ref="L34">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34" t="str">
        <f>_xlfn.XLOOKUP(BUYLIST10[[#This Row],[NAME]],summary_prices[game],summary_prices[best_in_stock_store])</f>
        <v>Amazon AU</v>
      </c>
      <c r="N34" s="4" t="str">
        <f>HYPERLINK(_xlfn.XLOOKUP(BUYLIST10[[#This Row],[BGG ID]],STOREURL[BGG ID],STOREURL[BGO LINK]))</f>
        <v>https://www.boardgameoracle.com/en-NZ/boardgame/price/r3cJkFHUON/project-l</v>
      </c>
      <c r="O34">
        <f>COUNTIF(OWNED[bgg_id],BUYLIST10[[#This Row],[BGG ID]])</f>
        <v>0</v>
      </c>
      <c r="P34">
        <f>COUNTIF(BUYLIST10[NAME],BUYLIST10[[#This Row],[NAME]])</f>
        <v>1</v>
      </c>
    </row>
    <row r="35" spans="1:16" ht="63.95" hidden="1" customHeight="1" x14ac:dyDescent="0.4">
      <c r="A35" s="6">
        <v>35</v>
      </c>
      <c r="B35" t="str">
        <f>IFERROR(_xlfn.XLOOKUP(BUYLIST10[[#This Row],[BGG ID]],bgg_cache[id],bgg_cache[title]),_xlfn.XLOOKUP(BUYLIST10[[#This Row],[BGG ID]],manual_bgg!B:B,manual_bgg!D:D))</f>
        <v>Santorini</v>
      </c>
      <c r="C35" t="e" vm="32">
        <f>_xlfn.IMAGE(_xlfn.XLOOKUP(BUYLIST10[[#This Row],[BGG ID]],bgg_cache[id],bgg_cache[thumbnail_url]),,3,80)</f>
        <v>#VALUE!</v>
      </c>
      <c r="D35">
        <v>194655</v>
      </c>
      <c r="E35" t="str">
        <f>_xlfn.XLOOKUP(BUYLIST10[[#This Row],[BGG ID]],STOREURL[BGG ID],STOREURL[STATUS])</f>
        <v>AVAILABLE</v>
      </c>
      <c r="F35">
        <f>_xlfn.XLOOKUP(BUYLIST10[[#This Row],[BGG ID]],STOREURL[BGG ID],STOREURL[LPG_RRP])</f>
        <v>144.99</v>
      </c>
      <c r="G35">
        <f>_xlfn.XLOOKUP(BUYLIST10[[#This Row],[NAME]],summary_prices[game],summary_prices[site_low_nzd])</f>
        <v>114.84</v>
      </c>
      <c r="H35">
        <f>_xlfn.XLOOKUP(BUYLIST10[[#This Row],[NAME]],summary_prices[game],summary_prices[site_mean_nzd])</f>
        <v>114.84</v>
      </c>
      <c r="I35">
        <f>_xlfn.XLOOKUP(BUYLIST10[[#This Row],[NAME]],summary_prices[game],summary_prices[best_in_stock_nzd])</f>
        <v>115.51</v>
      </c>
      <c r="J35">
        <f>IFERROR(_xlfn.XLOOKUP(BUYLIST10[[#This Row],[NAME]],summary_prices[game],summary_prices[discount_pct_vs_site_mean]),-99)</f>
        <v>-0.57999999999999996</v>
      </c>
      <c r="K35">
        <f>_xlfn.XLOOKUP(BUYLIST10[[#This Row],[NAME]],summary_prices[game],summary_prices[delta_vs_site_disc_mean_pp])</f>
        <v>-0.57999999999999996</v>
      </c>
      <c r="L35" t="b" cm="1">
        <f t="array" ref="L35">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35" t="str">
        <f>_xlfn.XLOOKUP(BUYLIST10[[#This Row],[NAME]],summary_prices[game],summary_prices[best_in_stock_store])</f>
        <v>Amazon AU</v>
      </c>
      <c r="N35" s="4" t="str">
        <f>HYPERLINK(_xlfn.XLOOKUP(BUYLIST10[[#This Row],[BGG ID]],STOREURL[BGG ID],STOREURL[BGO LINK]))</f>
        <v>https://www.boardgameoracle.com/en-NZ/boardgame/price/5_TQJXBwtr/santorini</v>
      </c>
      <c r="O35">
        <f>COUNTIF(OWNED[bgg_id],BUYLIST10[[#This Row],[BGG ID]])</f>
        <v>0</v>
      </c>
      <c r="P35">
        <f>COUNTIF(BUYLIST10[NAME],BUYLIST10[[#This Row],[NAME]])</f>
        <v>1</v>
      </c>
    </row>
    <row r="36" spans="1:16" ht="63.95" hidden="1" customHeight="1" x14ac:dyDescent="0.4">
      <c r="A36" s="6">
        <v>36</v>
      </c>
      <c r="B36" t="str">
        <f>IFERROR(_xlfn.XLOOKUP(BUYLIST10[[#This Row],[BGG ID]],bgg_cache[id],bgg_cache[title]),_xlfn.XLOOKUP(BUYLIST10[[#This Row],[BGG ID]],manual_bgg!B:B,manual_bgg!D:D))</f>
        <v>Mandala</v>
      </c>
      <c r="C36" t="e" vm="33">
        <f>_xlfn.IMAGE(_xlfn.XLOOKUP(BUYLIST10[[#This Row],[BGG ID]],bgg_cache[id],bgg_cache[thumbnail_url]),,3,80)</f>
        <v>#VALUE!</v>
      </c>
      <c r="D36">
        <v>264241</v>
      </c>
      <c r="E36" t="str">
        <f>_xlfn.XLOOKUP(BUYLIST10[[#This Row],[BGG ID]],STOREURL[BGG ID],STOREURL[STATUS])</f>
        <v>BACK_ORDER</v>
      </c>
      <c r="F36">
        <f>_xlfn.XLOOKUP(BUYLIST10[[#This Row],[BGG ID]],STOREURL[BGG ID],STOREURL[LPG_RRP])</f>
        <v>69.989999999999995</v>
      </c>
      <c r="G36">
        <f>_xlfn.XLOOKUP(BUYLIST10[[#This Row],[NAME]],summary_prices[game],summary_prices[site_low_nzd])</f>
        <v>49.79</v>
      </c>
      <c r="H36">
        <f>_xlfn.XLOOKUP(BUYLIST10[[#This Row],[NAME]],summary_prices[game],summary_prices[site_mean_nzd])</f>
        <v>49.79</v>
      </c>
      <c r="I36">
        <f>_xlfn.XLOOKUP(BUYLIST10[[#This Row],[NAME]],summary_prices[game],summary_prices[best_in_stock_nzd])</f>
        <v>49.79</v>
      </c>
      <c r="J36">
        <f>IFERROR(_xlfn.XLOOKUP(BUYLIST10[[#This Row],[NAME]],summary_prices[game],summary_prices[discount_pct_vs_site_mean]),-99)</f>
        <v>0</v>
      </c>
      <c r="K36">
        <f>_xlfn.XLOOKUP(BUYLIST10[[#This Row],[NAME]],summary_prices[game],summary_prices[delta_vs_site_disc_mean_pp])</f>
        <v>0</v>
      </c>
      <c r="L36" t="b" cm="1">
        <f t="array" ref="L36">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36" t="str">
        <f>_xlfn.XLOOKUP(BUYLIST10[[#This Row],[NAME]],summary_prices[game],summary_prices[best_in_stock_store])</f>
        <v>NZGameShop</v>
      </c>
      <c r="N36" s="4" t="str">
        <f>HYPERLINK(_xlfn.XLOOKUP(BUYLIST10[[#This Row],[BGG ID]],STOREURL[BGG ID],STOREURL[BGO LINK]))</f>
        <v>https://www.boardgameoracle.com/en-NZ/boardgame/price/ojzSzbi7Vl/mandala</v>
      </c>
      <c r="O36">
        <f>COUNTIF(OWNED[bgg_id],BUYLIST10[[#This Row],[BGG ID]])</f>
        <v>0</v>
      </c>
      <c r="P36">
        <f>COUNTIF(BUYLIST10[NAME],BUYLIST10[[#This Row],[NAME]])</f>
        <v>1</v>
      </c>
    </row>
    <row r="37" spans="1:16" ht="63.95" hidden="1" customHeight="1" x14ac:dyDescent="0.4">
      <c r="A37" s="6">
        <v>38</v>
      </c>
      <c r="B37" t="str">
        <f>IFERROR(_xlfn.XLOOKUP(BUYLIST10[[#This Row],[BGG ID]],bgg_cache[id],bgg_cache[title]),_xlfn.XLOOKUP(BUYLIST10[[#This Row],[BGG ID]],manual_bgg!B:B,manual_bgg!D:D))</f>
        <v>A Fake Artist Goes to New York</v>
      </c>
      <c r="C37" t="e" vm="34">
        <f>_xlfn.IMAGE(_xlfn.XLOOKUP(BUYLIST10[[#This Row],[BGG ID]],bgg_cache[id],bgg_cache[thumbnail_url]),,3,80)</f>
        <v>#VALUE!</v>
      </c>
      <c r="D37">
        <v>135779</v>
      </c>
      <c r="E37" t="str">
        <f>_xlfn.XLOOKUP(BUYLIST10[[#This Row],[BGG ID]],STOREURL[BGG ID],STOREURL[STATUS])</f>
        <v>AVAILABLE</v>
      </c>
      <c r="F37">
        <f>_xlfn.XLOOKUP(BUYLIST10[[#This Row],[BGG ID]],STOREURL[BGG ID],STOREURL[LPG_RRP])</f>
        <v>54.99</v>
      </c>
      <c r="G37">
        <f>_xlfn.XLOOKUP(BUYLIST10[[#This Row],[NAME]],summary_prices[game],summary_prices[site_low_nzd])</f>
        <v>41.83</v>
      </c>
      <c r="H37">
        <f>_xlfn.XLOOKUP(BUYLIST10[[#This Row],[NAME]],summary_prices[game],summary_prices[site_mean_nzd])</f>
        <v>49.09</v>
      </c>
      <c r="I37">
        <f>_xlfn.XLOOKUP(BUYLIST10[[#This Row],[NAME]],summary_prices[game],summary_prices[best_in_stock_nzd])</f>
        <v>41.98</v>
      </c>
      <c r="J37">
        <f>IFERROR(_xlfn.XLOOKUP(BUYLIST10[[#This Row],[NAME]],summary_prices[game],summary_prices[discount_pct_vs_site_mean]),-99)</f>
        <v>14.48</v>
      </c>
      <c r="K37">
        <f>_xlfn.XLOOKUP(BUYLIST10[[#This Row],[NAME]],summary_prices[game],summary_prices[delta_vs_site_disc_mean_pp])</f>
        <v>-0.29999999999999893</v>
      </c>
      <c r="L37" t="b" cm="1">
        <f t="array" ref="L37">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37" t="str">
        <f>_xlfn.XLOOKUP(BUYLIST10[[#This Row],[NAME]],summary_prices[game],summary_prices[best_in_stock_store])</f>
        <v>Amazon AU</v>
      </c>
      <c r="N37" s="4" t="str">
        <f>HYPERLINK(_xlfn.XLOOKUP(BUYLIST10[[#This Row],[BGG ID]],STOREURL[BGG ID],STOREURL[BGO LINK]))</f>
        <v>https://www.boardgameoracle.com/en-NZ/boardgame/price/_EYQLtWuZC/a-fake-artist-goes-to-new-york</v>
      </c>
      <c r="O37">
        <f>COUNTIF(OWNED[bgg_id],BUYLIST10[[#This Row],[BGG ID]])</f>
        <v>0</v>
      </c>
      <c r="P37">
        <f>COUNTIF(BUYLIST10[NAME],BUYLIST10[[#This Row],[NAME]])</f>
        <v>1</v>
      </c>
    </row>
    <row r="38" spans="1:16" ht="63.95" hidden="1" customHeight="1" x14ac:dyDescent="0.4">
      <c r="A38" s="6">
        <v>39</v>
      </c>
      <c r="B38" t="str">
        <f>IFERROR(_xlfn.XLOOKUP(BUYLIST10[[#This Row],[BGG ID]],bgg_cache[id],bgg_cache[title]),_xlfn.XLOOKUP(BUYLIST10[[#This Row],[BGG ID]],manual_bgg!B:B,manual_bgg!D:D))</f>
        <v>Time's Up! Title Recall!</v>
      </c>
      <c r="C38" t="e" vm="35">
        <f>_xlfn.IMAGE(_xlfn.XLOOKUP(BUYLIST10[[#This Row],[BGG ID]],bgg_cache[id],bgg_cache[thumbnail_url]),,3,80)</f>
        <v>#VALUE!</v>
      </c>
      <c r="D38">
        <v>36553</v>
      </c>
      <c r="E38" t="str">
        <f>_xlfn.XLOOKUP(BUYLIST10[[#This Row],[BGG ID]],STOREURL[BGG ID],STOREURL[STATUS])</f>
        <v>BACK_ORDER_OOS</v>
      </c>
      <c r="F38">
        <f>_xlfn.XLOOKUP(BUYLIST10[[#This Row],[BGG ID]],STOREURL[BGG ID],STOREURL[LPG_RRP])</f>
        <v>54.99</v>
      </c>
      <c r="G38">
        <f>_xlfn.XLOOKUP(BUYLIST10[[#This Row],[NAME]],summary_prices[game],summary_prices[site_low_nzd])</f>
        <v>0</v>
      </c>
      <c r="H38">
        <f>_xlfn.XLOOKUP(BUYLIST10[[#This Row],[NAME]],summary_prices[game],summary_prices[site_mean_nzd])</f>
        <v>55.673333333333332</v>
      </c>
      <c r="I38">
        <f>_xlfn.XLOOKUP(BUYLIST10[[#This Row],[NAME]],summary_prices[game],summary_prices[best_in_stock_nzd])</f>
        <v>54.99</v>
      </c>
      <c r="J38">
        <f>IFERROR(_xlfn.XLOOKUP(BUYLIST10[[#This Row],[NAME]],summary_prices[game],summary_prices[discount_pct_vs_site_mean]),-99)</f>
        <v>1.23</v>
      </c>
      <c r="K38">
        <f>_xlfn.XLOOKUP(BUYLIST10[[#This Row],[NAME]],summary_prices[game],summary_prices[delta_vs_site_disc_mean_pp])</f>
        <v>0</v>
      </c>
      <c r="L38" t="b" cm="1">
        <f t="array" ref="L38">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38" t="str">
        <f>_xlfn.XLOOKUP(BUYLIST10[[#This Row],[NAME]],summary_prices[game],summary_prices[best_in_stock_store])</f>
        <v>popstop.co.nz - 11/09/2025</v>
      </c>
      <c r="N38" s="4" t="str">
        <f>HYPERLINK(_xlfn.XLOOKUP(BUYLIST10[[#This Row],[BGG ID]],STOREURL[BGG ID],STOREURL[BGO LINK]))</f>
        <v>https://www.boardgameoracle.com/en-NZ/boardgame/price/kZ_7gsBEb-/times-up-title-recall</v>
      </c>
      <c r="O38">
        <f>COUNTIF(OWNED[bgg_id],BUYLIST10[[#This Row],[BGG ID]])</f>
        <v>0</v>
      </c>
      <c r="P38">
        <f>COUNTIF(BUYLIST10[NAME],BUYLIST10[[#This Row],[NAME]])</f>
        <v>1</v>
      </c>
    </row>
    <row r="39" spans="1:16" ht="63.95" hidden="1" customHeight="1" x14ac:dyDescent="0.4">
      <c r="A39" s="6">
        <v>40</v>
      </c>
      <c r="B39" t="str">
        <f>IFERROR(_xlfn.XLOOKUP(BUYLIST10[[#This Row],[BGG ID]],bgg_cache[id],bgg_cache[title]),_xlfn.XLOOKUP(BUYLIST10[[#This Row],[BGG ID]],manual_bgg!B:B,manual_bgg!D:D))</f>
        <v>Werewords</v>
      </c>
      <c r="C39" t="e" vm="36">
        <f>_xlfn.IMAGE(_xlfn.XLOOKUP(BUYLIST10[[#This Row],[BGG ID]],bgg_cache[id],bgg_cache[thumbnail_url]),,3,80)</f>
        <v>#VALUE!</v>
      </c>
      <c r="D39">
        <v>219215</v>
      </c>
      <c r="E39" t="str">
        <f>_xlfn.XLOOKUP(BUYLIST10[[#This Row],[BGG ID]],STOREURL[BGG ID],STOREURL[STATUS])</f>
        <v>BACK_ORDER</v>
      </c>
      <c r="F39">
        <f>_xlfn.XLOOKUP(BUYLIST10[[#This Row],[BGG ID]],STOREURL[BGG ID],STOREURL[LPG_RRP])</f>
        <v>33.99</v>
      </c>
      <c r="G39" t="e">
        <f>_xlfn.XLOOKUP(BUYLIST10[[#This Row],[NAME]],summary_prices[game],summary_prices[site_low_nzd])</f>
        <v>#N/A</v>
      </c>
      <c r="H39" t="e">
        <f>_xlfn.XLOOKUP(BUYLIST10[[#This Row],[NAME]],summary_prices[game],summary_prices[site_mean_nzd])</f>
        <v>#N/A</v>
      </c>
      <c r="I39" t="e">
        <f>_xlfn.XLOOKUP(BUYLIST10[[#This Row],[NAME]],summary_prices[game],summary_prices[best_in_stock_nzd])</f>
        <v>#N/A</v>
      </c>
      <c r="J39">
        <f>IFERROR(_xlfn.XLOOKUP(BUYLIST10[[#This Row],[NAME]],summary_prices[game],summary_prices[discount_pct_vs_site_mean]),-99)</f>
        <v>-99</v>
      </c>
      <c r="K39" t="e">
        <f>_xlfn.XLOOKUP(BUYLIST10[[#This Row],[NAME]],summary_prices[game],summary_prices[delta_vs_site_disc_mean_pp])</f>
        <v>#N/A</v>
      </c>
      <c r="L39" t="b" cm="1">
        <f t="array" ref="L39">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39" t="e">
        <f>_xlfn.XLOOKUP(BUYLIST10[[#This Row],[NAME]],summary_prices[game],summary_prices[best_in_stock_store])</f>
        <v>#N/A</v>
      </c>
      <c r="N39" s="4" t="str">
        <f>HYPERLINK(_xlfn.XLOOKUP(BUYLIST10[[#This Row],[BGG ID]],STOREURL[BGG ID],STOREURL[BGO LINK]))</f>
        <v/>
      </c>
      <c r="O39">
        <f>COUNTIF(OWNED[bgg_id],BUYLIST10[[#This Row],[BGG ID]])</f>
        <v>0</v>
      </c>
      <c r="P39">
        <f>COUNTIF(BUYLIST10[NAME],BUYLIST10[[#This Row],[NAME]])</f>
        <v>1</v>
      </c>
    </row>
    <row r="40" spans="1:16" ht="63.95" hidden="1" customHeight="1" x14ac:dyDescent="0.4">
      <c r="A40" s="6">
        <v>41</v>
      </c>
      <c r="B40" t="str">
        <f>IFERROR(_xlfn.XLOOKUP(BUYLIST10[[#This Row],[BGG ID]],bgg_cache[id],bgg_cache[title]),_xlfn.XLOOKUP(BUYLIST10[[#This Row],[BGG ID]],manual_bgg!B:B,manual_bgg!D:D))</f>
        <v>Detective Club</v>
      </c>
      <c r="C40" t="e" vm="37">
        <f>_xlfn.IMAGE(_xlfn.XLOOKUP(BUYLIST10[[#This Row],[BGG ID]],bgg_cache[id],bgg_cache[thumbnail_url]),,3,80)</f>
        <v>#VALUE!</v>
      </c>
      <c r="D40">
        <v>256788</v>
      </c>
      <c r="E40" t="str">
        <f>_xlfn.XLOOKUP(BUYLIST10[[#This Row],[BGG ID]],STOREURL[BGG ID],STOREURL[STATUS])</f>
        <v>NOT_FOUND</v>
      </c>
      <c r="F40">
        <f>_xlfn.XLOOKUP(BUYLIST10[[#This Row],[BGG ID]],STOREURL[BGG ID],STOREURL[LPG_RRP])</f>
        <v>0</v>
      </c>
      <c r="G40">
        <f>_xlfn.XLOOKUP(BUYLIST10[[#This Row],[NAME]],summary_prices[game],summary_prices[site_low_nzd])</f>
        <v>64.95</v>
      </c>
      <c r="H40">
        <f>_xlfn.XLOOKUP(BUYLIST10[[#This Row],[NAME]],summary_prices[game],summary_prices[site_mean_nzd])</f>
        <v>64.95</v>
      </c>
      <c r="I40">
        <f>_xlfn.XLOOKUP(BUYLIST10[[#This Row],[NAME]],summary_prices[game],summary_prices[best_in_stock_nzd])</f>
        <v>0</v>
      </c>
      <c r="J40">
        <f>IFERROR(_xlfn.XLOOKUP(BUYLIST10[[#This Row],[NAME]],summary_prices[game],summary_prices[discount_pct_vs_site_mean]),-99)</f>
        <v>0</v>
      </c>
      <c r="K40">
        <f>_xlfn.XLOOKUP(BUYLIST10[[#This Row],[NAME]],summary_prices[game],summary_prices[delta_vs_site_disc_mean_pp])</f>
        <v>0</v>
      </c>
      <c r="L40" t="b" cm="1">
        <f t="array" ref="L40">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40" t="str">
        <f>_xlfn.XLOOKUP(BUYLIST10[[#This Row],[NAME]],summary_prices[game],summary_prices[best_in_stock_store])</f>
        <v/>
      </c>
      <c r="N40" s="4" t="str">
        <f>HYPERLINK(_xlfn.XLOOKUP(BUYLIST10[[#This Row],[BGG ID]],STOREURL[BGG ID],STOREURL[BGO LINK]))</f>
        <v>https://www.boardgameoracle.com/en-NZ/boardgame/price/nXRwUjoIza/detective-club</v>
      </c>
      <c r="O40">
        <f>COUNTIF(OWNED[bgg_id],BUYLIST10[[#This Row],[BGG ID]])</f>
        <v>0</v>
      </c>
      <c r="P40">
        <f>COUNTIF(BUYLIST10[NAME],BUYLIST10[[#This Row],[NAME]])</f>
        <v>1</v>
      </c>
    </row>
    <row r="41" spans="1:16" ht="63.95" hidden="1" customHeight="1" x14ac:dyDescent="0.4">
      <c r="A41" s="6">
        <v>42</v>
      </c>
      <c r="B41" t="str">
        <f>IFERROR(_xlfn.XLOOKUP(BUYLIST10[[#This Row],[BGG ID]],bgg_cache[id],bgg_cache[title]),_xlfn.XLOOKUP(BUYLIST10[[#This Row],[BGG ID]],manual_bgg!B:B,manual_bgg!D:D))</f>
        <v>Wingspan: Oceania Expansion</v>
      </c>
      <c r="C41" t="e">
        <f>_xlfn.IMAGE(_xlfn.XLOOKUP(BUYLIST10[[#This Row],[BGG ID]],bgg_cache[id],bgg_cache[thumbnail_url]),,3,80)</f>
        <v>#N/A</v>
      </c>
      <c r="D41">
        <v>300580</v>
      </c>
      <c r="E41" t="str">
        <f>_xlfn.XLOOKUP(BUYLIST10[[#This Row],[BGG ID]],STOREURL[BGG ID],STOREURL[STATUS])</f>
        <v>BACK_ORDER</v>
      </c>
      <c r="F41">
        <f>_xlfn.XLOOKUP(BUYLIST10[[#This Row],[BGG ID]],STOREURL[BGG ID],STOREURL[LPG_RRP])</f>
        <v>79.989999999999995</v>
      </c>
      <c r="G41" t="e">
        <f>_xlfn.XLOOKUP(BUYLIST10[[#This Row],[NAME]],summary_prices[game],summary_prices[site_low_nzd])</f>
        <v>#N/A</v>
      </c>
      <c r="H41" t="e">
        <f>_xlfn.XLOOKUP(BUYLIST10[[#This Row],[NAME]],summary_prices[game],summary_prices[site_mean_nzd])</f>
        <v>#N/A</v>
      </c>
      <c r="I41" t="e">
        <f>_xlfn.XLOOKUP(BUYLIST10[[#This Row],[NAME]],summary_prices[game],summary_prices[best_in_stock_nzd])</f>
        <v>#N/A</v>
      </c>
      <c r="J41">
        <f>IFERROR(_xlfn.XLOOKUP(BUYLIST10[[#This Row],[NAME]],summary_prices[game],summary_prices[discount_pct_vs_site_mean]),-99)</f>
        <v>-99</v>
      </c>
      <c r="K41" t="e">
        <f>_xlfn.XLOOKUP(BUYLIST10[[#This Row],[NAME]],summary_prices[game],summary_prices[delta_vs_site_disc_mean_pp])</f>
        <v>#N/A</v>
      </c>
      <c r="L41" t="b" cm="1">
        <f t="array" ref="L41">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41" t="e">
        <f>_xlfn.XLOOKUP(BUYLIST10[[#This Row],[NAME]],summary_prices[game],summary_prices[best_in_stock_store])</f>
        <v>#N/A</v>
      </c>
      <c r="N41" s="4" t="str">
        <f>HYPERLINK(_xlfn.XLOOKUP(BUYLIST10[[#This Row],[BGG ID]],STOREURL[BGG ID],STOREURL[BGO LINK]))</f>
        <v/>
      </c>
      <c r="O41">
        <f>COUNTIF(OWNED[bgg_id],BUYLIST10[[#This Row],[BGG ID]])</f>
        <v>0</v>
      </c>
      <c r="P41">
        <f>COUNTIF(BUYLIST10[NAME],BUYLIST10[[#This Row],[NAME]])</f>
        <v>1</v>
      </c>
    </row>
    <row r="42" spans="1:16" ht="63.95" hidden="1" customHeight="1" x14ac:dyDescent="0.4">
      <c r="A42" s="6">
        <v>43</v>
      </c>
      <c r="B42" t="str">
        <f>IFERROR(_xlfn.XLOOKUP(BUYLIST10[[#This Row],[BGG ID]],bgg_cache[id],bgg_cache[title]),_xlfn.XLOOKUP(BUYLIST10[[#This Row],[BGG ID]],manual_bgg!B:B,manual_bgg!D:D))</f>
        <v>Cascadia: Landmarks</v>
      </c>
      <c r="C42" t="e" vm="38">
        <f>_xlfn.IMAGE(_xlfn.XLOOKUP(BUYLIST10[[#This Row],[BGG ID]],bgg_cache[id],bgg_cache[thumbnail_url]),,3,80)</f>
        <v>#VALUE!</v>
      </c>
      <c r="D42">
        <v>385318</v>
      </c>
      <c r="E42" t="str">
        <f>_xlfn.XLOOKUP(BUYLIST10[[#This Row],[BGG ID]],STOREURL[BGG ID],STOREURL[STATUS])</f>
        <v>AVAILABLE</v>
      </c>
      <c r="F42">
        <f>_xlfn.XLOOKUP(BUYLIST10[[#This Row],[BGG ID]],STOREURL[BGG ID],STOREURL[LPG_RRP])</f>
        <v>79.989999999999995</v>
      </c>
      <c r="G42" t="e">
        <f>_xlfn.XLOOKUP(BUYLIST10[[#This Row],[NAME]],summary_prices[game],summary_prices[site_low_nzd])</f>
        <v>#N/A</v>
      </c>
      <c r="H42" t="e">
        <f>_xlfn.XLOOKUP(BUYLIST10[[#This Row],[NAME]],summary_prices[game],summary_prices[site_mean_nzd])</f>
        <v>#N/A</v>
      </c>
      <c r="I42" t="e">
        <f>_xlfn.XLOOKUP(BUYLIST10[[#This Row],[NAME]],summary_prices[game],summary_prices[best_in_stock_nzd])</f>
        <v>#N/A</v>
      </c>
      <c r="J42">
        <f>IFERROR(_xlfn.XLOOKUP(BUYLIST10[[#This Row],[NAME]],summary_prices[game],summary_prices[discount_pct_vs_site_mean]),-99)</f>
        <v>-99</v>
      </c>
      <c r="K42" t="e">
        <f>_xlfn.XLOOKUP(BUYLIST10[[#This Row],[NAME]],summary_prices[game],summary_prices[delta_vs_site_disc_mean_pp])</f>
        <v>#N/A</v>
      </c>
      <c r="L42" t="b" cm="1">
        <f t="array" ref="L42">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42" t="e">
        <f>_xlfn.XLOOKUP(BUYLIST10[[#This Row],[NAME]],summary_prices[game],summary_prices[best_in_stock_store])</f>
        <v>#N/A</v>
      </c>
      <c r="N42" s="4" t="str">
        <f>HYPERLINK(_xlfn.XLOOKUP(BUYLIST10[[#This Row],[BGG ID]],STOREURL[BGG ID],STOREURL[BGO LINK]))</f>
        <v/>
      </c>
      <c r="O42">
        <f>COUNTIF(OWNED[bgg_id],BUYLIST10[[#This Row],[BGG ID]])</f>
        <v>0</v>
      </c>
      <c r="P42">
        <f>COUNTIF(BUYLIST10[NAME],BUYLIST10[[#This Row],[NAME]])</f>
        <v>1</v>
      </c>
    </row>
    <row r="43" spans="1:16" ht="63.95" hidden="1" customHeight="1" x14ac:dyDescent="0.4">
      <c r="A43" s="6">
        <v>44</v>
      </c>
      <c r="B43" t="str">
        <f>IFERROR(_xlfn.XLOOKUP(BUYLIST10[[#This Row],[BGG ID]],bgg_cache[id],bgg_cache[title]),_xlfn.XLOOKUP(BUYLIST10[[#This Row],[BGG ID]],manual_bgg!B:B,manual_bgg!D:D))</f>
        <v>Heat: Heavy Rain Expansion</v>
      </c>
      <c r="C43" t="e">
        <f>_xlfn.IMAGE(_xlfn.XLOOKUP(BUYLIST10[[#This Row],[BGG ID]],bgg_cache[id],bgg_cache[thumbnail_url]),,3,80)</f>
        <v>#N/A</v>
      </c>
      <c r="D43">
        <v>410291</v>
      </c>
      <c r="E43" t="str">
        <f>_xlfn.XLOOKUP(BUYLIST10[[#This Row],[BGG ID]],STOREURL[BGG ID],STOREURL[STATUS])</f>
        <v>NOT_FOUND</v>
      </c>
      <c r="F43">
        <f>_xlfn.XLOOKUP(BUYLIST10[[#This Row],[BGG ID]],STOREURL[BGG ID],STOREURL[LPG_RRP])</f>
        <v>0</v>
      </c>
      <c r="G43">
        <f>_xlfn.XLOOKUP(BUYLIST10[[#This Row],[NAME]],summary_prices[game],summary_prices[site_low_nzd])</f>
        <v>58.21</v>
      </c>
      <c r="H43">
        <f>_xlfn.XLOOKUP(BUYLIST10[[#This Row],[NAME]],summary_prices[game],summary_prices[site_mean_nzd])</f>
        <v>68.540000000000006</v>
      </c>
      <c r="I43">
        <f>_xlfn.XLOOKUP(BUYLIST10[[#This Row],[NAME]],summary_prices[game],summary_prices[best_in_stock_nzd])</f>
        <v>58.54</v>
      </c>
      <c r="J43">
        <f>IFERROR(_xlfn.XLOOKUP(BUYLIST10[[#This Row],[NAME]],summary_prices[game],summary_prices[discount_pct_vs_site_mean]),-99)</f>
        <v>14.59</v>
      </c>
      <c r="K43">
        <f>_xlfn.XLOOKUP(BUYLIST10[[#This Row],[NAME]],summary_prices[game],summary_prices[delta_vs_site_disc_mean_pp])</f>
        <v>-0.49000000000000021</v>
      </c>
      <c r="L43" t="b" cm="1">
        <f t="array" ref="L43">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43" t="str">
        <f>_xlfn.XLOOKUP(BUYLIST10[[#This Row],[NAME]],summary_prices[game],summary_prices[best_in_stock_store])</f>
        <v>Gameology</v>
      </c>
      <c r="N43" s="4" t="str">
        <f>HYPERLINK(_xlfn.XLOOKUP(BUYLIST10[[#This Row],[BGG ID]],STOREURL[BGG ID],STOREURL[BGO LINK]))</f>
        <v>https://www.boardgameoracle.com/en-NZ/boardgame/price/8Dp1ru1HKU/heat-heavy-rain</v>
      </c>
      <c r="O43">
        <f>COUNTIF(OWNED[bgg_id],BUYLIST10[[#This Row],[BGG ID]])</f>
        <v>0</v>
      </c>
      <c r="P43">
        <f>COUNTIF(BUYLIST10[NAME],BUYLIST10[[#This Row],[NAME]])</f>
        <v>1</v>
      </c>
    </row>
    <row r="44" spans="1:16" ht="63.95" hidden="1" customHeight="1" x14ac:dyDescent="0.4">
      <c r="A44" s="6">
        <v>47</v>
      </c>
      <c r="B44" t="str">
        <f>IFERROR(_xlfn.XLOOKUP(BUYLIST10[[#This Row],[BGG ID]],bgg_cache[id],bgg_cache[title]),_xlfn.XLOOKUP(BUYLIST10[[#This Row],[BGG ID]],manual_bgg!B:B,manual_bgg!D:D))</f>
        <v>Ticket to Ride Map Collection Vol. 6 – France &amp; Old West</v>
      </c>
      <c r="C44" t="e">
        <f>_xlfn.IMAGE(_xlfn.XLOOKUP(BUYLIST10[[#This Row],[BGG ID]],bgg_cache[id],bgg_cache[thumbnail_url]),,3,80)</f>
        <v>#N/A</v>
      </c>
      <c r="D44">
        <v>233891</v>
      </c>
      <c r="E44" t="str">
        <f>_xlfn.XLOOKUP(BUYLIST10[[#This Row],[BGG ID]],STOREURL[BGG ID],STOREURL[STATUS])</f>
        <v>BACK_ORDER</v>
      </c>
      <c r="F44">
        <f>_xlfn.XLOOKUP(BUYLIST10[[#This Row],[BGG ID]],STOREURL[BGG ID],STOREURL[LPG_RRP])</f>
        <v>94.99</v>
      </c>
      <c r="G44" t="e">
        <f>_xlfn.XLOOKUP(BUYLIST10[[#This Row],[NAME]],summary_prices[game],summary_prices[site_low_nzd])</f>
        <v>#N/A</v>
      </c>
      <c r="H44" t="e">
        <f>_xlfn.XLOOKUP(BUYLIST10[[#This Row],[NAME]],summary_prices[game],summary_prices[site_mean_nzd])</f>
        <v>#N/A</v>
      </c>
      <c r="I44" t="e">
        <f>_xlfn.XLOOKUP(BUYLIST10[[#This Row],[NAME]],summary_prices[game],summary_prices[best_in_stock_nzd])</f>
        <v>#N/A</v>
      </c>
      <c r="J44">
        <f>IFERROR(_xlfn.XLOOKUP(BUYLIST10[[#This Row],[NAME]],summary_prices[game],summary_prices[discount_pct_vs_site_mean]),-99)</f>
        <v>-99</v>
      </c>
      <c r="K44" t="e">
        <f>_xlfn.XLOOKUP(BUYLIST10[[#This Row],[NAME]],summary_prices[game],summary_prices[delta_vs_site_disc_mean_pp])</f>
        <v>#N/A</v>
      </c>
      <c r="L44" t="b" cm="1">
        <f t="array" ref="L44">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44" t="e">
        <f>_xlfn.XLOOKUP(BUYLIST10[[#This Row],[NAME]],summary_prices[game],summary_prices[best_in_stock_store])</f>
        <v>#N/A</v>
      </c>
      <c r="N44" s="4" t="str">
        <f>HYPERLINK(_xlfn.XLOOKUP(BUYLIST10[[#This Row],[BGG ID]],STOREURL[BGG ID],STOREURL[BGO LINK]))</f>
        <v/>
      </c>
      <c r="O44">
        <f>COUNTIF(OWNED[bgg_id],BUYLIST10[[#This Row],[BGG ID]])</f>
        <v>0</v>
      </c>
      <c r="P44">
        <f>COUNTIF(BUYLIST10[NAME],BUYLIST10[[#This Row],[NAME]])</f>
        <v>1</v>
      </c>
    </row>
    <row r="45" spans="1:16" ht="63.95" hidden="1" customHeight="1" x14ac:dyDescent="0.4">
      <c r="A45" s="6">
        <v>48</v>
      </c>
      <c r="B45" t="str">
        <f>IFERROR(_xlfn.XLOOKUP(BUYLIST10[[#This Row],[BGG ID]],bgg_cache[id],bgg_cache[title]),_xlfn.XLOOKUP(BUYLIST10[[#This Row],[BGG ID]],manual_bgg!B:B,manual_bgg!D:D))</f>
        <v>Decrypto: Expansion #01 – Laserdrive</v>
      </c>
      <c r="C45" t="e" vm="39">
        <f>_xlfn.IMAGE(_xlfn.XLOOKUP(BUYLIST10[[#This Row],[BGG ID]],bgg_cache[id],bgg_cache[thumbnail_url]),,3,80)</f>
        <v>#VALUE!</v>
      </c>
      <c r="D45">
        <v>273938</v>
      </c>
      <c r="E45" t="str">
        <f>_xlfn.XLOOKUP(BUYLIST10[[#This Row],[BGG ID]],STOREURL[BGG ID],STOREURL[STATUS])</f>
        <v>AVAILABLE</v>
      </c>
      <c r="F45">
        <f>_xlfn.XLOOKUP(BUYLIST10[[#This Row],[BGG ID]],STOREURL[BGG ID],STOREURL[LPG_RRP])</f>
        <v>31.99</v>
      </c>
      <c r="G45" t="e">
        <f>_xlfn.XLOOKUP(BUYLIST10[[#This Row],[NAME]],summary_prices[game],summary_prices[site_low_nzd])</f>
        <v>#N/A</v>
      </c>
      <c r="H45" t="e">
        <f>_xlfn.XLOOKUP(BUYLIST10[[#This Row],[NAME]],summary_prices[game],summary_prices[site_mean_nzd])</f>
        <v>#N/A</v>
      </c>
      <c r="I45" t="e">
        <f>_xlfn.XLOOKUP(BUYLIST10[[#This Row],[NAME]],summary_prices[game],summary_prices[best_in_stock_nzd])</f>
        <v>#N/A</v>
      </c>
      <c r="J45">
        <f>IFERROR(_xlfn.XLOOKUP(BUYLIST10[[#This Row],[NAME]],summary_prices[game],summary_prices[discount_pct_vs_site_mean]),-99)</f>
        <v>-99</v>
      </c>
      <c r="K45" t="e">
        <f>_xlfn.XLOOKUP(BUYLIST10[[#This Row],[NAME]],summary_prices[game],summary_prices[delta_vs_site_disc_mean_pp])</f>
        <v>#N/A</v>
      </c>
      <c r="L45" t="b" cm="1">
        <f t="array" ref="L45">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45" t="e">
        <f>_xlfn.XLOOKUP(BUYLIST10[[#This Row],[NAME]],summary_prices[game],summary_prices[best_in_stock_store])</f>
        <v>#N/A</v>
      </c>
      <c r="N45" s="4" t="str">
        <f>HYPERLINK(_xlfn.XLOOKUP(BUYLIST10[[#This Row],[BGG ID]],STOREURL[BGG ID],STOREURL[BGO LINK]))</f>
        <v/>
      </c>
      <c r="O45">
        <f>COUNTIF(OWNED[bgg_id],BUYLIST10[[#This Row],[BGG ID]])</f>
        <v>0</v>
      </c>
      <c r="P45">
        <f>COUNTIF(BUYLIST10[NAME],BUYLIST10[[#This Row],[NAME]])</f>
        <v>1</v>
      </c>
    </row>
    <row r="46" spans="1:16" ht="63.95" hidden="1" customHeight="1" x14ac:dyDescent="0.4">
      <c r="A46" s="6">
        <v>49</v>
      </c>
      <c r="B46" t="str">
        <f>IFERROR(_xlfn.XLOOKUP(BUYLIST10[[#This Row],[BGG ID]],bgg_cache[id],bgg_cache[title]),_xlfn.XLOOKUP(BUYLIST10[[#This Row],[BGG ID]],manual_bgg!B:B,manual_bgg!D:D))</f>
        <v>Blood on the Clocktower</v>
      </c>
      <c r="C46" t="e" vm="40">
        <f>_xlfn.IMAGE(_xlfn.XLOOKUP(BUYLIST10[[#This Row],[BGG ID]],bgg_cache[id],bgg_cache[thumbnail_url]),,3,80)</f>
        <v>#VALUE!</v>
      </c>
      <c r="D46">
        <v>240980</v>
      </c>
      <c r="E46" t="str">
        <f>_xlfn.XLOOKUP(BUYLIST10[[#This Row],[BGG ID]],STOREURL[BGG ID],STOREURL[STATUS])</f>
        <v>BACK_ORDER</v>
      </c>
      <c r="F46">
        <f>_xlfn.XLOOKUP(BUYLIST10[[#This Row],[BGG ID]],STOREURL[BGG ID],STOREURL[LPG_RRP])</f>
        <v>319.99</v>
      </c>
      <c r="G46">
        <f>_xlfn.XLOOKUP(BUYLIST10[[#This Row],[NAME]],summary_prices[game],summary_prices[site_low_nzd])</f>
        <v>226.14</v>
      </c>
      <c r="H46">
        <f>_xlfn.XLOOKUP(BUYLIST10[[#This Row],[NAME]],summary_prices[game],summary_prices[site_mean_nzd])</f>
        <v>262.39</v>
      </c>
      <c r="I46">
        <f>_xlfn.XLOOKUP(BUYLIST10[[#This Row],[NAME]],summary_prices[game],summary_prices[best_in_stock_nzd])</f>
        <v>227.44</v>
      </c>
      <c r="J46">
        <f>IFERROR(_xlfn.XLOOKUP(BUYLIST10[[#This Row],[NAME]],summary_prices[game],summary_prices[discount_pct_vs_site_mean]),-99)</f>
        <v>13.32</v>
      </c>
      <c r="K46">
        <f>_xlfn.XLOOKUP(BUYLIST10[[#This Row],[NAME]],summary_prices[game],summary_prices[delta_vs_site_disc_mean_pp])</f>
        <v>-0.49000000000000021</v>
      </c>
      <c r="L46" t="b" cm="1">
        <f t="array" ref="L46">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46" t="str">
        <f>_xlfn.XLOOKUP(BUYLIST10[[#This Row],[NAME]],summary_prices[game],summary_prices[best_in_stock_store])</f>
        <v>Gameology</v>
      </c>
      <c r="N46" s="4" t="str">
        <f>HYPERLINK(_xlfn.XLOOKUP(BUYLIST10[[#This Row],[BGG ID]],STOREURL[BGG ID],STOREURL[BGO LINK]))</f>
        <v>https://www.boardgameoracle.com/en-NZ/boardgame/price/shpSk_nTQm/blood-on-the-clocktower</v>
      </c>
      <c r="O46">
        <f>COUNTIF(OWNED[bgg_id],BUYLIST10[[#This Row],[BGG ID]])</f>
        <v>0</v>
      </c>
      <c r="P46">
        <f>COUNTIF(BUYLIST10[NAME],BUYLIST10[[#This Row],[NAME]])</f>
        <v>1</v>
      </c>
    </row>
    <row r="47" spans="1:16" ht="63.95" hidden="1" customHeight="1" x14ac:dyDescent="0.4">
      <c r="A47" s="6">
        <v>50</v>
      </c>
      <c r="B47" t="str">
        <f>IFERROR(_xlfn.XLOOKUP(BUYLIST10[[#This Row],[BGG ID]],bgg_cache[id],bgg_cache[title]),_xlfn.XLOOKUP(BUYLIST10[[#This Row],[BGG ID]],manual_bgg!B:B,manual_bgg!D:D))</f>
        <v>Two Rooms and a Boom</v>
      </c>
      <c r="C47" t="e" vm="41">
        <f>_xlfn.IMAGE(_xlfn.XLOOKUP(BUYLIST10[[#This Row],[BGG ID]],bgg_cache[id],bgg_cache[thumbnail_url]),,3,80)</f>
        <v>#VALUE!</v>
      </c>
      <c r="D47">
        <v>134352</v>
      </c>
      <c r="E47" t="str">
        <f>_xlfn.XLOOKUP(BUYLIST10[[#This Row],[BGG ID]],STOREURL[BGG ID],STOREURL[STATUS])</f>
        <v>NOT_FOUND</v>
      </c>
      <c r="F47">
        <f>_xlfn.XLOOKUP(BUYLIST10[[#This Row],[BGG ID]],STOREURL[BGG ID],STOREURL[LPG_RRP])</f>
        <v>0</v>
      </c>
      <c r="G47">
        <f>_xlfn.XLOOKUP(BUYLIST10[[#This Row],[NAME]],summary_prices[game],summary_prices[site_low_nzd])</f>
        <v>79.34</v>
      </c>
      <c r="H47">
        <f>_xlfn.XLOOKUP(BUYLIST10[[#This Row],[NAME]],summary_prices[game],summary_prices[site_mean_nzd])</f>
        <v>79.34</v>
      </c>
      <c r="I47">
        <f>_xlfn.XLOOKUP(BUYLIST10[[#This Row],[NAME]],summary_prices[game],summary_prices[best_in_stock_nzd])</f>
        <v>79.8</v>
      </c>
      <c r="J47">
        <f>IFERROR(_xlfn.XLOOKUP(BUYLIST10[[#This Row],[NAME]],summary_prices[game],summary_prices[discount_pct_vs_site_mean]),-99)</f>
        <v>-0.57999999999999996</v>
      </c>
      <c r="K47">
        <f>_xlfn.XLOOKUP(BUYLIST10[[#This Row],[NAME]],summary_prices[game],summary_prices[delta_vs_site_disc_mean_pp])</f>
        <v>-0.57999999999999996</v>
      </c>
      <c r="L47" t="b" cm="1">
        <f t="array" ref="L47">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47" t="str">
        <f>_xlfn.XLOOKUP(BUYLIST10[[#This Row],[NAME]],summary_prices[game],summary_prices[best_in_stock_store])</f>
        <v>Gameology</v>
      </c>
      <c r="N47" s="4" t="str">
        <f>HYPERLINK(_xlfn.XLOOKUP(BUYLIST10[[#This Row],[BGG ID]],STOREURL[BGG ID],STOREURL[BGO LINK]))</f>
        <v>https://www.boardgameoracle.com/en-NZ/boardgame/price/3Zxa6BMW8u/two-rooms-and-a-boom</v>
      </c>
      <c r="O47">
        <f>COUNTIF(OWNED[bgg_id],BUYLIST10[[#This Row],[BGG ID]])</f>
        <v>0</v>
      </c>
      <c r="P47">
        <f>COUNTIF(BUYLIST10[NAME],BUYLIST10[[#This Row],[NAME]])</f>
        <v>1</v>
      </c>
    </row>
    <row r="48" spans="1:16" ht="63.95" hidden="1" customHeight="1" x14ac:dyDescent="0.4">
      <c r="A48" s="6">
        <v>51</v>
      </c>
      <c r="B48" t="str">
        <f>IFERROR(_xlfn.XLOOKUP(BUYLIST10[[#This Row],[BGG ID]],bgg_cache[id],bgg_cache[title]),_xlfn.XLOOKUP(BUYLIST10[[#This Row],[BGG ID]],manual_bgg!B:B,manual_bgg!D:D))</f>
        <v>Teotihuacan: City of Gods</v>
      </c>
      <c r="C48" t="e" vm="42">
        <f>_xlfn.IMAGE(_xlfn.XLOOKUP(BUYLIST10[[#This Row],[BGG ID]],bgg_cache[id],bgg_cache[thumbnail_url]),,3,80)</f>
        <v>#VALUE!</v>
      </c>
      <c r="D48">
        <v>229853</v>
      </c>
      <c r="E48" t="str">
        <f>_xlfn.XLOOKUP(BUYLIST10[[#This Row],[BGG ID]],STOREURL[BGG ID],STOREURL[STATUS])</f>
        <v>AVAILABLE</v>
      </c>
      <c r="F48">
        <f>_xlfn.XLOOKUP(BUYLIST10[[#This Row],[BGG ID]],STOREURL[BGG ID],STOREURL[LPG_RRP])</f>
        <v>149.99</v>
      </c>
      <c r="G48">
        <f>_xlfn.XLOOKUP(BUYLIST10[[#This Row],[NAME]],summary_prices[game],summary_prices[site_low_nzd])</f>
        <v>89</v>
      </c>
      <c r="H48">
        <f>_xlfn.XLOOKUP(BUYLIST10[[#This Row],[NAME]],summary_prices[game],summary_prices[site_mean_nzd])</f>
        <v>120.08</v>
      </c>
      <c r="I48">
        <f>_xlfn.XLOOKUP(BUYLIST10[[#This Row],[NAME]],summary_prices[game],summary_prices[best_in_stock_nzd])</f>
        <v>89</v>
      </c>
      <c r="J48">
        <f>IFERROR(_xlfn.XLOOKUP(BUYLIST10[[#This Row],[NAME]],summary_prices[game],summary_prices[discount_pct_vs_site_mean]),-99)</f>
        <v>25.88</v>
      </c>
      <c r="K48">
        <f>_xlfn.XLOOKUP(BUYLIST10[[#This Row],[NAME]],summary_prices[game],summary_prices[delta_vs_site_disc_mean_pp])</f>
        <v>-1.0000000000001563E-2</v>
      </c>
      <c r="L48" t="b" cm="1">
        <f t="array" ref="L48">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48" t="str">
        <f>_xlfn.XLOOKUP(BUYLIST10[[#This Row],[NAME]],summary_prices[game],summary_prices[best_in_stock_store])</f>
        <v>Escape Board-Em with Solve It &amp; Escape</v>
      </c>
      <c r="N48" s="4" t="str">
        <f>HYPERLINK(_xlfn.XLOOKUP(BUYLIST10[[#This Row],[BGG ID]],STOREURL[BGG ID],STOREURL[BGO LINK]))</f>
        <v>https://www.boardgameoracle.com/en-NZ/boardgame/price/mEvYVhbFa6/teotihuacan-city-of-gods</v>
      </c>
      <c r="O48">
        <f>COUNTIF(OWNED[bgg_id],BUYLIST10[[#This Row],[BGG ID]])</f>
        <v>0</v>
      </c>
      <c r="P48">
        <f>COUNTIF(BUYLIST10[NAME],BUYLIST10[[#This Row],[NAME]])</f>
        <v>1</v>
      </c>
    </row>
    <row r="49" spans="1:16" ht="63.95" hidden="1" customHeight="1" x14ac:dyDescent="0.4">
      <c r="A49" s="6">
        <v>52</v>
      </c>
      <c r="B49" t="str">
        <f>IFERROR(_xlfn.XLOOKUP(BUYLIST10[[#This Row],[BGG ID]],bgg_cache[id],bgg_cache[title]),_xlfn.XLOOKUP(BUYLIST10[[#This Row],[BGG ID]],manual_bgg!B:B,manual_bgg!D:D))</f>
        <v>Under Falling Skies</v>
      </c>
      <c r="C49" t="e">
        <f>_xlfn.IMAGE(_xlfn.XLOOKUP(BUYLIST10[[#This Row],[BGG ID]],bgg_cache[id],bgg_cache[thumbnail_url]),,3,80)</f>
        <v>#N/A</v>
      </c>
      <c r="D49">
        <v>306735</v>
      </c>
      <c r="E49" t="str">
        <f>_xlfn.XLOOKUP(BUYLIST10[[#This Row],[BGG ID]],STOREURL[BGG ID],STOREURL[STATUS])</f>
        <v>BACK_ORDER</v>
      </c>
      <c r="F49">
        <f>_xlfn.XLOOKUP(BUYLIST10[[#This Row],[BGG ID]],STOREURL[BGG ID],STOREURL[LPG_RRP])</f>
        <v>69.989999999999995</v>
      </c>
      <c r="G49" t="e">
        <f>_xlfn.XLOOKUP(BUYLIST10[[#This Row],[NAME]],summary_prices[game],summary_prices[site_low_nzd])</f>
        <v>#N/A</v>
      </c>
      <c r="H49" t="e">
        <f>_xlfn.XLOOKUP(BUYLIST10[[#This Row],[NAME]],summary_prices[game],summary_prices[site_mean_nzd])</f>
        <v>#N/A</v>
      </c>
      <c r="I49" t="e">
        <f>_xlfn.XLOOKUP(BUYLIST10[[#This Row],[NAME]],summary_prices[game],summary_prices[best_in_stock_nzd])</f>
        <v>#N/A</v>
      </c>
      <c r="J49">
        <f>IFERROR(_xlfn.XLOOKUP(BUYLIST10[[#This Row],[NAME]],summary_prices[game],summary_prices[discount_pct_vs_site_mean]),-99)</f>
        <v>-99</v>
      </c>
      <c r="K49" t="e">
        <f>_xlfn.XLOOKUP(BUYLIST10[[#This Row],[NAME]],summary_prices[game],summary_prices[delta_vs_site_disc_mean_pp])</f>
        <v>#N/A</v>
      </c>
      <c r="L49" t="b" cm="1">
        <f t="array" ref="L49">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49" t="e">
        <f>_xlfn.XLOOKUP(BUYLIST10[[#This Row],[NAME]],summary_prices[game],summary_prices[best_in_stock_store])</f>
        <v>#N/A</v>
      </c>
      <c r="N49" s="4" t="str">
        <f>HYPERLINK(_xlfn.XLOOKUP(BUYLIST10[[#This Row],[BGG ID]],STOREURL[BGG ID],STOREURL[BGO LINK]))</f>
        <v/>
      </c>
      <c r="O49">
        <f>COUNTIF(OWNED[bgg_id],BUYLIST10[[#This Row],[BGG ID]])</f>
        <v>0</v>
      </c>
      <c r="P49">
        <f>COUNTIF(BUYLIST10[NAME],BUYLIST10[[#This Row],[NAME]])</f>
        <v>1</v>
      </c>
    </row>
    <row r="50" spans="1:16" ht="63.95" hidden="1" customHeight="1" x14ac:dyDescent="0.4">
      <c r="A50" s="6">
        <v>53</v>
      </c>
      <c r="B50" t="str">
        <f>IFERROR(_xlfn.XLOOKUP(BUYLIST10[[#This Row],[BGG ID]],bgg_cache[id],bgg_cache[title]),_xlfn.XLOOKUP(BUYLIST10[[#This Row],[BGG ID]],manual_bgg!B:B,manual_bgg!D:D))</f>
        <v>Res Arcana</v>
      </c>
      <c r="C50" t="e">
        <f>_xlfn.IMAGE(_xlfn.XLOOKUP(BUYLIST10[[#This Row],[BGG ID]],bgg_cache[id],bgg_cache[thumbnail_url]),,3,80)</f>
        <v>#N/A</v>
      </c>
      <c r="D50">
        <v>262712</v>
      </c>
      <c r="E50" t="str">
        <f>_xlfn.XLOOKUP(BUYLIST10[[#This Row],[BGG ID]],STOREURL[BGG ID],STOREURL[STATUS])</f>
        <v>NOT_FOUND</v>
      </c>
      <c r="F50">
        <f>_xlfn.XLOOKUP(BUYLIST10[[#This Row],[BGG ID]],STOREURL[BGG ID],STOREURL[LPG_RRP])</f>
        <v>0</v>
      </c>
      <c r="G50">
        <f>_xlfn.XLOOKUP(BUYLIST10[[#This Row],[NAME]],summary_prices[game],summary_prices[site_low_nzd])</f>
        <v>79</v>
      </c>
      <c r="H50">
        <f>_xlfn.XLOOKUP(BUYLIST10[[#This Row],[NAME]],summary_prices[game],summary_prices[site_mean_nzd])</f>
        <v>81</v>
      </c>
      <c r="I50">
        <f>_xlfn.XLOOKUP(BUYLIST10[[#This Row],[NAME]],summary_prices[game],summary_prices[best_in_stock_nzd])</f>
        <v>79</v>
      </c>
      <c r="J50">
        <f>IFERROR(_xlfn.XLOOKUP(BUYLIST10[[#This Row],[NAME]],summary_prices[game],summary_prices[discount_pct_vs_site_mean]),-99)</f>
        <v>2.4700000000000002</v>
      </c>
      <c r="K50">
        <f>_xlfn.XLOOKUP(BUYLIST10[[#This Row],[NAME]],summary_prices[game],summary_prices[delta_vs_site_disc_mean_pp])</f>
        <v>0</v>
      </c>
      <c r="L50" t="b" cm="1">
        <f t="array" ref="L50">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50" t="str">
        <f>_xlfn.XLOOKUP(BUYLIST10[[#This Row],[NAME]],summary_prices[game],summary_prices[best_in_stock_store])</f>
        <v>Escape Board-Em with Solve It &amp; Escape</v>
      </c>
      <c r="N50" s="4" t="str">
        <f>HYPERLINK(_xlfn.XLOOKUP(BUYLIST10[[#This Row],[BGG ID]],STOREURL[BGG ID],STOREURL[BGO LINK]))</f>
        <v>https://www.boardgameoracle.com/en-NZ/boardgame/price/4b_bwFUYog/res-arcana</v>
      </c>
      <c r="O50">
        <f>COUNTIF(OWNED[bgg_id],BUYLIST10[[#This Row],[BGG ID]])</f>
        <v>0</v>
      </c>
      <c r="P50">
        <f>COUNTIF(BUYLIST10[NAME],BUYLIST10[[#This Row],[NAME]])</f>
        <v>1</v>
      </c>
    </row>
    <row r="51" spans="1:16" ht="63.95" hidden="1" customHeight="1" x14ac:dyDescent="0.4">
      <c r="A51" s="6">
        <v>54</v>
      </c>
      <c r="B51" t="str">
        <f>IFERROR(_xlfn.XLOOKUP(BUYLIST10[[#This Row],[BGG ID]],bgg_cache[id],bgg_cache[title]),_xlfn.XLOOKUP(BUYLIST10[[#This Row],[BGG ID]],manual_bgg!B:B,manual_bgg!D:D))</f>
        <v>Clans of Caledonia</v>
      </c>
      <c r="C51" t="e">
        <f>_xlfn.IMAGE(_xlfn.XLOOKUP(BUYLIST10[[#This Row],[BGG ID]],bgg_cache[id],bgg_cache[thumbnail_url]),,3,80)</f>
        <v>#N/A</v>
      </c>
      <c r="D51">
        <v>216132</v>
      </c>
      <c r="E51" t="str">
        <f>_xlfn.XLOOKUP(BUYLIST10[[#This Row],[BGG ID]],STOREURL[BGG ID],STOREURL[STATUS])</f>
        <v>NOT_FOUND</v>
      </c>
      <c r="F51">
        <f>_xlfn.XLOOKUP(BUYLIST10[[#This Row],[BGG ID]],STOREURL[BGG ID],STOREURL[LPG_RRP])</f>
        <v>0</v>
      </c>
      <c r="G51" t="e">
        <f>_xlfn.XLOOKUP(BUYLIST10[[#This Row],[NAME]],summary_prices[game],summary_prices[site_low_nzd])</f>
        <v>#N/A</v>
      </c>
      <c r="H51" t="e">
        <f>_xlfn.XLOOKUP(BUYLIST10[[#This Row],[NAME]],summary_prices[game],summary_prices[site_mean_nzd])</f>
        <v>#N/A</v>
      </c>
      <c r="I51" t="e">
        <f>_xlfn.XLOOKUP(BUYLIST10[[#This Row],[NAME]],summary_prices[game],summary_prices[best_in_stock_nzd])</f>
        <v>#N/A</v>
      </c>
      <c r="J51">
        <f>IFERROR(_xlfn.XLOOKUP(BUYLIST10[[#This Row],[NAME]],summary_prices[game],summary_prices[discount_pct_vs_site_mean]),-99)</f>
        <v>-99</v>
      </c>
      <c r="K51" t="e">
        <f>_xlfn.XLOOKUP(BUYLIST10[[#This Row],[NAME]],summary_prices[game],summary_prices[delta_vs_site_disc_mean_pp])</f>
        <v>#N/A</v>
      </c>
      <c r="L51" t="b" cm="1">
        <f t="array" ref="L51">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51" t="e">
        <f>_xlfn.XLOOKUP(BUYLIST10[[#This Row],[NAME]],summary_prices[game],summary_prices[best_in_stock_store])</f>
        <v>#N/A</v>
      </c>
      <c r="N51" s="4" t="str">
        <f>HYPERLINK(_xlfn.XLOOKUP(BUYLIST10[[#This Row],[BGG ID]],STOREURL[BGG ID],STOREURL[BGO LINK]))</f>
        <v>https://www.boardgameoracle.com/en-NZ/boardgame/price/2SEZhr1QZy/clans-of-caledonia</v>
      </c>
      <c r="O51">
        <f>COUNTIF(OWNED[bgg_id],BUYLIST10[[#This Row],[BGG ID]])</f>
        <v>0</v>
      </c>
      <c r="P51">
        <f>COUNTIF(BUYLIST10[NAME],BUYLIST10[[#This Row],[NAME]])</f>
        <v>1</v>
      </c>
    </row>
    <row r="52" spans="1:16" ht="63.95" hidden="1" customHeight="1" x14ac:dyDescent="0.4">
      <c r="A52" s="6">
        <v>55</v>
      </c>
      <c r="B52" t="str">
        <f>IFERROR(_xlfn.XLOOKUP(BUYLIST10[[#This Row],[BGG ID]],bgg_cache[id],bgg_cache[title]),_xlfn.XLOOKUP(BUYLIST10[[#This Row],[BGG ID]],manual_bgg!B:B,manual_bgg!D:D))</f>
        <v>Praga Caput Regni</v>
      </c>
      <c r="C52" t="e" vm="43">
        <f>_xlfn.IMAGE(_xlfn.XLOOKUP(BUYLIST10[[#This Row],[BGG ID]],bgg_cache[id],bgg_cache[thumbnail_url]),,3,80)</f>
        <v>#VALUE!</v>
      </c>
      <c r="D52">
        <v>308765</v>
      </c>
      <c r="E52" t="str">
        <f>_xlfn.XLOOKUP(BUYLIST10[[#This Row],[BGG ID]],STOREURL[BGG ID],STOREURL[STATUS])</f>
        <v>BACK_ORDER</v>
      </c>
      <c r="F52">
        <f>_xlfn.XLOOKUP(BUYLIST10[[#This Row],[BGG ID]],STOREURL[BGG ID],STOREURL[LPG_RRP])</f>
        <v>114.99</v>
      </c>
      <c r="G52">
        <f>_xlfn.XLOOKUP(BUYLIST10[[#This Row],[NAME]],summary_prices[game],summary_prices[site_low_nzd])</f>
        <v>0</v>
      </c>
      <c r="H52">
        <f>_xlfn.XLOOKUP(BUYLIST10[[#This Row],[NAME]],summary_prices[game],summary_prices[site_mean_nzd])</f>
        <v>0</v>
      </c>
      <c r="I52">
        <f>_xlfn.XLOOKUP(BUYLIST10[[#This Row],[NAME]],summary_prices[game],summary_prices[best_in_stock_nzd])</f>
        <v>0</v>
      </c>
      <c r="J52">
        <f>IFERROR(_xlfn.XLOOKUP(BUYLIST10[[#This Row],[NAME]],summary_prices[game],summary_prices[discount_pct_vs_site_mean]),-99)</f>
        <v>0</v>
      </c>
      <c r="K52">
        <f>_xlfn.XLOOKUP(BUYLIST10[[#This Row],[NAME]],summary_prices[game],summary_prices[delta_vs_site_disc_mean_pp])</f>
        <v>0</v>
      </c>
      <c r="L52" t="b" cm="1">
        <f t="array" ref="L52">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52" t="str">
        <f>_xlfn.XLOOKUP(BUYLIST10[[#This Row],[NAME]],summary_prices[game],summary_prices[best_in_stock_store])</f>
        <v>amazon.com.au - 22/09/2025</v>
      </c>
      <c r="N52" s="4" t="str">
        <f>HYPERLINK(_xlfn.XLOOKUP(BUYLIST10[[#This Row],[BGG ID]],STOREURL[BGG ID],STOREURL[BGO LINK]))</f>
        <v>https://www.boardgameoracle.com/en-NZ/boardgame/price/Agr8YLhfAS/praga-caput-regni</v>
      </c>
      <c r="O52">
        <f>COUNTIF(OWNED[bgg_id],BUYLIST10[[#This Row],[BGG ID]])</f>
        <v>0</v>
      </c>
      <c r="P52">
        <f>COUNTIF(BUYLIST10[NAME],BUYLIST10[[#This Row],[NAME]])</f>
        <v>1</v>
      </c>
    </row>
    <row r="53" spans="1:16" ht="63.95" customHeight="1" x14ac:dyDescent="0.4">
      <c r="A53" s="6">
        <v>56</v>
      </c>
      <c r="B53" t="str">
        <f>IFERROR(_xlfn.XLOOKUP(BUYLIST10[[#This Row],[BGG ID]],bgg_cache[id],bgg_cache[title]),_xlfn.XLOOKUP(BUYLIST10[[#This Row],[BGG ID]],manual_bgg!B:B,manual_bgg!D:D))</f>
        <v>Nidavellir</v>
      </c>
      <c r="C53" t="e">
        <f>_xlfn.IMAGE(_xlfn.XLOOKUP(BUYLIST10[[#This Row],[BGG ID]],bgg_cache[id],bgg_cache[thumbnail_url]),,3,80)</f>
        <v>#N/A</v>
      </c>
      <c r="D53">
        <v>312679</v>
      </c>
      <c r="E53" t="str">
        <f>_xlfn.XLOOKUP(BUYLIST10[[#This Row],[BGG ID]],STOREURL[BGG ID],STOREURL[STATUS])</f>
        <v>NOT_FOUND</v>
      </c>
      <c r="F53">
        <f>_xlfn.XLOOKUP(BUYLIST10[[#This Row],[BGG ID]],STOREURL[BGG ID],STOREURL[LPG_RRP])</f>
        <v>0</v>
      </c>
      <c r="G53">
        <f>_xlfn.XLOOKUP(BUYLIST10[[#This Row],[NAME]],summary_prices[game],summary_prices[site_low_nzd])</f>
        <v>39.44</v>
      </c>
      <c r="H53">
        <f>_xlfn.XLOOKUP(BUYLIST10[[#This Row],[NAME]],summary_prices[game],summary_prices[site_mean_nzd])</f>
        <v>70.989999999999995</v>
      </c>
      <c r="I53">
        <f>_xlfn.XLOOKUP(BUYLIST10[[#This Row],[NAME]],summary_prices[game],summary_prices[best_in_stock_nzd])</f>
        <v>39.58</v>
      </c>
      <c r="J53">
        <f>IFERROR(_xlfn.XLOOKUP(BUYLIST10[[#This Row],[NAME]],summary_prices[game],summary_prices[discount_pct_vs_site_mean]),-99)</f>
        <v>44.25</v>
      </c>
      <c r="K53">
        <f>_xlfn.XLOOKUP(BUYLIST10[[#This Row],[NAME]],summary_prices[game],summary_prices[delta_vs_site_disc_mean_pp])</f>
        <v>-0.18999999999999773</v>
      </c>
      <c r="L53" t="b" cm="1">
        <f t="array" ref="L53">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1</v>
      </c>
      <c r="M53" t="str">
        <f>_xlfn.XLOOKUP(BUYLIST10[[#This Row],[NAME]],summary_prices[game],summary_prices[best_in_stock_store])</f>
        <v>Amazon AU</v>
      </c>
      <c r="N53" s="4" t="str">
        <f>HYPERLINK(_xlfn.XLOOKUP(BUYLIST10[[#This Row],[BGG ID]],STOREURL[BGG ID],STOREURL[BGO LINK]))</f>
        <v>https://www.boardgameoracle.com/en-NZ/boardgame/price/SgoO-Iub1Z/nidavellir</v>
      </c>
      <c r="O53">
        <f>COUNTIF(OWNED[bgg_id],BUYLIST10[[#This Row],[BGG ID]])</f>
        <v>0</v>
      </c>
      <c r="P53">
        <f>COUNTIF(BUYLIST10[NAME],BUYLIST10[[#This Row],[NAME]])</f>
        <v>1</v>
      </c>
    </row>
    <row r="54" spans="1:16" ht="63.95" hidden="1" customHeight="1" x14ac:dyDescent="0.4">
      <c r="A54" s="6">
        <v>57</v>
      </c>
      <c r="B54" t="str">
        <f>IFERROR(_xlfn.XLOOKUP(BUYLIST10[[#This Row],[BGG ID]],bgg_cache[id],bgg_cache[title]),_xlfn.XLOOKUP(BUYLIST10[[#This Row],[BGG ID]],manual_bgg!B:B,manual_bgg!D:D))</f>
        <v>SCOUT</v>
      </c>
      <c r="C54" t="e" vm="44">
        <f>_xlfn.IMAGE(_xlfn.XLOOKUP(BUYLIST10[[#This Row],[BGG ID]],bgg_cache[id],bgg_cache[thumbnail_url]),,3,80)</f>
        <v>#VALUE!</v>
      </c>
      <c r="D54">
        <v>291453</v>
      </c>
      <c r="E54" t="str">
        <f>_xlfn.XLOOKUP(BUYLIST10[[#This Row],[BGG ID]],STOREURL[BGG ID],STOREURL[STATUS])</f>
        <v>AVAILABLE</v>
      </c>
      <c r="F54">
        <f>_xlfn.XLOOKUP(BUYLIST10[[#This Row],[BGG ID]],STOREURL[BGG ID],STOREURL[LPG_RRP])</f>
        <v>54.99</v>
      </c>
      <c r="G54">
        <f>_xlfn.XLOOKUP(BUYLIST10[[#This Row],[NAME]],summary_prices[game],summary_prices[site_low_nzd])</f>
        <v>34.99</v>
      </c>
      <c r="H54">
        <f>_xlfn.XLOOKUP(BUYLIST10[[#This Row],[NAME]],summary_prices[game],summary_prices[site_mean_nzd])</f>
        <v>50.06</v>
      </c>
      <c r="I54">
        <f>_xlfn.XLOOKUP(BUYLIST10[[#This Row],[NAME]],summary_prices[game],summary_prices[best_in_stock_nzd])</f>
        <v>34.99</v>
      </c>
      <c r="J54">
        <f>IFERROR(_xlfn.XLOOKUP(BUYLIST10[[#This Row],[NAME]],summary_prices[game],summary_prices[discount_pct_vs_site_mean]),-99)</f>
        <v>30.1</v>
      </c>
      <c r="K54">
        <f>_xlfn.XLOOKUP(BUYLIST10[[#This Row],[NAME]],summary_prices[game],summary_prices[delta_vs_site_disc_mean_pp])</f>
        <v>-9.9999999999980105E-3</v>
      </c>
      <c r="L54" t="b" cm="1">
        <f t="array" ref="L54">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54" t="str">
        <f>_xlfn.XLOOKUP(BUYLIST10[[#This Row],[NAME]],summary_prices[game],summary_prices[best_in_stock_store])</f>
        <v>Escapist</v>
      </c>
      <c r="N54" s="4" t="str">
        <f>HYPERLINK(_xlfn.XLOOKUP(BUYLIST10[[#This Row],[BGG ID]],STOREURL[BGG ID],STOREURL[BGO LINK]))</f>
        <v>https://www.boardgameoracle.com/en-NZ/boardgame/price/3QE76TzanS/scout</v>
      </c>
      <c r="O54">
        <f>COUNTIF(OWNED[bgg_id],BUYLIST10[[#This Row],[BGG ID]])</f>
        <v>0</v>
      </c>
      <c r="P54">
        <f>COUNTIF(BUYLIST10[NAME],BUYLIST10[[#This Row],[NAME]])</f>
        <v>1</v>
      </c>
    </row>
    <row r="55" spans="1:16" ht="63.95" hidden="1" customHeight="1" x14ac:dyDescent="0.4">
      <c r="A55" s="6">
        <v>58</v>
      </c>
      <c r="B55" t="str">
        <f>IFERROR(_xlfn.XLOOKUP(BUYLIST10[[#This Row],[BGG ID]],bgg_cache[id],bgg_cache[title]),_xlfn.XLOOKUP(BUYLIST10[[#This Row],[BGG ID]],manual_bgg!B:B,manual_bgg!D:D))</f>
        <v>Arboretum</v>
      </c>
      <c r="C55" t="e">
        <f>_xlfn.IMAGE(_xlfn.XLOOKUP(BUYLIST10[[#This Row],[BGG ID]],bgg_cache[id],bgg_cache[thumbnail_url]),,3,80)</f>
        <v>#N/A</v>
      </c>
      <c r="D55">
        <v>140934</v>
      </c>
      <c r="E55" t="str">
        <f>_xlfn.XLOOKUP(BUYLIST10[[#This Row],[BGG ID]],STOREURL[BGG ID],STOREURL[STATUS])</f>
        <v>AVAILABLE</v>
      </c>
      <c r="F55">
        <f>_xlfn.XLOOKUP(BUYLIST10[[#This Row],[BGG ID]],STOREURL[BGG ID],STOREURL[LPG_RRP])</f>
        <v>49.99</v>
      </c>
      <c r="G55" t="e">
        <f>_xlfn.XLOOKUP(BUYLIST10[[#This Row],[NAME]],summary_prices[game],summary_prices[site_low_nzd])</f>
        <v>#N/A</v>
      </c>
      <c r="H55" t="e">
        <f>_xlfn.XLOOKUP(BUYLIST10[[#This Row],[NAME]],summary_prices[game],summary_prices[site_mean_nzd])</f>
        <v>#N/A</v>
      </c>
      <c r="I55" t="e">
        <f>_xlfn.XLOOKUP(BUYLIST10[[#This Row],[NAME]],summary_prices[game],summary_prices[best_in_stock_nzd])</f>
        <v>#N/A</v>
      </c>
      <c r="J55">
        <f>IFERROR(_xlfn.XLOOKUP(BUYLIST10[[#This Row],[NAME]],summary_prices[game],summary_prices[discount_pct_vs_site_mean]),-99)</f>
        <v>-99</v>
      </c>
      <c r="K55" t="e">
        <f>_xlfn.XLOOKUP(BUYLIST10[[#This Row],[NAME]],summary_prices[game],summary_prices[delta_vs_site_disc_mean_pp])</f>
        <v>#N/A</v>
      </c>
      <c r="L55" t="b" cm="1">
        <f t="array" ref="L55">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55" t="e">
        <f>_xlfn.XLOOKUP(BUYLIST10[[#This Row],[NAME]],summary_prices[game],summary_prices[best_in_stock_store])</f>
        <v>#N/A</v>
      </c>
      <c r="N55" s="4" t="str">
        <f>HYPERLINK(_xlfn.XLOOKUP(BUYLIST10[[#This Row],[BGG ID]],STOREURL[BGG ID],STOREURL[BGO LINK]))</f>
        <v/>
      </c>
      <c r="O55">
        <f>COUNTIF(OWNED[bgg_id],BUYLIST10[[#This Row],[BGG ID]])</f>
        <v>0</v>
      </c>
      <c r="P55">
        <f>COUNTIF(BUYLIST10[NAME],BUYLIST10[[#This Row],[NAME]])</f>
        <v>1</v>
      </c>
    </row>
    <row r="56" spans="1:16" ht="63.95" hidden="1" customHeight="1" x14ac:dyDescent="0.4">
      <c r="A56" s="6">
        <v>59</v>
      </c>
      <c r="B56" t="str">
        <f>IFERROR(_xlfn.XLOOKUP(BUYLIST10[[#This Row],[BGG ID]],bgg_cache[id],bgg_cache[title]),_xlfn.XLOOKUP(BUYLIST10[[#This Row],[BGG ID]],manual_bgg!B:B,manual_bgg!D:D))</f>
        <v>High Society</v>
      </c>
      <c r="C56" t="e" vm="45">
        <f>_xlfn.IMAGE(_xlfn.XLOOKUP(BUYLIST10[[#This Row],[BGG ID]],bgg_cache[id],bgg_cache[thumbnail_url]),,3,80)</f>
        <v>#VALUE!</v>
      </c>
      <c r="D56">
        <v>220</v>
      </c>
      <c r="E56" t="str">
        <f>_xlfn.XLOOKUP(BUYLIST10[[#This Row],[BGG ID]],STOREURL[BGG ID],STOREURL[STATUS])</f>
        <v>BACK_ORDER_OOS</v>
      </c>
      <c r="F56">
        <f>_xlfn.XLOOKUP(BUYLIST10[[#This Row],[BGG ID]],STOREURL[BGG ID],STOREURL[LPG_RRP])</f>
        <v>35.99</v>
      </c>
      <c r="G56">
        <f>_xlfn.XLOOKUP(BUYLIST10[[#This Row],[NAME]],summary_prices[game],summary_prices[site_low_nzd])</f>
        <v>33.51</v>
      </c>
      <c r="H56">
        <f>_xlfn.XLOOKUP(BUYLIST10[[#This Row],[NAME]],summary_prices[game],summary_prices[site_mean_nzd])</f>
        <v>33.869999999999997</v>
      </c>
      <c r="I56">
        <f>_xlfn.XLOOKUP(BUYLIST10[[#This Row],[NAME]],summary_prices[game],summary_prices[best_in_stock_nzd])</f>
        <v>34.409999999999997</v>
      </c>
      <c r="J56">
        <f>IFERROR(_xlfn.XLOOKUP(BUYLIST10[[#This Row],[NAME]],summary_prices[game],summary_prices[discount_pct_vs_site_mean]),-99)</f>
        <v>-1.59</v>
      </c>
      <c r="K56">
        <f>_xlfn.XLOOKUP(BUYLIST10[[#This Row],[NAME]],summary_prices[game],summary_prices[delta_vs_site_disc_mean_pp])</f>
        <v>-2.63</v>
      </c>
      <c r="L56" t="b" cm="1">
        <f t="array" ref="L56">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56" t="str">
        <f>_xlfn.XLOOKUP(BUYLIST10[[#This Row],[NAME]],summary_prices[game],summary_prices[best_in_stock_store])</f>
        <v>Gameology</v>
      </c>
      <c r="N56" s="4" t="str">
        <f>HYPERLINK(_xlfn.XLOOKUP(BUYLIST10[[#This Row],[BGG ID]],STOREURL[BGG ID],STOREURL[BGO LINK]))</f>
        <v>https://www.boardgameoracle.com/en-NZ/boardgame/price/q2p8_Jtk8p/high-society</v>
      </c>
      <c r="O56">
        <f>COUNTIF(OWNED[bgg_id],BUYLIST10[[#This Row],[BGG ID]])</f>
        <v>0</v>
      </c>
      <c r="P56">
        <f>COUNTIF(BUYLIST10[NAME],BUYLIST10[[#This Row],[NAME]])</f>
        <v>1</v>
      </c>
    </row>
    <row r="57" spans="1:16" ht="63.95" hidden="1" customHeight="1" x14ac:dyDescent="0.4">
      <c r="A57" s="6">
        <v>60</v>
      </c>
      <c r="B57" t="str">
        <f>IFERROR(_xlfn.XLOOKUP(BUYLIST10[[#This Row],[BGG ID]],bgg_cache[id],bgg_cache[title]),_xlfn.XLOOKUP(BUYLIST10[[#This Row],[BGG ID]],manual_bgg!B:B,manual_bgg!D:D))</f>
        <v>Sprawlopolis</v>
      </c>
      <c r="C57" t="e">
        <f>_xlfn.IMAGE(_xlfn.XLOOKUP(BUYLIST10[[#This Row],[BGG ID]],bgg_cache[id],bgg_cache[thumbnail_url]),,3,80)</f>
        <v>#N/A</v>
      </c>
      <c r="D57">
        <v>251849</v>
      </c>
      <c r="E57" t="str">
        <f>_xlfn.XLOOKUP(BUYLIST10[[#This Row],[BGG ID]],STOREURL[BGG ID],STOREURL[STATUS])</f>
        <v>AVAILABLE</v>
      </c>
      <c r="F57">
        <f>_xlfn.XLOOKUP(BUYLIST10[[#This Row],[BGG ID]],STOREURL[BGG ID],STOREURL[LPG_RRP])</f>
        <v>29.99</v>
      </c>
      <c r="G57" t="e">
        <f>_xlfn.XLOOKUP(BUYLIST10[[#This Row],[NAME]],summary_prices[game],summary_prices[site_low_nzd])</f>
        <v>#N/A</v>
      </c>
      <c r="H57" t="e">
        <f>_xlfn.XLOOKUP(BUYLIST10[[#This Row],[NAME]],summary_prices[game],summary_prices[site_mean_nzd])</f>
        <v>#N/A</v>
      </c>
      <c r="I57" t="e">
        <f>_xlfn.XLOOKUP(BUYLIST10[[#This Row],[NAME]],summary_prices[game],summary_prices[best_in_stock_nzd])</f>
        <v>#N/A</v>
      </c>
      <c r="J57">
        <f>IFERROR(_xlfn.XLOOKUP(BUYLIST10[[#This Row],[NAME]],summary_prices[game],summary_prices[discount_pct_vs_site_mean]),-99)</f>
        <v>-99</v>
      </c>
      <c r="K57" t="e">
        <f>_xlfn.XLOOKUP(BUYLIST10[[#This Row],[NAME]],summary_prices[game],summary_prices[delta_vs_site_disc_mean_pp])</f>
        <v>#N/A</v>
      </c>
      <c r="L57" t="b" cm="1">
        <f t="array" ref="L57">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57" t="e">
        <f>_xlfn.XLOOKUP(BUYLIST10[[#This Row],[NAME]],summary_prices[game],summary_prices[best_in_stock_store])</f>
        <v>#N/A</v>
      </c>
      <c r="N57" s="4" t="str">
        <f>HYPERLINK(_xlfn.XLOOKUP(BUYLIST10[[#This Row],[BGG ID]],STOREURL[BGG ID],STOREURL[BGO LINK]))</f>
        <v/>
      </c>
      <c r="O57">
        <f>COUNTIF(OWNED[bgg_id],BUYLIST10[[#This Row],[BGG ID]])</f>
        <v>0</v>
      </c>
      <c r="P57">
        <f>COUNTIF(BUYLIST10[NAME],BUYLIST10[[#This Row],[NAME]])</f>
        <v>1</v>
      </c>
    </row>
    <row r="58" spans="1:16" ht="63.95" hidden="1" customHeight="1" x14ac:dyDescent="0.4">
      <c r="A58" s="6">
        <v>61</v>
      </c>
      <c r="B58" t="str">
        <f>IFERROR(_xlfn.XLOOKUP(BUYLIST10[[#This Row],[BGG ID]],bgg_cache[id],bgg_cache[title]),_xlfn.XLOOKUP(BUYLIST10[[#This Row],[BGG ID]],manual_bgg!B:B,manual_bgg!D:D))</f>
        <v>Tiny Towns</v>
      </c>
      <c r="C58" t="e" vm="46">
        <f>_xlfn.IMAGE(_xlfn.XLOOKUP(BUYLIST10[[#This Row],[BGG ID]],bgg_cache[id],bgg_cache[thumbnail_url]),,3,80)</f>
        <v>#VALUE!</v>
      </c>
      <c r="D58">
        <v>265736</v>
      </c>
      <c r="E58" t="str">
        <f>_xlfn.XLOOKUP(BUYLIST10[[#This Row],[BGG ID]],STOREURL[BGG ID],STOREURL[STATUS])</f>
        <v>AVAILABLE</v>
      </c>
      <c r="F58">
        <f>_xlfn.XLOOKUP(BUYLIST10[[#This Row],[BGG ID]],STOREURL[BGG ID],STOREURL[LPG_RRP])</f>
        <v>124.99</v>
      </c>
      <c r="G58" t="e">
        <f>_xlfn.XLOOKUP(BUYLIST10[[#This Row],[NAME]],summary_prices[game],summary_prices[site_low_nzd])</f>
        <v>#N/A</v>
      </c>
      <c r="H58" t="e">
        <f>_xlfn.XLOOKUP(BUYLIST10[[#This Row],[NAME]],summary_prices[game],summary_prices[site_mean_nzd])</f>
        <v>#N/A</v>
      </c>
      <c r="I58" t="e">
        <f>_xlfn.XLOOKUP(BUYLIST10[[#This Row],[NAME]],summary_prices[game],summary_prices[best_in_stock_nzd])</f>
        <v>#N/A</v>
      </c>
      <c r="J58">
        <f>IFERROR(_xlfn.XLOOKUP(BUYLIST10[[#This Row],[NAME]],summary_prices[game],summary_prices[discount_pct_vs_site_mean]),-99)</f>
        <v>-99</v>
      </c>
      <c r="K58" t="e">
        <f>_xlfn.XLOOKUP(BUYLIST10[[#This Row],[NAME]],summary_prices[game],summary_prices[delta_vs_site_disc_mean_pp])</f>
        <v>#N/A</v>
      </c>
      <c r="L58" t="b" cm="1">
        <f t="array" ref="L58">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58" t="e">
        <f>_xlfn.XLOOKUP(BUYLIST10[[#This Row],[NAME]],summary_prices[game],summary_prices[best_in_stock_store])</f>
        <v>#N/A</v>
      </c>
      <c r="N58" s="4" t="str">
        <f>HYPERLINK(_xlfn.XLOOKUP(BUYLIST10[[#This Row],[BGG ID]],STOREURL[BGG ID],STOREURL[BGO LINK]))</f>
        <v/>
      </c>
      <c r="O58">
        <f>COUNTIF(OWNED[bgg_id],BUYLIST10[[#This Row],[BGG ID]])</f>
        <v>0</v>
      </c>
      <c r="P58">
        <f>COUNTIF(BUYLIST10[NAME],BUYLIST10[[#This Row],[NAME]])</f>
        <v>1</v>
      </c>
    </row>
    <row r="59" spans="1:16" ht="63.95" hidden="1" customHeight="1" x14ac:dyDescent="0.4">
      <c r="A59" s="6">
        <v>62</v>
      </c>
      <c r="B59" t="str">
        <f>IFERROR(_xlfn.XLOOKUP(BUYLIST10[[#This Row],[BGG ID]],bgg_cache[id],bgg_cache[title]),_xlfn.XLOOKUP(BUYLIST10[[#This Row],[BGG ID]],manual_bgg!B:B,manual_bgg!D:D))</f>
        <v>The Isle of Cats</v>
      </c>
      <c r="C59" t="e" vm="47">
        <f>_xlfn.IMAGE(_xlfn.XLOOKUP(BUYLIST10[[#This Row],[BGG ID]],bgg_cache[id],bgg_cache[thumbnail_url]),,3,80)</f>
        <v>#VALUE!</v>
      </c>
      <c r="D59">
        <v>281259</v>
      </c>
      <c r="E59" t="str">
        <f>_xlfn.XLOOKUP(BUYLIST10[[#This Row],[BGG ID]],STOREURL[BGG ID],STOREURL[STATUS])</f>
        <v>AVAILABLE</v>
      </c>
      <c r="F59">
        <f>_xlfn.XLOOKUP(BUYLIST10[[#This Row],[BGG ID]],STOREURL[BGG ID],STOREURL[LPG_RRP])</f>
        <v>104.99</v>
      </c>
      <c r="G59" t="e">
        <f>_xlfn.XLOOKUP(BUYLIST10[[#This Row],[NAME]],summary_prices[game],summary_prices[site_low_nzd])</f>
        <v>#N/A</v>
      </c>
      <c r="H59" t="e">
        <f>_xlfn.XLOOKUP(BUYLIST10[[#This Row],[NAME]],summary_prices[game],summary_prices[site_mean_nzd])</f>
        <v>#N/A</v>
      </c>
      <c r="I59" t="e">
        <f>_xlfn.XLOOKUP(BUYLIST10[[#This Row],[NAME]],summary_prices[game],summary_prices[best_in_stock_nzd])</f>
        <v>#N/A</v>
      </c>
      <c r="J59">
        <f>IFERROR(_xlfn.XLOOKUP(BUYLIST10[[#This Row],[NAME]],summary_prices[game],summary_prices[discount_pct_vs_site_mean]),-99)</f>
        <v>-99</v>
      </c>
      <c r="K59" t="e">
        <f>_xlfn.XLOOKUP(BUYLIST10[[#This Row],[NAME]],summary_prices[game],summary_prices[delta_vs_site_disc_mean_pp])</f>
        <v>#N/A</v>
      </c>
      <c r="L59" t="b" cm="1">
        <f t="array" ref="L59">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59" t="e">
        <f>_xlfn.XLOOKUP(BUYLIST10[[#This Row],[NAME]],summary_prices[game],summary_prices[best_in_stock_store])</f>
        <v>#N/A</v>
      </c>
      <c r="N59" s="4" t="str">
        <f>HYPERLINK(_xlfn.XLOOKUP(BUYLIST10[[#This Row],[BGG ID]],STOREURL[BGG ID],STOREURL[BGO LINK]))</f>
        <v/>
      </c>
      <c r="O59">
        <f>COUNTIF(OWNED[bgg_id],BUYLIST10[[#This Row],[BGG ID]])</f>
        <v>0</v>
      </c>
      <c r="P59">
        <f>COUNTIF(BUYLIST10[NAME],BUYLIST10[[#This Row],[NAME]])</f>
        <v>1</v>
      </c>
    </row>
    <row r="60" spans="1:16" ht="63.95" hidden="1" customHeight="1" x14ac:dyDescent="0.4">
      <c r="A60" s="6">
        <v>63</v>
      </c>
      <c r="B60" t="str">
        <f>IFERROR(_xlfn.XLOOKUP(BUYLIST10[[#This Row],[BGG ID]],bgg_cache[id],bgg_cache[title]),_xlfn.XLOOKUP(BUYLIST10[[#This Row],[BGG ID]],manual_bgg!B:B,manual_bgg!D:D))</f>
        <v>Azul: Summer Pavilion</v>
      </c>
      <c r="C60" t="e" vm="48">
        <f>_xlfn.IMAGE(_xlfn.XLOOKUP(BUYLIST10[[#This Row],[BGG ID]],bgg_cache[id],bgg_cache[thumbnail_url]),,3,80)</f>
        <v>#VALUE!</v>
      </c>
      <c r="D60">
        <v>287954</v>
      </c>
      <c r="E60" t="str">
        <f>_xlfn.XLOOKUP(BUYLIST10[[#This Row],[BGG ID]],STOREURL[BGG ID],STOREURL[STATUS])</f>
        <v>NOT_FOUND</v>
      </c>
      <c r="F60">
        <f>_xlfn.XLOOKUP(BUYLIST10[[#This Row],[BGG ID]],STOREURL[BGG ID],STOREURL[LPG_RRP])</f>
        <v>0</v>
      </c>
      <c r="G60">
        <f>_xlfn.XLOOKUP(BUYLIST10[[#This Row],[NAME]],summary_prices[game],summary_prices[site_low_nzd])</f>
        <v>62.78</v>
      </c>
      <c r="H60">
        <f>_xlfn.XLOOKUP(BUYLIST10[[#This Row],[NAME]],summary_prices[game],summary_prices[site_mean_nzd])</f>
        <v>78.66</v>
      </c>
      <c r="I60">
        <f>_xlfn.XLOOKUP(BUYLIST10[[#This Row],[NAME]],summary_prices[game],summary_prices[best_in_stock_nzd])</f>
        <v>63.14</v>
      </c>
      <c r="J60">
        <f>IFERROR(_xlfn.XLOOKUP(BUYLIST10[[#This Row],[NAME]],summary_prices[game],summary_prices[discount_pct_vs_site_mean]),-99)</f>
        <v>19.73</v>
      </c>
      <c r="K60">
        <f>_xlfn.XLOOKUP(BUYLIST10[[#This Row],[NAME]],summary_prices[game],summary_prices[delta_vs_site_disc_mean_pp])</f>
        <v>-0.46000000000000085</v>
      </c>
      <c r="L60" t="b" cm="1">
        <f t="array" ref="L60">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60" t="str">
        <f>_xlfn.XLOOKUP(BUYLIST10[[#This Row],[NAME]],summary_prices[game],summary_prices[best_in_stock_store])</f>
        <v>Gameology</v>
      </c>
      <c r="N60" s="4" t="str">
        <f>HYPERLINK(_xlfn.XLOOKUP(BUYLIST10[[#This Row],[BGG ID]],STOREURL[BGG ID],STOREURL[BGO LINK]))</f>
        <v>https://www.boardgameoracle.com/en-NZ/boardgame/price/hbL8-nXEze/azul-summer-pavilion</v>
      </c>
      <c r="O60">
        <f>COUNTIF(OWNED[bgg_id],BUYLIST10[[#This Row],[BGG ID]])</f>
        <v>0</v>
      </c>
      <c r="P60">
        <f>COUNTIF(BUYLIST10[NAME],BUYLIST10[[#This Row],[NAME]])</f>
        <v>1</v>
      </c>
    </row>
    <row r="61" spans="1:16" ht="63.95" hidden="1" customHeight="1" x14ac:dyDescent="0.4">
      <c r="A61" s="6">
        <v>64</v>
      </c>
      <c r="B61" t="str">
        <f>IFERROR(_xlfn.XLOOKUP(BUYLIST10[[#This Row],[BGG ID]],bgg_cache[id],bgg_cache[title]),_xlfn.XLOOKUP(BUYLIST10[[#This Row],[BGG ID]],manual_bgg!B:B,manual_bgg!D:D))</f>
        <v>Planet Unknown</v>
      </c>
      <c r="C61" t="e" vm="49">
        <f>_xlfn.IMAGE(_xlfn.XLOOKUP(BUYLIST10[[#This Row],[BGG ID]],bgg_cache[id],bgg_cache[thumbnail_url]),,3,80)</f>
        <v>#VALUE!</v>
      </c>
      <c r="D61">
        <v>258779</v>
      </c>
      <c r="E61" t="str">
        <f>_xlfn.XLOOKUP(BUYLIST10[[#This Row],[BGG ID]],STOREURL[BGG ID],STOREURL[STATUS])</f>
        <v>AVAILABLE</v>
      </c>
      <c r="F61">
        <f>_xlfn.XLOOKUP(BUYLIST10[[#This Row],[BGG ID]],STOREURL[BGG ID],STOREURL[LPG_RRP])</f>
        <v>179.99</v>
      </c>
      <c r="G61">
        <f>_xlfn.XLOOKUP(BUYLIST10[[#This Row],[NAME]],summary_prices[game],summary_prices[site_low_nzd])</f>
        <v>153.99</v>
      </c>
      <c r="H61">
        <f>_xlfn.XLOOKUP(BUYLIST10[[#This Row],[NAME]],summary_prices[game],summary_prices[site_mean_nzd])</f>
        <v>176.37</v>
      </c>
      <c r="I61">
        <f>_xlfn.XLOOKUP(BUYLIST10[[#This Row],[NAME]],summary_prices[game],summary_prices[best_in_stock_nzd])</f>
        <v>145.09</v>
      </c>
      <c r="J61">
        <f>IFERROR(_xlfn.XLOOKUP(BUYLIST10[[#This Row],[NAME]],summary_prices[game],summary_prices[discount_pct_vs_site_mean]),-99)</f>
        <v>17.739999999999998</v>
      </c>
      <c r="K61">
        <f>_xlfn.XLOOKUP(BUYLIST10[[#This Row],[NAME]],summary_prices[game],summary_prices[delta_vs_site_disc_mean_pp])</f>
        <v>5.0499999999999989</v>
      </c>
      <c r="L61" t="b" cm="1">
        <f t="array" ref="L61">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61" t="str">
        <f>_xlfn.XLOOKUP(BUYLIST10[[#This Row],[NAME]],summary_prices[game],summary_prices[best_in_stock_store])</f>
        <v>Amazon AU</v>
      </c>
      <c r="N61" s="4" t="str">
        <f>HYPERLINK(_xlfn.XLOOKUP(BUYLIST10[[#This Row],[BGG ID]],STOREURL[BGG ID],STOREURL[BGO LINK]))</f>
        <v>https://www.boardgameoracle.com/en-NZ/boardgame/price/671dyiG6Dw/planet-unknown</v>
      </c>
      <c r="O61">
        <f>COUNTIF(OWNED[bgg_id],BUYLIST10[[#This Row],[BGG ID]])</f>
        <v>0</v>
      </c>
      <c r="P61">
        <f>COUNTIF(BUYLIST10[NAME],BUYLIST10[[#This Row],[NAME]])</f>
        <v>1</v>
      </c>
    </row>
    <row r="62" spans="1:16" ht="63.95" hidden="1" customHeight="1" x14ac:dyDescent="0.4">
      <c r="A62" s="6">
        <v>66</v>
      </c>
      <c r="B62" t="str">
        <f>IFERROR(_xlfn.XLOOKUP(BUYLIST10[[#This Row],[BGG ID]],bgg_cache[id],bgg_cache[title]),_xlfn.XLOOKUP(BUYLIST10[[#This Row],[BGG ID]],manual_bgg!B:B,manual_bgg!D:D))</f>
        <v>MicroMacro: Crime City</v>
      </c>
      <c r="C62" t="e" vm="50">
        <f>_xlfn.IMAGE(_xlfn.XLOOKUP(BUYLIST10[[#This Row],[BGG ID]],bgg_cache[id],bgg_cache[thumbnail_url]),,3,80)</f>
        <v>#VALUE!</v>
      </c>
      <c r="D62">
        <v>318977</v>
      </c>
      <c r="E62" t="str">
        <f>_xlfn.XLOOKUP(BUYLIST10[[#This Row],[BGG ID]],STOREURL[BGG ID],STOREURL[STATUS])</f>
        <v>AVAILABLE</v>
      </c>
      <c r="F62">
        <f>_xlfn.XLOOKUP(BUYLIST10[[#This Row],[BGG ID]],STOREURL[BGG ID],STOREURL[LPG_RRP])</f>
        <v>79.989999999999995</v>
      </c>
      <c r="G62">
        <f>_xlfn.XLOOKUP(BUYLIST10[[#This Row],[NAME]],summary_prices[game],summary_prices[site_low_nzd])</f>
        <v>62.78</v>
      </c>
      <c r="H62">
        <f>_xlfn.XLOOKUP(BUYLIST10[[#This Row],[NAME]],summary_prices[game],summary_prices[site_mean_nzd])</f>
        <v>73.7</v>
      </c>
      <c r="I62">
        <f>_xlfn.XLOOKUP(BUYLIST10[[#This Row],[NAME]],summary_prices[game],summary_prices[best_in_stock_nzd])</f>
        <v>63.14</v>
      </c>
      <c r="J62">
        <f>IFERROR(_xlfn.XLOOKUP(BUYLIST10[[#This Row],[NAME]],summary_prices[game],summary_prices[discount_pct_vs_site_mean]),-99)</f>
        <v>14.33</v>
      </c>
      <c r="K62">
        <f>_xlfn.XLOOKUP(BUYLIST10[[#This Row],[NAME]],summary_prices[game],summary_prices[delta_vs_site_disc_mean_pp])</f>
        <v>-0.5</v>
      </c>
      <c r="L62" t="b" cm="1">
        <f t="array" ref="L62">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62" t="str">
        <f>_xlfn.XLOOKUP(BUYLIST10[[#This Row],[NAME]],summary_prices[game],summary_prices[best_in_stock_store])</f>
        <v>Gameology</v>
      </c>
      <c r="N62" s="4" t="str">
        <f>HYPERLINK(_xlfn.XLOOKUP(BUYLIST10[[#This Row],[BGG ID]],STOREURL[BGG ID],STOREURL[BGO LINK]))</f>
        <v>https://www.boardgameoracle.com/en-NZ/boardgame/price/VQqEhpax9D/micromacro-crime-city</v>
      </c>
      <c r="O62">
        <f>COUNTIF(OWNED[bgg_id],BUYLIST10[[#This Row],[BGG ID]])</f>
        <v>0</v>
      </c>
      <c r="P62">
        <f>COUNTIF(BUYLIST10[NAME],BUYLIST10[[#This Row],[NAME]])</f>
        <v>1</v>
      </c>
    </row>
    <row r="63" spans="1:16" ht="63.95" hidden="1" customHeight="1" x14ac:dyDescent="0.4">
      <c r="A63" s="6">
        <v>67</v>
      </c>
      <c r="B63" t="str">
        <f>IFERROR(_xlfn.XLOOKUP(BUYLIST10[[#This Row],[BGG ID]],bgg_cache[id],bgg_cache[title]),_xlfn.XLOOKUP(BUYLIST10[[#This Row],[BGG ID]],manual_bgg!B:B,manual_bgg!D:D))</f>
        <v>The Guild of Merchant Explorers</v>
      </c>
      <c r="C63" t="e" vm="51">
        <f>_xlfn.IMAGE(_xlfn.XLOOKUP(BUYLIST10[[#This Row],[BGG ID]],bgg_cache[id],bgg_cache[thumbnail_url]),,3,80)</f>
        <v>#VALUE!</v>
      </c>
      <c r="D63">
        <v>350933</v>
      </c>
      <c r="E63" t="str">
        <f>_xlfn.XLOOKUP(BUYLIST10[[#This Row],[BGG ID]],STOREURL[BGG ID],STOREURL[STATUS])</f>
        <v>AVAILABLE</v>
      </c>
      <c r="F63">
        <f>_xlfn.XLOOKUP(BUYLIST10[[#This Row],[BGG ID]],STOREURL[BGG ID],STOREURL[LPG_RRP])</f>
        <v>124.99</v>
      </c>
      <c r="G63" t="e">
        <f>_xlfn.XLOOKUP(BUYLIST10[[#This Row],[NAME]],summary_prices[game],summary_prices[site_low_nzd])</f>
        <v>#N/A</v>
      </c>
      <c r="H63" t="e">
        <f>_xlfn.XLOOKUP(BUYLIST10[[#This Row],[NAME]],summary_prices[game],summary_prices[site_mean_nzd])</f>
        <v>#N/A</v>
      </c>
      <c r="I63" t="e">
        <f>_xlfn.XLOOKUP(BUYLIST10[[#This Row],[NAME]],summary_prices[game],summary_prices[best_in_stock_nzd])</f>
        <v>#N/A</v>
      </c>
      <c r="J63">
        <f>IFERROR(_xlfn.XLOOKUP(BUYLIST10[[#This Row],[NAME]],summary_prices[game],summary_prices[discount_pct_vs_site_mean]),-99)</f>
        <v>-99</v>
      </c>
      <c r="K63" t="e">
        <f>_xlfn.XLOOKUP(BUYLIST10[[#This Row],[NAME]],summary_prices[game],summary_prices[delta_vs_site_disc_mean_pp])</f>
        <v>#N/A</v>
      </c>
      <c r="L63" t="b" cm="1">
        <f t="array" ref="L63">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63" t="e">
        <f>_xlfn.XLOOKUP(BUYLIST10[[#This Row],[NAME]],summary_prices[game],summary_prices[best_in_stock_store])</f>
        <v>#N/A</v>
      </c>
      <c r="N63" s="4" t="str">
        <f>HYPERLINK(_xlfn.XLOOKUP(BUYLIST10[[#This Row],[BGG ID]],STOREURL[BGG ID],STOREURL[BGO LINK]))</f>
        <v/>
      </c>
      <c r="O63">
        <f>COUNTIF(OWNED[bgg_id],BUYLIST10[[#This Row],[BGG ID]])</f>
        <v>0</v>
      </c>
      <c r="P63">
        <f>COUNTIF(BUYLIST10[NAME],BUYLIST10[[#This Row],[NAME]])</f>
        <v>1</v>
      </c>
    </row>
    <row r="64" spans="1:16" ht="63.95" hidden="1" customHeight="1" x14ac:dyDescent="0.4">
      <c r="A64" s="6">
        <v>68</v>
      </c>
      <c r="B64" t="str">
        <f>IFERROR(_xlfn.XLOOKUP(BUYLIST10[[#This Row],[BGG ID]],bgg_cache[id],bgg_cache[title]),_xlfn.XLOOKUP(BUYLIST10[[#This Row],[BGG ID]],manual_bgg!B:B,manual_bgg!D:D))</f>
        <v>Fantastic Factories</v>
      </c>
      <c r="C64" t="e">
        <f>_xlfn.IMAGE(_xlfn.XLOOKUP(BUYLIST10[[#This Row],[BGG ID]],bgg_cache[id],bgg_cache[thumbnail_url]),,3,80)</f>
        <v>#N/A</v>
      </c>
      <c r="D64">
        <v>216600</v>
      </c>
      <c r="E64" t="str">
        <f>_xlfn.XLOOKUP(BUYLIST10[[#This Row],[BGG ID]],STOREURL[BGG ID],STOREURL[STATUS])</f>
        <v>BACK_ORDER</v>
      </c>
      <c r="F64">
        <f>_xlfn.XLOOKUP(BUYLIST10[[#This Row],[BGG ID]],STOREURL[BGG ID],STOREURL[LPG_RRP])</f>
        <v>94.99</v>
      </c>
      <c r="G64" t="e">
        <f>_xlfn.XLOOKUP(BUYLIST10[[#This Row],[NAME]],summary_prices[game],summary_prices[site_low_nzd])</f>
        <v>#N/A</v>
      </c>
      <c r="H64" t="e">
        <f>_xlfn.XLOOKUP(BUYLIST10[[#This Row],[NAME]],summary_prices[game],summary_prices[site_mean_nzd])</f>
        <v>#N/A</v>
      </c>
      <c r="I64" t="e">
        <f>_xlfn.XLOOKUP(BUYLIST10[[#This Row],[NAME]],summary_prices[game],summary_prices[best_in_stock_nzd])</f>
        <v>#N/A</v>
      </c>
      <c r="J64">
        <f>IFERROR(_xlfn.XLOOKUP(BUYLIST10[[#This Row],[NAME]],summary_prices[game],summary_prices[discount_pct_vs_site_mean]),-99)</f>
        <v>-99</v>
      </c>
      <c r="K64" t="e">
        <f>_xlfn.XLOOKUP(BUYLIST10[[#This Row],[NAME]],summary_prices[game],summary_prices[delta_vs_site_disc_mean_pp])</f>
        <v>#N/A</v>
      </c>
      <c r="L64" t="b" cm="1">
        <f t="array" ref="L64">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64" t="e">
        <f>_xlfn.XLOOKUP(BUYLIST10[[#This Row],[NAME]],summary_prices[game],summary_prices[best_in_stock_store])</f>
        <v>#N/A</v>
      </c>
      <c r="N64" s="4" t="str">
        <f>HYPERLINK(_xlfn.XLOOKUP(BUYLIST10[[#This Row],[BGG ID]],STOREURL[BGG ID],STOREURL[BGO LINK]))</f>
        <v/>
      </c>
      <c r="O64">
        <f>COUNTIF(OWNED[bgg_id],BUYLIST10[[#This Row],[BGG ID]])</f>
        <v>0</v>
      </c>
      <c r="P64">
        <f>COUNTIF(BUYLIST10[NAME],BUYLIST10[[#This Row],[NAME]])</f>
        <v>1</v>
      </c>
    </row>
    <row r="65" spans="1:16" ht="63.95" hidden="1" customHeight="1" x14ac:dyDescent="0.4">
      <c r="A65" s="6">
        <v>69</v>
      </c>
      <c r="B65" t="str">
        <f>IFERROR(_xlfn.XLOOKUP(BUYLIST10[[#This Row],[BGG ID]],bgg_cache[id],bgg_cache[title]),_xlfn.XLOOKUP(BUYLIST10[[#This Row],[BGG ID]],manual_bgg!B:B,manual_bgg!D:D))</f>
        <v>Point City</v>
      </c>
      <c r="C65" t="e">
        <f>_xlfn.IMAGE(_xlfn.XLOOKUP(BUYLIST10[[#This Row],[BGG ID]],bgg_cache[id],bgg_cache[thumbnail_url]),,3,80)</f>
        <v>#N/A</v>
      </c>
      <c r="D65">
        <v>368017</v>
      </c>
      <c r="E65" t="str">
        <f>_xlfn.XLOOKUP(BUYLIST10[[#This Row],[BGG ID]],STOREURL[BGG ID],STOREURL[STATUS])</f>
        <v>AVAILABLE</v>
      </c>
      <c r="F65">
        <f>_xlfn.XLOOKUP(BUYLIST10[[#This Row],[BGG ID]],STOREURL[BGG ID],STOREURL[LPG_RRP])</f>
        <v>59.99</v>
      </c>
      <c r="G65" t="e">
        <f>_xlfn.XLOOKUP(BUYLIST10[[#This Row],[NAME]],summary_prices[game],summary_prices[site_low_nzd])</f>
        <v>#N/A</v>
      </c>
      <c r="H65" t="e">
        <f>_xlfn.XLOOKUP(BUYLIST10[[#This Row],[NAME]],summary_prices[game],summary_prices[site_mean_nzd])</f>
        <v>#N/A</v>
      </c>
      <c r="I65" t="e">
        <f>_xlfn.XLOOKUP(BUYLIST10[[#This Row],[NAME]],summary_prices[game],summary_prices[best_in_stock_nzd])</f>
        <v>#N/A</v>
      </c>
      <c r="J65">
        <f>IFERROR(_xlfn.XLOOKUP(BUYLIST10[[#This Row],[NAME]],summary_prices[game],summary_prices[discount_pct_vs_site_mean]),-99)</f>
        <v>-99</v>
      </c>
      <c r="K65" t="e">
        <f>_xlfn.XLOOKUP(BUYLIST10[[#This Row],[NAME]],summary_prices[game],summary_prices[delta_vs_site_disc_mean_pp])</f>
        <v>#N/A</v>
      </c>
      <c r="L65" t="b" cm="1">
        <f t="array" ref="L65">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65" t="e">
        <f>_xlfn.XLOOKUP(BUYLIST10[[#This Row],[NAME]],summary_prices[game],summary_prices[best_in_stock_store])</f>
        <v>#N/A</v>
      </c>
      <c r="N65" s="4" t="str">
        <f>HYPERLINK(_xlfn.XLOOKUP(BUYLIST10[[#This Row],[BGG ID]],STOREURL[BGG ID],STOREURL[BGO LINK]))</f>
        <v/>
      </c>
      <c r="O65">
        <f>COUNTIF(OWNED[bgg_id],BUYLIST10[[#This Row],[BGG ID]])</f>
        <v>0</v>
      </c>
      <c r="P65">
        <f>COUNTIF(BUYLIST10[NAME],BUYLIST10[[#This Row],[NAME]])</f>
        <v>1</v>
      </c>
    </row>
    <row r="66" spans="1:16" ht="63.95" hidden="1" customHeight="1" x14ac:dyDescent="0.4">
      <c r="A66" s="6">
        <v>70</v>
      </c>
      <c r="B66" t="str">
        <f>IFERROR(_xlfn.XLOOKUP(BUYLIST10[[#This Row],[BGG ID]],bgg_cache[id],bgg_cache[title]),_xlfn.XLOOKUP(BUYLIST10[[#This Row],[BGG ID]],manual_bgg!B:B,manual_bgg!D:D))</f>
        <v>Cat in the Box: Deluxe Edition</v>
      </c>
      <c r="C66" t="e" vm="52">
        <f>_xlfn.IMAGE(_xlfn.XLOOKUP(BUYLIST10[[#This Row],[BGG ID]],bgg_cache[id],bgg_cache[thumbnail_url]),,3,80)</f>
        <v>#VALUE!</v>
      </c>
      <c r="D66">
        <v>345972</v>
      </c>
      <c r="E66" t="str">
        <f>_xlfn.XLOOKUP(BUYLIST10[[#This Row],[BGG ID]],STOREURL[BGG ID],STOREURL[STATUS])</f>
        <v>BACK_ORDER</v>
      </c>
      <c r="F66">
        <f>_xlfn.XLOOKUP(BUYLIST10[[#This Row],[BGG ID]],STOREURL[BGG ID],STOREURL[LPG_RRP])</f>
        <v>69.989999999999995</v>
      </c>
      <c r="G66">
        <f>_xlfn.XLOOKUP(BUYLIST10[[#This Row],[NAME]],summary_prices[game],summary_prices[site_low_nzd])</f>
        <v>54.78</v>
      </c>
      <c r="H66">
        <f>_xlfn.XLOOKUP(BUYLIST10[[#This Row],[NAME]],summary_prices[game],summary_prices[site_mean_nzd])</f>
        <v>64.069999999999993</v>
      </c>
      <c r="I66">
        <f>_xlfn.XLOOKUP(BUYLIST10[[#This Row],[NAME]],summary_prices[game],summary_prices[best_in_stock_nzd])</f>
        <v>55.09</v>
      </c>
      <c r="J66">
        <f>IFERROR(_xlfn.XLOOKUP(BUYLIST10[[#This Row],[NAME]],summary_prices[game],summary_prices[discount_pct_vs_site_mean]),-99)</f>
        <v>14.02</v>
      </c>
      <c r="K66">
        <f>_xlfn.XLOOKUP(BUYLIST10[[#This Row],[NAME]],summary_prices[game],summary_prices[delta_vs_site_disc_mean_pp])</f>
        <v>-0.48000000000000043</v>
      </c>
      <c r="L66" t="b" cm="1">
        <f t="array" ref="L66">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66" t="str">
        <f>_xlfn.XLOOKUP(BUYLIST10[[#This Row],[NAME]],summary_prices[game],summary_prices[best_in_stock_store])</f>
        <v>Gameology</v>
      </c>
      <c r="N66" s="4" t="str">
        <f>HYPERLINK(_xlfn.XLOOKUP(BUYLIST10[[#This Row],[BGG ID]],STOREURL[BGG ID],STOREURL[BGO LINK]))</f>
        <v>https://www.boardgameoracle.com/en-NZ/boardgame/price/GQL9Tw-RzO/cat-in-the-box-deluxe-edition</v>
      </c>
      <c r="O66">
        <f>COUNTIF(OWNED[bgg_id],BUYLIST10[[#This Row],[BGG ID]])</f>
        <v>0</v>
      </c>
      <c r="P66">
        <f>COUNTIF(BUYLIST10[NAME],BUYLIST10[[#This Row],[NAME]])</f>
        <v>1</v>
      </c>
    </row>
    <row r="67" spans="1:16" ht="63.95" hidden="1" customHeight="1" x14ac:dyDescent="0.4">
      <c r="A67" s="6">
        <v>71</v>
      </c>
      <c r="B67" t="str">
        <f>IFERROR(_xlfn.XLOOKUP(BUYLIST10[[#This Row],[BGG ID]],bgg_cache[id],bgg_cache[title]),_xlfn.XLOOKUP(BUYLIST10[[#This Row],[BGG ID]],manual_bgg!B:B,manual_bgg!D:D))</f>
        <v>Flamecraft</v>
      </c>
      <c r="C67" t="e" vm="53">
        <f>_xlfn.IMAGE(_xlfn.XLOOKUP(BUYLIST10[[#This Row],[BGG ID]],bgg_cache[id],bgg_cache[thumbnail_url]),,3,80)</f>
        <v>#VALUE!</v>
      </c>
      <c r="D67">
        <v>336986</v>
      </c>
      <c r="E67" t="str">
        <f>_xlfn.XLOOKUP(BUYLIST10[[#This Row],[BGG ID]],STOREURL[BGG ID],STOREURL[STATUS])</f>
        <v>NOT_FOUND</v>
      </c>
      <c r="F67">
        <f>_xlfn.XLOOKUP(BUYLIST10[[#This Row],[BGG ID]],STOREURL[BGG ID],STOREURL[LPG_RRP])</f>
        <v>0</v>
      </c>
      <c r="G67">
        <f>_xlfn.XLOOKUP(BUYLIST10[[#This Row],[NAME]],summary_prices[game],summary_prices[site_low_nzd])</f>
        <v>71.790000000000006</v>
      </c>
      <c r="H67">
        <f>_xlfn.XLOOKUP(BUYLIST10[[#This Row],[NAME]],summary_prices[game],summary_prices[site_mean_nzd])</f>
        <v>78.55</v>
      </c>
      <c r="I67">
        <f>_xlfn.XLOOKUP(BUYLIST10[[#This Row],[NAME]],summary_prices[game],summary_prices[best_in_stock_nzd])</f>
        <v>72.05</v>
      </c>
      <c r="J67">
        <f>IFERROR(_xlfn.XLOOKUP(BUYLIST10[[#This Row],[NAME]],summary_prices[game],summary_prices[discount_pct_vs_site_mean]),-99)</f>
        <v>8.27</v>
      </c>
      <c r="K67">
        <f>_xlfn.XLOOKUP(BUYLIST10[[#This Row],[NAME]],summary_prices[game],summary_prices[delta_vs_site_disc_mean_pp])</f>
        <v>-0.33000000000000007</v>
      </c>
      <c r="L67" t="b" cm="1">
        <f t="array" ref="L67">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67" t="str">
        <f>_xlfn.XLOOKUP(BUYLIST10[[#This Row],[NAME]],summary_prices[game],summary_prices[best_in_stock_store])</f>
        <v>Amazon AU</v>
      </c>
      <c r="N67" s="4" t="str">
        <f>HYPERLINK(_xlfn.XLOOKUP(BUYLIST10[[#This Row],[BGG ID]],STOREURL[BGG ID],STOREURL[BGO LINK]))</f>
        <v>https://www.boardgameoracle.com/en-NZ/boardgame/price/Il_CaPaElq/flamecraft</v>
      </c>
      <c r="O67">
        <f>COUNTIF(OWNED[bgg_id],BUYLIST10[[#This Row],[BGG ID]])</f>
        <v>0</v>
      </c>
      <c r="P67">
        <f>COUNTIF(BUYLIST10[NAME],BUYLIST10[[#This Row],[NAME]])</f>
        <v>1</v>
      </c>
    </row>
    <row r="68" spans="1:16" ht="63.95" hidden="1" customHeight="1" x14ac:dyDescent="0.4">
      <c r="A68" s="6">
        <v>72</v>
      </c>
      <c r="B68" t="str">
        <f>IFERROR(_xlfn.XLOOKUP(BUYLIST10[[#This Row],[BGG ID]],bgg_cache[id],bgg_cache[title]),_xlfn.XLOOKUP(BUYLIST10[[#This Row],[BGG ID]],manual_bgg!B:B,manual_bgg!D:D))</f>
        <v>Hanamikoji</v>
      </c>
      <c r="C68" t="e" vm="54">
        <f>_xlfn.IMAGE(_xlfn.XLOOKUP(BUYLIST10[[#This Row],[BGG ID]],bgg_cache[id],bgg_cache[thumbnail_url]),,3,80)</f>
        <v>#VALUE!</v>
      </c>
      <c r="D68">
        <v>158600</v>
      </c>
      <c r="E68" t="str">
        <f>_xlfn.XLOOKUP(BUYLIST10[[#This Row],[BGG ID]],STOREURL[BGG ID],STOREURL[STATUS])</f>
        <v>NOT_FOUND</v>
      </c>
      <c r="F68">
        <f>_xlfn.XLOOKUP(BUYLIST10[[#This Row],[BGG ID]],STOREURL[BGG ID],STOREURL[LPG_RRP])</f>
        <v>0</v>
      </c>
      <c r="G68">
        <f>_xlfn.XLOOKUP(BUYLIST10[[#This Row],[NAME]],summary_prices[game],summary_prices[site_low_nzd])</f>
        <v>52.99</v>
      </c>
      <c r="H68">
        <f>_xlfn.XLOOKUP(BUYLIST10[[#This Row],[NAME]],summary_prices[game],summary_prices[site_mean_nzd])</f>
        <v>52.99</v>
      </c>
      <c r="I68">
        <f>_xlfn.XLOOKUP(BUYLIST10[[#This Row],[NAME]],summary_prices[game],summary_prices[best_in_stock_nzd])</f>
        <v>52.99</v>
      </c>
      <c r="J68">
        <f>IFERROR(_xlfn.XLOOKUP(BUYLIST10[[#This Row],[NAME]],summary_prices[game],summary_prices[discount_pct_vs_site_mean]),-99)</f>
        <v>0</v>
      </c>
      <c r="K68">
        <f>_xlfn.XLOOKUP(BUYLIST10[[#This Row],[NAME]],summary_prices[game],summary_prices[delta_vs_site_disc_mean_pp])</f>
        <v>0</v>
      </c>
      <c r="L68" t="b" cm="1">
        <f t="array" ref="L68">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68" t="str">
        <f>_xlfn.XLOOKUP(BUYLIST10[[#This Row],[NAME]],summary_prices[game],summary_prices[best_in_stock_store])</f>
        <v>NZGameShop</v>
      </c>
      <c r="N68" s="4" t="str">
        <f>HYPERLINK(_xlfn.XLOOKUP(BUYLIST10[[#This Row],[BGG ID]],STOREURL[BGG ID],STOREURL[BGO LINK]))</f>
        <v>https://www.boardgameoracle.com/en-NZ/boardgame/price/7G0rT0RqIm/hanamikoji</v>
      </c>
      <c r="O68">
        <f>COUNTIF(OWNED[bgg_id],BUYLIST10[[#This Row],[BGG ID]])</f>
        <v>0</v>
      </c>
      <c r="P68">
        <f>COUNTIF(BUYLIST10[NAME],BUYLIST10[[#This Row],[NAME]])</f>
        <v>1</v>
      </c>
    </row>
    <row r="69" spans="1:16" ht="63.95" hidden="1" customHeight="1" x14ac:dyDescent="0.4">
      <c r="A69" s="6">
        <v>73</v>
      </c>
      <c r="B69" t="str">
        <f>IFERROR(_xlfn.XLOOKUP(BUYLIST10[[#This Row],[BGG ID]],bgg_cache[id],bgg_cache[title]),_xlfn.XLOOKUP(BUYLIST10[[#This Row],[BGG ID]],manual_bgg!B:B,manual_bgg!D:D))</f>
        <v>Similo</v>
      </c>
      <c r="C69" t="e" vm="55">
        <f>_xlfn.IMAGE(_xlfn.XLOOKUP(BUYLIST10[[#This Row],[BGG ID]],bgg_cache[id],bgg_cache[thumbnail_url]),,3,80)</f>
        <v>#VALUE!</v>
      </c>
      <c r="D69">
        <v>268620</v>
      </c>
      <c r="E69" t="str">
        <f>_xlfn.XLOOKUP(BUYLIST10[[#This Row],[BGG ID]],STOREURL[BGG ID],STOREURL[STATUS])</f>
        <v>AVAILABLE</v>
      </c>
      <c r="F69">
        <f>_xlfn.XLOOKUP(BUYLIST10[[#This Row],[BGG ID]],STOREURL[BGG ID],STOREURL[LPG_RRP])</f>
        <v>25</v>
      </c>
      <c r="G69">
        <f>_xlfn.XLOOKUP(BUYLIST10[[#This Row],[NAME]],summary_prices[game],summary_prices[site_low_nzd])</f>
        <v>18</v>
      </c>
      <c r="H69">
        <f>_xlfn.XLOOKUP(BUYLIST10[[#This Row],[NAME]],summary_prices[game],summary_prices[site_mean_nzd])</f>
        <v>28.2</v>
      </c>
      <c r="I69">
        <f>_xlfn.XLOOKUP(BUYLIST10[[#This Row],[NAME]],summary_prices[game],summary_prices[best_in_stock_nzd])</f>
        <v>18</v>
      </c>
      <c r="J69">
        <f>IFERROR(_xlfn.XLOOKUP(BUYLIST10[[#This Row],[NAME]],summary_prices[game],summary_prices[discount_pct_vs_site_mean]),-99)</f>
        <v>36.17</v>
      </c>
      <c r="K69">
        <f>_xlfn.XLOOKUP(BUYLIST10[[#This Row],[NAME]],summary_prices[game],summary_prices[delta_vs_site_disc_mean_pp])</f>
        <v>-9.9999999999980105E-3</v>
      </c>
      <c r="L69" t="b" cm="1">
        <f t="array" ref="L69">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69" t="str">
        <f>_xlfn.XLOOKUP(BUYLIST10[[#This Row],[NAME]],summary_prices[game],summary_prices[best_in_stock_store])</f>
        <v>Game Centre</v>
      </c>
      <c r="N69" s="4" t="str">
        <f>HYPERLINK(_xlfn.XLOOKUP(BUYLIST10[[#This Row],[BGG ID]],STOREURL[BGG ID],STOREURL[BGO LINK]))</f>
        <v>https://www.boardgameoracle.com/en-NZ/boardgame/price/CFfHoVQzHu/similo</v>
      </c>
      <c r="O69">
        <f>COUNTIF(OWNED[bgg_id],BUYLIST10[[#This Row],[BGG ID]])</f>
        <v>0</v>
      </c>
      <c r="P69">
        <f>COUNTIF(BUYLIST10[NAME],BUYLIST10[[#This Row],[NAME]])</f>
        <v>1</v>
      </c>
    </row>
    <row r="70" spans="1:16" ht="63.95" hidden="1" customHeight="1" x14ac:dyDescent="0.4">
      <c r="A70" s="6">
        <v>74</v>
      </c>
      <c r="B70" t="str">
        <f>IFERROR(_xlfn.XLOOKUP(BUYLIST10[[#This Row],[BGG ID]],bgg_cache[id],bgg_cache[title]),_xlfn.XLOOKUP(BUYLIST10[[#This Row],[BGG ID]],manual_bgg!B:B,manual_bgg!D:D))</f>
        <v>Coup</v>
      </c>
      <c r="C70" t="e">
        <f>_xlfn.IMAGE(_xlfn.XLOOKUP(BUYLIST10[[#This Row],[BGG ID]],bgg_cache[id],bgg_cache[thumbnail_url]),,3,80)</f>
        <v>#N/A</v>
      </c>
      <c r="D70">
        <v>131357</v>
      </c>
      <c r="E70" t="str">
        <f>_xlfn.XLOOKUP(BUYLIST10[[#This Row],[BGG ID]],STOREURL[BGG ID],STOREURL[STATUS])</f>
        <v>AVAILABLE</v>
      </c>
      <c r="F70">
        <f>_xlfn.XLOOKUP(BUYLIST10[[#This Row],[BGG ID]],STOREURL[BGG ID],STOREURL[LPG_RRP])</f>
        <v>37.99</v>
      </c>
      <c r="G70" t="e">
        <f>_xlfn.XLOOKUP(BUYLIST10[[#This Row],[NAME]],summary_prices[game],summary_prices[site_low_nzd])</f>
        <v>#N/A</v>
      </c>
      <c r="H70" t="e">
        <f>_xlfn.XLOOKUP(BUYLIST10[[#This Row],[NAME]],summary_prices[game],summary_prices[site_mean_nzd])</f>
        <v>#N/A</v>
      </c>
      <c r="I70" t="e">
        <f>_xlfn.XLOOKUP(BUYLIST10[[#This Row],[NAME]],summary_prices[game],summary_prices[best_in_stock_nzd])</f>
        <v>#N/A</v>
      </c>
      <c r="J70">
        <f>IFERROR(_xlfn.XLOOKUP(BUYLIST10[[#This Row],[NAME]],summary_prices[game],summary_prices[discount_pct_vs_site_mean]),-99)</f>
        <v>-99</v>
      </c>
      <c r="K70" t="e">
        <f>_xlfn.XLOOKUP(BUYLIST10[[#This Row],[NAME]],summary_prices[game],summary_prices[delta_vs_site_disc_mean_pp])</f>
        <v>#N/A</v>
      </c>
      <c r="L70" t="b" cm="1">
        <f t="array" ref="L70">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70" t="e">
        <f>_xlfn.XLOOKUP(BUYLIST10[[#This Row],[NAME]],summary_prices[game],summary_prices[best_in_stock_store])</f>
        <v>#N/A</v>
      </c>
      <c r="N70" s="4" t="str">
        <f>HYPERLINK(_xlfn.XLOOKUP(BUYLIST10[[#This Row],[BGG ID]],STOREURL[BGG ID],STOREURL[BGO LINK]))</f>
        <v/>
      </c>
      <c r="O70">
        <f>COUNTIF(OWNED[bgg_id],BUYLIST10[[#This Row],[BGG ID]])</f>
        <v>0</v>
      </c>
      <c r="P70">
        <f>COUNTIF(BUYLIST10[NAME],BUYLIST10[[#This Row],[NAME]])</f>
        <v>1</v>
      </c>
    </row>
    <row r="71" spans="1:16" ht="63.95" hidden="1" customHeight="1" x14ac:dyDescent="0.4">
      <c r="A71" s="6">
        <v>75</v>
      </c>
      <c r="B71" t="str">
        <f>IFERROR(_xlfn.XLOOKUP(BUYLIST10[[#This Row],[BGG ID]],bgg_cache[id],bgg_cache[title]),_xlfn.XLOOKUP(BUYLIST10[[#This Row],[BGG ID]],manual_bgg!B:B,manual_bgg!D:D))</f>
        <v>Skull King</v>
      </c>
      <c r="C71" t="e" vm="56">
        <f>_xlfn.IMAGE(_xlfn.XLOOKUP(BUYLIST10[[#This Row],[BGG ID]],bgg_cache[id],bgg_cache[thumbnail_url]),,3,80)</f>
        <v>#VALUE!</v>
      </c>
      <c r="D71">
        <v>150145</v>
      </c>
      <c r="E71" t="str">
        <f>_xlfn.XLOOKUP(BUYLIST10[[#This Row],[BGG ID]],STOREURL[BGG ID],STOREURL[STATUS])</f>
        <v>AVAILABLE</v>
      </c>
      <c r="F71">
        <f>_xlfn.XLOOKUP(BUYLIST10[[#This Row],[BGG ID]],STOREURL[BGG ID],STOREURL[LPG_RRP])</f>
        <v>41.99</v>
      </c>
      <c r="G71" t="e">
        <f>_xlfn.XLOOKUP(BUYLIST10[[#This Row],[NAME]],summary_prices[game],summary_prices[site_low_nzd])</f>
        <v>#N/A</v>
      </c>
      <c r="H71" t="e">
        <f>_xlfn.XLOOKUP(BUYLIST10[[#This Row],[NAME]],summary_prices[game],summary_prices[site_mean_nzd])</f>
        <v>#N/A</v>
      </c>
      <c r="I71" t="e">
        <f>_xlfn.XLOOKUP(BUYLIST10[[#This Row],[NAME]],summary_prices[game],summary_prices[best_in_stock_nzd])</f>
        <v>#N/A</v>
      </c>
      <c r="J71">
        <f>IFERROR(_xlfn.XLOOKUP(BUYLIST10[[#This Row],[NAME]],summary_prices[game],summary_prices[discount_pct_vs_site_mean]),-99)</f>
        <v>-99</v>
      </c>
      <c r="K71" t="e">
        <f>_xlfn.XLOOKUP(BUYLIST10[[#This Row],[NAME]],summary_prices[game],summary_prices[delta_vs_site_disc_mean_pp])</f>
        <v>#N/A</v>
      </c>
      <c r="L71" t="b" cm="1">
        <f t="array" ref="L71">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71" t="e">
        <f>_xlfn.XLOOKUP(BUYLIST10[[#This Row],[NAME]],summary_prices[game],summary_prices[best_in_stock_store])</f>
        <v>#N/A</v>
      </c>
      <c r="N71" s="4" t="str">
        <f>HYPERLINK(_xlfn.XLOOKUP(BUYLIST10[[#This Row],[BGG ID]],STOREURL[BGG ID],STOREURL[BGO LINK]))</f>
        <v/>
      </c>
      <c r="O71">
        <f>COUNTIF(OWNED[bgg_id],BUYLIST10[[#This Row],[BGG ID]])</f>
        <v>0</v>
      </c>
      <c r="P71">
        <f>COUNTIF(BUYLIST10[NAME],BUYLIST10[[#This Row],[NAME]])</f>
        <v>1</v>
      </c>
    </row>
    <row r="72" spans="1:16" ht="63.95" customHeight="1" x14ac:dyDescent="0.4">
      <c r="A72" s="6">
        <v>76</v>
      </c>
      <c r="B72" t="str">
        <f>IFERROR(_xlfn.XLOOKUP(BUYLIST10[[#This Row],[BGG ID]],bgg_cache[id],bgg_cache[title]),_xlfn.XLOOKUP(BUYLIST10[[#This Row],[BGG ID]],manual_bgg!B:B,manual_bgg!D:D))</f>
        <v>L.L.A.M.A.</v>
      </c>
      <c r="C72" t="e">
        <f>_xlfn.IMAGE(_xlfn.XLOOKUP(BUYLIST10[[#This Row],[BGG ID]],bgg_cache[id],bgg_cache[thumbnail_url]),,3,80)</f>
        <v>#N/A</v>
      </c>
      <c r="D72">
        <v>271324</v>
      </c>
      <c r="E72" t="str">
        <f>_xlfn.XLOOKUP(BUYLIST10[[#This Row],[BGG ID]],STOREURL[BGG ID],STOREURL[STATUS])</f>
        <v>NOT_FOUND</v>
      </c>
      <c r="F72">
        <f>_xlfn.XLOOKUP(BUYLIST10[[#This Row],[BGG ID]],STOREURL[BGG ID],STOREURL[LPG_RRP])</f>
        <v>0</v>
      </c>
      <c r="G72">
        <f>_xlfn.XLOOKUP(BUYLIST10[[#This Row],[NAME]],summary_prices[game],summary_prices[site_low_nzd])</f>
        <v>15.5</v>
      </c>
      <c r="H72">
        <f>_xlfn.XLOOKUP(BUYLIST10[[#This Row],[NAME]],summary_prices[game],summary_prices[site_mean_nzd])</f>
        <v>23.05</v>
      </c>
      <c r="I72">
        <f>_xlfn.XLOOKUP(BUYLIST10[[#This Row],[NAME]],summary_prices[game],summary_prices[best_in_stock_nzd])</f>
        <v>15.56</v>
      </c>
      <c r="J72">
        <f>IFERROR(_xlfn.XLOOKUP(BUYLIST10[[#This Row],[NAME]],summary_prices[game],summary_prices[discount_pct_vs_site_mean]),-99)</f>
        <v>32.49</v>
      </c>
      <c r="K72">
        <f>_xlfn.XLOOKUP(BUYLIST10[[#This Row],[NAME]],summary_prices[game],summary_prices[delta_vs_site_disc_mean_pp])</f>
        <v>-0.26999999999999602</v>
      </c>
      <c r="L72" t="b" cm="1">
        <f t="array" ref="L72">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1</v>
      </c>
      <c r="M72" t="str">
        <f>_xlfn.XLOOKUP(BUYLIST10[[#This Row],[NAME]],summary_prices[game],summary_prices[best_in_stock_store])</f>
        <v>Amazon AU</v>
      </c>
      <c r="N72" s="4" t="str">
        <f>HYPERLINK(_xlfn.XLOOKUP(BUYLIST10[[#This Row],[BGG ID]],STOREURL[BGG ID],STOREURL[BGO LINK]))</f>
        <v>https://www.boardgameoracle.com/en-NZ/boardgame/price/oTEHQNhsaG/lama</v>
      </c>
      <c r="O72">
        <f>COUNTIF(OWNED[bgg_id],BUYLIST10[[#This Row],[BGG ID]])</f>
        <v>0</v>
      </c>
      <c r="P72">
        <f>COUNTIF(BUYLIST10[NAME],BUYLIST10[[#This Row],[NAME]])</f>
        <v>1</v>
      </c>
    </row>
    <row r="73" spans="1:16" ht="63.95" hidden="1" customHeight="1" x14ac:dyDescent="0.4">
      <c r="A73" s="6">
        <v>77</v>
      </c>
      <c r="B73" t="str">
        <f>IFERROR(_xlfn.XLOOKUP(BUYLIST10[[#This Row],[BGG ID]],bgg_cache[id],bgg_cache[title]),_xlfn.XLOOKUP(BUYLIST10[[#This Row],[BGG ID]],manual_bgg!B:B,manual_bgg!D:D))</f>
        <v>Splendor Duel</v>
      </c>
      <c r="C73" t="e" vm="57">
        <f>_xlfn.IMAGE(_xlfn.XLOOKUP(BUYLIST10[[#This Row],[BGG ID]],bgg_cache[id],bgg_cache[thumbnail_url]),,3,80)</f>
        <v>#VALUE!</v>
      </c>
      <c r="D73">
        <v>364073</v>
      </c>
      <c r="E73" t="str">
        <f>_xlfn.XLOOKUP(BUYLIST10[[#This Row],[BGG ID]],STOREURL[BGG ID],STOREURL[STATUS])</f>
        <v>AVAILABLE</v>
      </c>
      <c r="F73">
        <f>_xlfn.XLOOKUP(BUYLIST10[[#This Row],[BGG ID]],STOREURL[BGG ID],STOREURL[LPG_RRP])</f>
        <v>54.99</v>
      </c>
      <c r="G73" t="e">
        <f>_xlfn.XLOOKUP(BUYLIST10[[#This Row],[NAME]],summary_prices[game],summary_prices[site_low_nzd])</f>
        <v>#N/A</v>
      </c>
      <c r="H73" t="e">
        <f>_xlfn.XLOOKUP(BUYLIST10[[#This Row],[NAME]],summary_prices[game],summary_prices[site_mean_nzd])</f>
        <v>#N/A</v>
      </c>
      <c r="I73" t="e">
        <f>_xlfn.XLOOKUP(BUYLIST10[[#This Row],[NAME]],summary_prices[game],summary_prices[best_in_stock_nzd])</f>
        <v>#N/A</v>
      </c>
      <c r="J73">
        <f>IFERROR(_xlfn.XLOOKUP(BUYLIST10[[#This Row],[NAME]],summary_prices[game],summary_prices[discount_pct_vs_site_mean]),-99)</f>
        <v>-99</v>
      </c>
      <c r="K73" t="e">
        <f>_xlfn.XLOOKUP(BUYLIST10[[#This Row],[NAME]],summary_prices[game],summary_prices[delta_vs_site_disc_mean_pp])</f>
        <v>#N/A</v>
      </c>
      <c r="L73" t="b" cm="1">
        <f t="array" ref="L73">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73" t="e">
        <f>_xlfn.XLOOKUP(BUYLIST10[[#This Row],[NAME]],summary_prices[game],summary_prices[best_in_stock_store])</f>
        <v>#N/A</v>
      </c>
      <c r="N73" s="4" t="str">
        <f>HYPERLINK(_xlfn.XLOOKUP(BUYLIST10[[#This Row],[BGG ID]],STOREURL[BGG ID],STOREURL[BGO LINK]))</f>
        <v/>
      </c>
      <c r="O73">
        <f>COUNTIF(OWNED[bgg_id],BUYLIST10[[#This Row],[BGG ID]])</f>
        <v>0</v>
      </c>
      <c r="P73">
        <f>COUNTIF(BUYLIST10[NAME],BUYLIST10[[#This Row],[NAME]])</f>
        <v>1</v>
      </c>
    </row>
    <row r="74" spans="1:16" ht="63.95" hidden="1" customHeight="1" x14ac:dyDescent="0.4">
      <c r="A74" s="6">
        <v>78</v>
      </c>
      <c r="B74" t="str">
        <f>IFERROR(_xlfn.XLOOKUP(BUYLIST10[[#This Row],[BGG ID]],bgg_cache[id],bgg_cache[title]),_xlfn.XLOOKUP(BUYLIST10[[#This Row],[BGG ID]],manual_bgg!B:B,manual_bgg!D:D))</f>
        <v>Paperback</v>
      </c>
      <c r="C74" t="e" vm="58">
        <f>_xlfn.IMAGE(_xlfn.XLOOKUP(BUYLIST10[[#This Row],[BGG ID]],bgg_cache[id],bgg_cache[thumbnail_url]),,3,80)</f>
        <v>#VALUE!</v>
      </c>
      <c r="D74">
        <v>141572</v>
      </c>
      <c r="E74" t="str">
        <f>_xlfn.XLOOKUP(BUYLIST10[[#This Row],[BGG ID]],STOREURL[BGG ID],STOREURL[STATUS])</f>
        <v>NOT_FOUND</v>
      </c>
      <c r="F74">
        <f>_xlfn.XLOOKUP(BUYLIST10[[#This Row],[BGG ID]],STOREURL[BGG ID],STOREURL[LPG_RRP])</f>
        <v>0</v>
      </c>
      <c r="G74">
        <f>_xlfn.XLOOKUP(BUYLIST10[[#This Row],[NAME]],summary_prices[game],summary_prices[site_low_nzd])</f>
        <v>57.06</v>
      </c>
      <c r="H74">
        <f>_xlfn.XLOOKUP(BUYLIST10[[#This Row],[NAME]],summary_prices[game],summary_prices[site_mean_nzd])</f>
        <v>57.06</v>
      </c>
      <c r="I74">
        <f>_xlfn.XLOOKUP(BUYLIST10[[#This Row],[NAME]],summary_prices[game],summary_prices[best_in_stock_nzd])</f>
        <v>57.39</v>
      </c>
      <c r="J74">
        <f>IFERROR(_xlfn.XLOOKUP(BUYLIST10[[#This Row],[NAME]],summary_prices[game],summary_prices[discount_pct_vs_site_mean]),-99)</f>
        <v>-0.57999999999999996</v>
      </c>
      <c r="K74">
        <f>_xlfn.XLOOKUP(BUYLIST10[[#This Row],[NAME]],summary_prices[game],summary_prices[delta_vs_site_disc_mean_pp])</f>
        <v>-0.57999999999999996</v>
      </c>
      <c r="L74" t="b" cm="1">
        <f t="array" ref="L74">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74" t="str">
        <f>_xlfn.XLOOKUP(BUYLIST10[[#This Row],[NAME]],summary_prices[game],summary_prices[best_in_stock_store])</f>
        <v>Gameology</v>
      </c>
      <c r="N74" s="4" t="str">
        <f>HYPERLINK(_xlfn.XLOOKUP(BUYLIST10[[#This Row],[BGG ID]],STOREURL[BGG ID],STOREURL[BGO LINK]))</f>
        <v>https://www.boardgameoracle.com/en-NZ/boardgame/price/67BKawSrIj/paperback</v>
      </c>
      <c r="O74">
        <f>COUNTIF(OWNED[bgg_id],BUYLIST10[[#This Row],[BGG ID]])</f>
        <v>0</v>
      </c>
      <c r="P74">
        <f>COUNTIF(BUYLIST10[NAME],BUYLIST10[[#This Row],[NAME]])</f>
        <v>1</v>
      </c>
    </row>
    <row r="75" spans="1:16" ht="63.95" hidden="1" customHeight="1" x14ac:dyDescent="0.4">
      <c r="A75" s="6">
        <v>79</v>
      </c>
      <c r="B75" t="str">
        <f>IFERROR(_xlfn.XLOOKUP(BUYLIST10[[#This Row],[BGG ID]],bgg_cache[id],bgg_cache[title]),_xlfn.XLOOKUP(BUYLIST10[[#This Row],[BGG ID]],manual_bgg!B:B,manual_bgg!D:D))</f>
        <v>Railroad Ink: Deep Blue Edition</v>
      </c>
      <c r="C75" t="e" vm="59">
        <f>_xlfn.IMAGE(_xlfn.XLOOKUP(BUYLIST10[[#This Row],[BGG ID]],bgg_cache[id],bgg_cache[thumbnail_url]),,3,80)</f>
        <v>#VALUE!</v>
      </c>
      <c r="D75">
        <v>245654</v>
      </c>
      <c r="E75" t="str">
        <f>_xlfn.XLOOKUP(BUYLIST10[[#This Row],[BGG ID]],STOREURL[BGG ID],STOREURL[STATUS])</f>
        <v>BACK_ORDER_OOS</v>
      </c>
      <c r="F75">
        <f>_xlfn.XLOOKUP(BUYLIST10[[#This Row],[BGG ID]],STOREURL[BGG ID],STOREURL[LPG_RRP])</f>
        <v>49.99</v>
      </c>
      <c r="G75">
        <f>_xlfn.XLOOKUP(BUYLIST10[[#This Row],[NAME]],summary_prices[game],summary_prices[site_low_nzd])</f>
        <v>35.36</v>
      </c>
      <c r="H75">
        <f>_xlfn.XLOOKUP(BUYLIST10[[#This Row],[NAME]],summary_prices[game],summary_prices[site_mean_nzd])</f>
        <v>48.24</v>
      </c>
      <c r="I75">
        <f>_xlfn.XLOOKUP(BUYLIST10[[#This Row],[NAME]],summary_prices[game],summary_prices[best_in_stock_nzd])</f>
        <v>35.56</v>
      </c>
      <c r="J75">
        <f>IFERROR(_xlfn.XLOOKUP(BUYLIST10[[#This Row],[NAME]],summary_prices[game],summary_prices[discount_pct_vs_site_mean]),-99)</f>
        <v>26.29</v>
      </c>
      <c r="K75">
        <f>_xlfn.XLOOKUP(BUYLIST10[[#This Row],[NAME]],summary_prices[game],summary_prices[delta_vs_site_disc_mean_pp])</f>
        <v>-0.41000000000000014</v>
      </c>
      <c r="L75" t="b" cm="1">
        <f t="array" ref="L75">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75" t="str">
        <f>_xlfn.XLOOKUP(BUYLIST10[[#This Row],[NAME]],summary_prices[game],summary_prices[best_in_stock_store])</f>
        <v>Gameology</v>
      </c>
      <c r="N75" s="4" t="str">
        <f>HYPERLINK(_xlfn.XLOOKUP(BUYLIST10[[#This Row],[BGG ID]],STOREURL[BGG ID],STOREURL[BGO LINK]))</f>
        <v>https://www.boardgameoracle.com/en-NZ/boardgame/price/2ukSnJ39H9/railroad-ink-deep-blue-edition</v>
      </c>
      <c r="O75">
        <f>COUNTIF(OWNED[bgg_id],BUYLIST10[[#This Row],[BGG ID]])</f>
        <v>0</v>
      </c>
      <c r="P75">
        <f>COUNTIF(BUYLIST10[NAME],BUYLIST10[[#This Row],[NAME]])</f>
        <v>1</v>
      </c>
    </row>
    <row r="76" spans="1:16" ht="63.95" hidden="1" customHeight="1" x14ac:dyDescent="0.4">
      <c r="A76" s="6">
        <v>80</v>
      </c>
      <c r="B76" t="str">
        <f>IFERROR(_xlfn.XLOOKUP(BUYLIST10[[#This Row],[BGG ID]],bgg_cache[id],bgg_cache[title]),_xlfn.XLOOKUP(BUYLIST10[[#This Row],[BGG ID]],manual_bgg!B:B,manual_bgg!D:D))</f>
        <v>Mysterium</v>
      </c>
      <c r="C76" t="e" vm="60">
        <f>_xlfn.IMAGE(_xlfn.XLOOKUP(BUYLIST10[[#This Row],[BGG ID]],bgg_cache[id],bgg_cache[thumbnail_url]),,3,80)</f>
        <v>#VALUE!</v>
      </c>
      <c r="D76">
        <v>181304</v>
      </c>
      <c r="E76" t="str">
        <f>_xlfn.XLOOKUP(BUYLIST10[[#This Row],[BGG ID]],STOREURL[BGG ID],STOREURL[STATUS])</f>
        <v>NOT_FOUND</v>
      </c>
      <c r="F76">
        <f>_xlfn.XLOOKUP(BUYLIST10[[#This Row],[BGG ID]],STOREURL[BGG ID],STOREURL[LPG_RRP])</f>
        <v>0</v>
      </c>
      <c r="G76">
        <f>_xlfn.XLOOKUP(BUYLIST10[[#This Row],[NAME]],summary_prices[game],summary_prices[site_low_nzd])</f>
        <v>63</v>
      </c>
      <c r="H76">
        <f>_xlfn.XLOOKUP(BUYLIST10[[#This Row],[NAME]],summary_prices[game],summary_prices[site_mean_nzd])</f>
        <v>90.75</v>
      </c>
      <c r="I76">
        <f>_xlfn.XLOOKUP(BUYLIST10[[#This Row],[NAME]],summary_prices[game],summary_prices[best_in_stock_nzd])</f>
        <v>79</v>
      </c>
      <c r="J76">
        <f>IFERROR(_xlfn.XLOOKUP(BUYLIST10[[#This Row],[NAME]],summary_prices[game],summary_prices[discount_pct_vs_site_mean]),-99)</f>
        <v>12.95</v>
      </c>
      <c r="K76">
        <f>_xlfn.XLOOKUP(BUYLIST10[[#This Row],[NAME]],summary_prices[game],summary_prices[delta_vs_site_disc_mean_pp])</f>
        <v>-17.63</v>
      </c>
      <c r="L76" t="b" cm="1">
        <f t="array" ref="L76">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76" t="str">
        <f>_xlfn.XLOOKUP(BUYLIST10[[#This Row],[NAME]],summary_prices[game],summary_prices[best_in_stock_store])</f>
        <v>Escape Board-Em with Solve It &amp; Escape</v>
      </c>
      <c r="N76" s="4" t="str">
        <f>HYPERLINK(_xlfn.XLOOKUP(BUYLIST10[[#This Row],[BGG ID]],STOREURL[BGG ID],STOREURL[BGO LINK]))</f>
        <v>https://www.boardgameoracle.com/en-NZ/boardgame/price/VHUh_GEd1L/mysterium</v>
      </c>
      <c r="O76">
        <f>COUNTIF(OWNED[bgg_id],BUYLIST10[[#This Row],[BGG ID]])</f>
        <v>0</v>
      </c>
      <c r="P76">
        <f>COUNTIF(BUYLIST10[NAME],BUYLIST10[[#This Row],[NAME]])</f>
        <v>1</v>
      </c>
    </row>
    <row r="77" spans="1:16" ht="63.95" hidden="1" customHeight="1" x14ac:dyDescent="0.4">
      <c r="A77" s="6">
        <v>81</v>
      </c>
      <c r="B77" t="str">
        <f>IFERROR(_xlfn.XLOOKUP(BUYLIST10[[#This Row],[BGG ID]],bgg_cache[id],bgg_cache[title]),_xlfn.XLOOKUP(BUYLIST10[[#This Row],[BGG ID]],manual_bgg!B:B,manual_bgg!D:D))</f>
        <v>Cartographers Heroes</v>
      </c>
      <c r="C77" t="e">
        <f>_xlfn.IMAGE(_xlfn.XLOOKUP(BUYLIST10[[#This Row],[BGG ID]],bgg_cache[id],bgg_cache[thumbnail_url]),,3,80)</f>
        <v>#N/A</v>
      </c>
      <c r="D77">
        <v>315767</v>
      </c>
      <c r="E77" t="str">
        <f>_xlfn.XLOOKUP(BUYLIST10[[#This Row],[BGG ID]],STOREURL[BGG ID],STOREURL[STATUS])</f>
        <v>AVAILABLE</v>
      </c>
      <c r="F77">
        <f>_xlfn.XLOOKUP(BUYLIST10[[#This Row],[BGG ID]],STOREURL[BGG ID],STOREURL[LPG_RRP])</f>
        <v>54.99</v>
      </c>
      <c r="G77" t="e">
        <f>_xlfn.XLOOKUP(BUYLIST10[[#This Row],[NAME]],summary_prices[game],summary_prices[site_low_nzd])</f>
        <v>#N/A</v>
      </c>
      <c r="H77" t="e">
        <f>_xlfn.XLOOKUP(BUYLIST10[[#This Row],[NAME]],summary_prices[game],summary_prices[site_mean_nzd])</f>
        <v>#N/A</v>
      </c>
      <c r="I77" t="e">
        <f>_xlfn.XLOOKUP(BUYLIST10[[#This Row],[NAME]],summary_prices[game],summary_prices[best_in_stock_nzd])</f>
        <v>#N/A</v>
      </c>
      <c r="J77">
        <f>IFERROR(_xlfn.XLOOKUP(BUYLIST10[[#This Row],[NAME]],summary_prices[game],summary_prices[discount_pct_vs_site_mean]),-99)</f>
        <v>-99</v>
      </c>
      <c r="K77" t="e">
        <f>_xlfn.XLOOKUP(BUYLIST10[[#This Row],[NAME]],summary_prices[game],summary_prices[delta_vs_site_disc_mean_pp])</f>
        <v>#N/A</v>
      </c>
      <c r="L77" t="b" cm="1">
        <f t="array" ref="L77">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77" t="e">
        <f>_xlfn.XLOOKUP(BUYLIST10[[#This Row],[NAME]],summary_prices[game],summary_prices[best_in_stock_store])</f>
        <v>#N/A</v>
      </c>
      <c r="N77" s="4" t="str">
        <f>HYPERLINK(_xlfn.XLOOKUP(BUYLIST10[[#This Row],[BGG ID]],STOREURL[BGG ID],STOREURL[BGO LINK]))</f>
        <v/>
      </c>
      <c r="O77">
        <f>COUNTIF(OWNED[bgg_id],BUYLIST10[[#This Row],[BGG ID]])</f>
        <v>0</v>
      </c>
      <c r="P77">
        <f>COUNTIF(BUYLIST10[NAME],BUYLIST10[[#This Row],[NAME]])</f>
        <v>1</v>
      </c>
    </row>
    <row r="78" spans="1:16" ht="63.95" hidden="1" customHeight="1" x14ac:dyDescent="0.4">
      <c r="A78" s="6">
        <v>82</v>
      </c>
      <c r="B78" t="str">
        <f>IFERROR(_xlfn.XLOOKUP(BUYLIST10[[#This Row],[BGG ID]],bgg_cache[id],bgg_cache[title]),_xlfn.XLOOKUP(BUYLIST10[[#This Row],[BGG ID]],manual_bgg!B:B,manual_bgg!D:D))</f>
        <v>Isle of Skye: From Chieftain to King</v>
      </c>
      <c r="C78" t="e" vm="61">
        <f>_xlfn.IMAGE(_xlfn.XLOOKUP(BUYLIST10[[#This Row],[BGG ID]],bgg_cache[id],bgg_cache[thumbnail_url]),,3,80)</f>
        <v>#VALUE!</v>
      </c>
      <c r="D78">
        <v>176494</v>
      </c>
      <c r="E78" t="str">
        <f>_xlfn.XLOOKUP(BUYLIST10[[#This Row],[BGG ID]],STOREURL[BGG ID],STOREURL[STATUS])</f>
        <v>AVAILABLE</v>
      </c>
      <c r="F78">
        <f>_xlfn.XLOOKUP(BUYLIST10[[#This Row],[BGG ID]],STOREURL[BGG ID],STOREURL[LPG_RRP])</f>
        <v>129.99</v>
      </c>
      <c r="G78">
        <f>_xlfn.XLOOKUP(BUYLIST10[[#This Row],[NAME]],summary_prices[game],summary_prices[site_low_nzd])</f>
        <v>89.99</v>
      </c>
      <c r="H78">
        <f>_xlfn.XLOOKUP(BUYLIST10[[#This Row],[NAME]],summary_prices[game],summary_prices[site_mean_nzd])</f>
        <v>96.16</v>
      </c>
      <c r="I78">
        <f>_xlfn.XLOOKUP(BUYLIST10[[#This Row],[NAME]],summary_prices[game],summary_prices[best_in_stock_nzd])</f>
        <v>89.99</v>
      </c>
      <c r="J78">
        <f>IFERROR(_xlfn.XLOOKUP(BUYLIST10[[#This Row],[NAME]],summary_prices[game],summary_prices[discount_pct_vs_site_mean]),-99)</f>
        <v>6.42</v>
      </c>
      <c r="K78">
        <f>_xlfn.XLOOKUP(BUYLIST10[[#This Row],[NAME]],summary_prices[game],summary_prices[delta_vs_site_disc_mean_pp])</f>
        <v>9.9999999999997868E-3</v>
      </c>
      <c r="L78" t="b" cm="1">
        <f t="array" ref="L78">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78" t="str">
        <f>_xlfn.XLOOKUP(BUYLIST10[[#This Row],[NAME]],summary_prices[game],summary_prices[best_in_stock_store])</f>
        <v>Gamersphere</v>
      </c>
      <c r="N78" s="4" t="str">
        <f>HYPERLINK(_xlfn.XLOOKUP(BUYLIST10[[#This Row],[BGG ID]],STOREURL[BGG ID],STOREURL[BGO LINK]))</f>
        <v>https://www.boardgameoracle.com/en-NZ/boardgame/price/BHRQNsUf39/isle-of-skye-from-chieftain-to-king</v>
      </c>
      <c r="O78">
        <f>COUNTIF(OWNED[bgg_id],BUYLIST10[[#This Row],[BGG ID]])</f>
        <v>0</v>
      </c>
      <c r="P78">
        <f>COUNTIF(BUYLIST10[NAME],BUYLIST10[[#This Row],[NAME]])</f>
        <v>1</v>
      </c>
    </row>
    <row r="79" spans="1:16" ht="63.95" hidden="1" customHeight="1" x14ac:dyDescent="0.4">
      <c r="A79" s="6">
        <v>83</v>
      </c>
      <c r="B79" t="str">
        <f>IFERROR(_xlfn.XLOOKUP(BUYLIST10[[#This Row],[BGG ID]],bgg_cache[id],bgg_cache[title]),_xlfn.XLOOKUP(BUYLIST10[[#This Row],[BGG ID]],manual_bgg!B:B,manual_bgg!D:D))</f>
        <v>Istanbul</v>
      </c>
      <c r="C79" t="e" vm="62">
        <f>_xlfn.IMAGE(_xlfn.XLOOKUP(BUYLIST10[[#This Row],[BGG ID]],bgg_cache[id],bgg_cache[thumbnail_url]),,3,80)</f>
        <v>#VALUE!</v>
      </c>
      <c r="D79">
        <v>148949</v>
      </c>
      <c r="E79" t="str">
        <f>_xlfn.XLOOKUP(BUYLIST10[[#This Row],[BGG ID]],STOREURL[BGG ID],STOREURL[STATUS])</f>
        <v>BACK_ORDER</v>
      </c>
      <c r="F79">
        <f>_xlfn.XLOOKUP(BUYLIST10[[#This Row],[BGG ID]],STOREURL[BGG ID],STOREURL[LPG_RRP])</f>
        <v>129.99</v>
      </c>
      <c r="G79">
        <f>_xlfn.XLOOKUP(BUYLIST10[[#This Row],[NAME]],summary_prices[game],summary_prices[site_low_nzd])</f>
        <v>115</v>
      </c>
      <c r="H79">
        <f>_xlfn.XLOOKUP(BUYLIST10[[#This Row],[NAME]],summary_prices[game],summary_prices[site_mean_nzd])</f>
        <v>137.13999999999999</v>
      </c>
      <c r="I79">
        <f>_xlfn.XLOOKUP(BUYLIST10[[#This Row],[NAME]],summary_prices[game],summary_prices[best_in_stock_nzd])</f>
        <v>115</v>
      </c>
      <c r="J79">
        <f>IFERROR(_xlfn.XLOOKUP(BUYLIST10[[#This Row],[NAME]],summary_prices[game],summary_prices[discount_pct_vs_site_mean]),-99)</f>
        <v>16.14</v>
      </c>
      <c r="K79">
        <f>_xlfn.XLOOKUP(BUYLIST10[[#This Row],[NAME]],summary_prices[game],summary_prices[delta_vs_site_disc_mean_pp])</f>
        <v>0</v>
      </c>
      <c r="L79" t="b" cm="1">
        <f t="array" ref="L79">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79" t="str">
        <f>_xlfn.XLOOKUP(BUYLIST10[[#This Row],[NAME]],summary_prices[game],summary_prices[best_in_stock_store])</f>
        <v>Game Centre</v>
      </c>
      <c r="N79" s="4" t="str">
        <f>HYPERLINK(_xlfn.XLOOKUP(BUYLIST10[[#This Row],[BGG ID]],STOREURL[BGG ID],STOREURL[BGO LINK]))</f>
        <v>https://www.boardgameoracle.com/en-NZ/boardgame/price/DMDhmm1Mi0/istanbul-big-box</v>
      </c>
      <c r="O79">
        <f>COUNTIF(OWNED[bgg_id],BUYLIST10[[#This Row],[BGG ID]])</f>
        <v>0</v>
      </c>
      <c r="P79">
        <f>COUNTIF(BUYLIST10[NAME],BUYLIST10[[#This Row],[NAME]])</f>
        <v>1</v>
      </c>
    </row>
    <row r="80" spans="1:16" ht="63.95" hidden="1" customHeight="1" x14ac:dyDescent="0.4">
      <c r="A80" s="6">
        <v>84</v>
      </c>
      <c r="B80" t="str">
        <f>IFERROR(_xlfn.XLOOKUP(BUYLIST10[[#This Row],[BGG ID]],bgg_cache[id],bgg_cache[title]),_xlfn.XLOOKUP(BUYLIST10[[#This Row],[BGG ID]],manual_bgg!B:B,manual_bgg!D:D))</f>
        <v>Hansa Teutonica</v>
      </c>
      <c r="C80" t="e">
        <f>_xlfn.IMAGE(_xlfn.XLOOKUP(BUYLIST10[[#This Row],[BGG ID]],bgg_cache[id],bgg_cache[thumbnail_url]),,3,80)</f>
        <v>#N/A</v>
      </c>
      <c r="D80">
        <v>43015</v>
      </c>
      <c r="E80" t="str">
        <f>_xlfn.XLOOKUP(BUYLIST10[[#This Row],[BGG ID]],STOREURL[BGG ID],STOREURL[STATUS])</f>
        <v>AVAILABLE</v>
      </c>
      <c r="F80">
        <f>_xlfn.XLOOKUP(BUYLIST10[[#This Row],[BGG ID]],STOREURL[BGG ID],STOREURL[LPG_RRP])</f>
        <v>134.99</v>
      </c>
      <c r="G80" t="e">
        <f>_xlfn.XLOOKUP(BUYLIST10[[#This Row],[NAME]],summary_prices[game],summary_prices[site_low_nzd])</f>
        <v>#N/A</v>
      </c>
      <c r="H80" t="e">
        <f>_xlfn.XLOOKUP(BUYLIST10[[#This Row],[NAME]],summary_prices[game],summary_prices[site_mean_nzd])</f>
        <v>#N/A</v>
      </c>
      <c r="I80" t="e">
        <f>_xlfn.XLOOKUP(BUYLIST10[[#This Row],[NAME]],summary_prices[game],summary_prices[best_in_stock_nzd])</f>
        <v>#N/A</v>
      </c>
      <c r="J80">
        <f>IFERROR(_xlfn.XLOOKUP(BUYLIST10[[#This Row],[NAME]],summary_prices[game],summary_prices[discount_pct_vs_site_mean]),-99)</f>
        <v>-99</v>
      </c>
      <c r="K80" t="e">
        <f>_xlfn.XLOOKUP(BUYLIST10[[#This Row],[NAME]],summary_prices[game],summary_prices[delta_vs_site_disc_mean_pp])</f>
        <v>#N/A</v>
      </c>
      <c r="L80" t="b" cm="1">
        <f t="array" ref="L80">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80" t="e">
        <f>_xlfn.XLOOKUP(BUYLIST10[[#This Row],[NAME]],summary_prices[game],summary_prices[best_in_stock_store])</f>
        <v>#N/A</v>
      </c>
      <c r="N80" s="4" t="str">
        <f>HYPERLINK(_xlfn.XLOOKUP(BUYLIST10[[#This Row],[BGG ID]],STOREURL[BGG ID],STOREURL[BGO LINK]))</f>
        <v/>
      </c>
      <c r="O80">
        <f>COUNTIF(OWNED[bgg_id],BUYLIST10[[#This Row],[BGG ID]])</f>
        <v>0</v>
      </c>
      <c r="P80">
        <f>COUNTIF(BUYLIST10[NAME],BUYLIST10[[#This Row],[NAME]])</f>
        <v>1</v>
      </c>
    </row>
    <row r="81" spans="1:16" ht="63.95" hidden="1" customHeight="1" x14ac:dyDescent="0.4">
      <c r="A81" s="6">
        <v>85</v>
      </c>
      <c r="B81" t="str">
        <f>IFERROR(_xlfn.XLOOKUP(BUYLIST10[[#This Row],[BGG ID]],bgg_cache[id],bgg_cache[title]),_xlfn.XLOOKUP(BUYLIST10[[#This Row],[BGG ID]],manual_bgg!B:B,manual_bgg!D:D))</f>
        <v>Azul: Queen's Garden</v>
      </c>
      <c r="C81" t="e" vm="63">
        <f>_xlfn.IMAGE(_xlfn.XLOOKUP(BUYLIST10[[#This Row],[BGG ID]],bgg_cache[id],bgg_cache[thumbnail_url]),,3,80)</f>
        <v>#VALUE!</v>
      </c>
      <c r="D81">
        <v>346965</v>
      </c>
      <c r="E81" t="str">
        <f>_xlfn.XLOOKUP(BUYLIST10[[#This Row],[BGG ID]],STOREURL[BGG ID],STOREURL[STATUS])</f>
        <v>NOT_FOUND</v>
      </c>
      <c r="F81">
        <f>_xlfn.XLOOKUP(BUYLIST10[[#This Row],[BGG ID]],STOREURL[BGG ID],STOREURL[LPG_RRP])</f>
        <v>0</v>
      </c>
      <c r="G81">
        <f>_xlfn.XLOOKUP(BUYLIST10[[#This Row],[NAME]],summary_prices[game],summary_prices[site_low_nzd])</f>
        <v>52.67</v>
      </c>
      <c r="H81">
        <f>_xlfn.XLOOKUP(BUYLIST10[[#This Row],[NAME]],summary_prices[game],summary_prices[site_mean_nzd])</f>
        <v>74.150000000000006</v>
      </c>
      <c r="I81">
        <f>_xlfn.XLOOKUP(BUYLIST10[[#This Row],[NAME]],summary_prices[game],summary_prices[best_in_stock_nzd])</f>
        <v>52.85</v>
      </c>
      <c r="J81">
        <f>IFERROR(_xlfn.XLOOKUP(BUYLIST10[[#This Row],[NAME]],summary_prices[game],summary_prices[discount_pct_vs_site_mean]),-99)</f>
        <v>28.73</v>
      </c>
      <c r="K81">
        <f>_xlfn.XLOOKUP(BUYLIST10[[#This Row],[NAME]],summary_prices[game],summary_prices[delta_vs_site_disc_mean_pp])</f>
        <v>-0.23999999999999844</v>
      </c>
      <c r="L81" t="b" cm="1">
        <f t="array" ref="L81">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81" t="str">
        <f>_xlfn.XLOOKUP(BUYLIST10[[#This Row],[NAME]],summary_prices[game],summary_prices[best_in_stock_store])</f>
        <v>Amazon AU</v>
      </c>
      <c r="N81" s="4" t="str">
        <f>HYPERLINK(_xlfn.XLOOKUP(BUYLIST10[[#This Row],[BGG ID]],STOREURL[BGG ID],STOREURL[BGO LINK]))</f>
        <v>https://www.boardgameoracle.com/en-NZ/boardgame/price/Ev6O7JAqLG/azul-queens-garden</v>
      </c>
      <c r="O81">
        <f>COUNTIF(OWNED[bgg_id],BUYLIST10[[#This Row],[BGG ID]])</f>
        <v>0</v>
      </c>
      <c r="P81">
        <f>COUNTIF(BUYLIST10[NAME],BUYLIST10[[#This Row],[NAME]])</f>
        <v>1</v>
      </c>
    </row>
    <row r="82" spans="1:16" ht="63.95" hidden="1" customHeight="1" x14ac:dyDescent="0.4">
      <c r="A82" s="6">
        <v>86</v>
      </c>
      <c r="B82" t="str">
        <f>IFERROR(_xlfn.XLOOKUP(BUYLIST10[[#This Row],[BGG ID]],bgg_cache[id],bgg_cache[title]),_xlfn.XLOOKUP(BUYLIST10[[#This Row],[BGG ID]],manual_bgg!B:B,manual_bgg!D:D))</f>
        <v>Trails</v>
      </c>
      <c r="C82" t="e" vm="64">
        <f>_xlfn.IMAGE(_xlfn.XLOOKUP(BUYLIST10[[#This Row],[BGG ID]],bgg_cache[id],bgg_cache[thumbnail_url]),,3,80)</f>
        <v>#VALUE!</v>
      </c>
      <c r="D82">
        <v>338628</v>
      </c>
      <c r="E82" t="str">
        <f>_xlfn.XLOOKUP(BUYLIST10[[#This Row],[BGG ID]],STOREURL[BGG ID],STOREURL[STATUS])</f>
        <v>NOT_FOUND</v>
      </c>
      <c r="F82">
        <f>_xlfn.XLOOKUP(BUYLIST10[[#This Row],[BGG ID]],STOREURL[BGG ID],STOREURL[LPG_RRP])</f>
        <v>0</v>
      </c>
      <c r="G82">
        <f>_xlfn.XLOOKUP(BUYLIST10[[#This Row],[NAME]],summary_prices[game],summary_prices[site_low_nzd])</f>
        <v>39.93</v>
      </c>
      <c r="H82">
        <f>_xlfn.XLOOKUP(BUYLIST10[[#This Row],[NAME]],summary_prices[game],summary_prices[site_mean_nzd])</f>
        <v>44.63</v>
      </c>
      <c r="I82">
        <f>_xlfn.XLOOKUP(BUYLIST10[[#This Row],[NAME]],summary_prices[game],summary_prices[best_in_stock_nzd])</f>
        <v>40.159999999999997</v>
      </c>
      <c r="J82">
        <f>IFERROR(_xlfn.XLOOKUP(BUYLIST10[[#This Row],[NAME]],summary_prices[game],summary_prices[discount_pct_vs_site_mean]),-99)</f>
        <v>10.02</v>
      </c>
      <c r="K82">
        <f>_xlfn.XLOOKUP(BUYLIST10[[#This Row],[NAME]],summary_prices[game],summary_prices[delta_vs_site_disc_mean_pp])</f>
        <v>-0.50999999999999979</v>
      </c>
      <c r="L82" t="b" cm="1">
        <f t="array" ref="L82">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82" t="str">
        <f>_xlfn.XLOOKUP(BUYLIST10[[#This Row],[NAME]],summary_prices[game],summary_prices[best_in_stock_store])</f>
        <v>Gameology</v>
      </c>
      <c r="N82" s="4" t="str">
        <f>HYPERLINK(_xlfn.XLOOKUP(BUYLIST10[[#This Row],[BGG ID]],STOREURL[BGG ID],STOREURL[BGO LINK]))</f>
        <v>https://www.boardgameoracle.com/en-NZ/boardgame/price/ymB8oJ6uyX/trails</v>
      </c>
      <c r="O82">
        <f>COUNTIF(OWNED[bgg_id],BUYLIST10[[#This Row],[BGG ID]])</f>
        <v>0</v>
      </c>
      <c r="P82">
        <f>COUNTIF(BUYLIST10[NAME],BUYLIST10[[#This Row],[NAME]])</f>
        <v>1</v>
      </c>
    </row>
    <row r="83" spans="1:16" ht="63.95" hidden="1" customHeight="1" x14ac:dyDescent="0.4">
      <c r="A83" s="6">
        <v>87</v>
      </c>
      <c r="B83" t="str">
        <f>IFERROR(_xlfn.XLOOKUP(BUYLIST10[[#This Row],[BGG ID]],bgg_cache[id],bgg_cache[title]),_xlfn.XLOOKUP(BUYLIST10[[#This Row],[BGG ID]],manual_bgg!B:B,manual_bgg!D:D))</f>
        <v>The Resistance: Avalon</v>
      </c>
      <c r="C83" t="e" vm="65">
        <f>_xlfn.IMAGE(_xlfn.XLOOKUP(BUYLIST10[[#This Row],[BGG ID]],bgg_cache[id],bgg_cache[thumbnail_url]),,3,80)</f>
        <v>#VALUE!</v>
      </c>
      <c r="D83">
        <v>128882</v>
      </c>
      <c r="E83" t="str">
        <f>_xlfn.XLOOKUP(BUYLIST10[[#This Row],[BGG ID]],STOREURL[BGG ID],STOREURL[STATUS])</f>
        <v>AVAILABLE</v>
      </c>
      <c r="F83">
        <f>_xlfn.XLOOKUP(BUYLIST10[[#This Row],[BGG ID]],STOREURL[BGG ID],STOREURL[LPG_RRP])</f>
        <v>59.99</v>
      </c>
      <c r="G83">
        <f>_xlfn.XLOOKUP(BUYLIST10[[#This Row],[NAME]],summary_prices[game],summary_prices[site_low_nzd])</f>
        <v>39.99</v>
      </c>
      <c r="H83">
        <f>_xlfn.XLOOKUP(BUYLIST10[[#This Row],[NAME]],summary_prices[game],summary_prices[site_mean_nzd])</f>
        <v>53.25</v>
      </c>
      <c r="I83">
        <f>_xlfn.XLOOKUP(BUYLIST10[[#This Row],[NAME]],summary_prices[game],summary_prices[best_in_stock_nzd])</f>
        <v>39.99</v>
      </c>
      <c r="J83">
        <f>IFERROR(_xlfn.XLOOKUP(BUYLIST10[[#This Row],[NAME]],summary_prices[game],summary_prices[discount_pct_vs_site_mean]),-99)</f>
        <v>24.9</v>
      </c>
      <c r="K83">
        <f>_xlfn.XLOOKUP(BUYLIST10[[#This Row],[NAME]],summary_prices[game],summary_prices[delta_vs_site_disc_mean_pp])</f>
        <v>0</v>
      </c>
      <c r="L83" t="b" cm="1">
        <f t="array" ref="L83">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83" t="str">
        <f>_xlfn.XLOOKUP(BUYLIST10[[#This Row],[NAME]],summary_prices[game],summary_prices[best_in_stock_store])</f>
        <v>Pop Stop</v>
      </c>
      <c r="N83" s="4" t="str">
        <f>HYPERLINK(_xlfn.XLOOKUP(BUYLIST10[[#This Row],[BGG ID]],STOREURL[BGG ID],STOREURL[BGO LINK]))</f>
        <v>https://www.boardgameoracle.com/en-NZ/boardgame/price/ItF8JsIfpj/the-resistance-avalon</v>
      </c>
      <c r="O83">
        <f>COUNTIF(OWNED[bgg_id],BUYLIST10[[#This Row],[BGG ID]])</f>
        <v>0</v>
      </c>
      <c r="P83">
        <f>COUNTIF(BUYLIST10[NAME],BUYLIST10[[#This Row],[NAME]])</f>
        <v>1</v>
      </c>
    </row>
    <row r="84" spans="1:16" ht="63.95" hidden="1" customHeight="1" x14ac:dyDescent="0.4">
      <c r="A84" s="6">
        <v>88</v>
      </c>
      <c r="B84" t="str">
        <f>IFERROR(_xlfn.XLOOKUP(BUYLIST10[[#This Row],[BGG ID]],bgg_cache[id],bgg_cache[title]),_xlfn.XLOOKUP(BUYLIST10[[#This Row],[BGG ID]],manual_bgg!B:B,manual_bgg!D:D))</f>
        <v>Burgle Bros.</v>
      </c>
      <c r="C84" t="e">
        <f>_xlfn.IMAGE(_xlfn.XLOOKUP(BUYLIST10[[#This Row],[BGG ID]],bgg_cache[id],bgg_cache[thumbnail_url]),,3,80)</f>
        <v>#N/A</v>
      </c>
      <c r="D84">
        <v>172081</v>
      </c>
      <c r="E84" t="str">
        <f>_xlfn.XLOOKUP(BUYLIST10[[#This Row],[BGG ID]],STOREURL[BGG ID],STOREURL[STATUS])</f>
        <v>NOT_FOUND</v>
      </c>
      <c r="F84">
        <f>_xlfn.XLOOKUP(BUYLIST10[[#This Row],[BGG ID]],STOREURL[BGG ID],STOREURL[LPG_RRP])</f>
        <v>0</v>
      </c>
      <c r="G84">
        <f>_xlfn.XLOOKUP(BUYLIST10[[#This Row],[NAME]],summary_prices[game],summary_prices[site_low_nzd])</f>
        <v>65.430000000000007</v>
      </c>
      <c r="H84">
        <f>_xlfn.XLOOKUP(BUYLIST10[[#This Row],[NAME]],summary_prices[game],summary_prices[site_mean_nzd])</f>
        <v>84.71</v>
      </c>
      <c r="I84">
        <f>_xlfn.XLOOKUP(BUYLIST10[[#This Row],[NAME]],summary_prices[game],summary_prices[best_in_stock_nzd])</f>
        <v>0</v>
      </c>
      <c r="J84">
        <f>IFERROR(_xlfn.XLOOKUP(BUYLIST10[[#This Row],[NAME]],summary_prices[game],summary_prices[discount_pct_vs_site_mean]),-99)</f>
        <v>0</v>
      </c>
      <c r="K84">
        <f>_xlfn.XLOOKUP(BUYLIST10[[#This Row],[NAME]],summary_prices[game],summary_prices[delta_vs_site_disc_mean_pp])</f>
        <v>0</v>
      </c>
      <c r="L84" t="b" cm="1">
        <f t="array" ref="L84">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84" t="str">
        <f>_xlfn.XLOOKUP(BUYLIST10[[#This Row],[NAME]],summary_prices[game],summary_prices[best_in_stock_store])</f>
        <v/>
      </c>
      <c r="N84" s="4" t="str">
        <f>HYPERLINK(_xlfn.XLOOKUP(BUYLIST10[[#This Row],[BGG ID]],STOREURL[BGG ID],STOREURL[BGO LINK]))</f>
        <v>https://www.boardgameoracle.com/en-NZ/boardgame/price/5T2DG9cIrd/burgle-bros</v>
      </c>
      <c r="O84">
        <f>COUNTIF(OWNED[bgg_id],BUYLIST10[[#This Row],[BGG ID]])</f>
        <v>0</v>
      </c>
      <c r="P84">
        <f>COUNTIF(BUYLIST10[NAME],BUYLIST10[[#This Row],[NAME]])</f>
        <v>1</v>
      </c>
    </row>
    <row r="85" spans="1:16" ht="63.95" hidden="1" customHeight="1" x14ac:dyDescent="0.4">
      <c r="A85" s="6">
        <v>89</v>
      </c>
      <c r="B85" t="str">
        <f>IFERROR(_xlfn.XLOOKUP(BUYLIST10[[#This Row],[BGG ID]],bgg_cache[id],bgg_cache[title]),_xlfn.XLOOKUP(BUYLIST10[[#This Row],[BGG ID]],manual_bgg!B:B,manual_bgg!D:D))</f>
        <v>Tiny Epic Galaxies</v>
      </c>
      <c r="C85" t="e">
        <f>_xlfn.IMAGE(_xlfn.XLOOKUP(BUYLIST10[[#This Row],[BGG ID]],bgg_cache[id],bgg_cache[thumbnail_url]),,3,80)</f>
        <v>#N/A</v>
      </c>
      <c r="D85">
        <v>163967</v>
      </c>
      <c r="E85" t="str">
        <f>_xlfn.XLOOKUP(BUYLIST10[[#This Row],[BGG ID]],STOREURL[BGG ID],STOREURL[STATUS])</f>
        <v>BACK_ORDER</v>
      </c>
      <c r="F85">
        <f>_xlfn.XLOOKUP(BUYLIST10[[#This Row],[BGG ID]],STOREURL[BGG ID],STOREURL[LPG_RRP])</f>
        <v>64.989999999999995</v>
      </c>
      <c r="G85" t="e">
        <f>_xlfn.XLOOKUP(BUYLIST10[[#This Row],[NAME]],summary_prices[game],summary_prices[site_low_nzd])</f>
        <v>#N/A</v>
      </c>
      <c r="H85" t="e">
        <f>_xlfn.XLOOKUP(BUYLIST10[[#This Row],[NAME]],summary_prices[game],summary_prices[site_mean_nzd])</f>
        <v>#N/A</v>
      </c>
      <c r="I85" t="e">
        <f>_xlfn.XLOOKUP(BUYLIST10[[#This Row],[NAME]],summary_prices[game],summary_prices[best_in_stock_nzd])</f>
        <v>#N/A</v>
      </c>
      <c r="J85">
        <f>IFERROR(_xlfn.XLOOKUP(BUYLIST10[[#This Row],[NAME]],summary_prices[game],summary_prices[discount_pct_vs_site_mean]),-99)</f>
        <v>-99</v>
      </c>
      <c r="K85" t="e">
        <f>_xlfn.XLOOKUP(BUYLIST10[[#This Row],[NAME]],summary_prices[game],summary_prices[delta_vs_site_disc_mean_pp])</f>
        <v>#N/A</v>
      </c>
      <c r="L85" t="b" cm="1">
        <f t="array" ref="L85">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85" t="e">
        <f>_xlfn.XLOOKUP(BUYLIST10[[#This Row],[NAME]],summary_prices[game],summary_prices[best_in_stock_store])</f>
        <v>#N/A</v>
      </c>
      <c r="N85" s="4" t="str">
        <f>HYPERLINK(_xlfn.XLOOKUP(BUYLIST10[[#This Row],[BGG ID]],STOREURL[BGG ID],STOREURL[BGO LINK]))</f>
        <v/>
      </c>
      <c r="O85">
        <f>COUNTIF(OWNED[bgg_id],BUYLIST10[[#This Row],[BGG ID]])</f>
        <v>0</v>
      </c>
      <c r="P85">
        <f>COUNTIF(BUYLIST10[NAME],BUYLIST10[[#This Row],[NAME]])</f>
        <v>1</v>
      </c>
    </row>
    <row r="86" spans="1:16" ht="63.95" hidden="1" customHeight="1" x14ac:dyDescent="0.4">
      <c r="A86" s="6">
        <v>90</v>
      </c>
      <c r="B86" t="str">
        <f>IFERROR(_xlfn.XLOOKUP(BUYLIST10[[#This Row],[BGG ID]],bgg_cache[id],bgg_cache[title]),_xlfn.XLOOKUP(BUYLIST10[[#This Row],[BGG ID]],manual_bgg!B:B,manual_bgg!D:D))</f>
        <v>PARKS: Nightfall</v>
      </c>
      <c r="C86" t="e" vm="66">
        <f>_xlfn.IMAGE(_xlfn.XLOOKUP(BUYLIST10[[#This Row],[BGG ID]],bgg_cache[id],bgg_cache[thumbnail_url]),,3,80)</f>
        <v>#VALUE!</v>
      </c>
      <c r="D86">
        <v>298729</v>
      </c>
      <c r="E86" t="str">
        <f>_xlfn.XLOOKUP(BUYLIST10[[#This Row],[BGG ID]],STOREURL[BGG ID],STOREURL[STATUS])</f>
        <v>NOT_FOUND</v>
      </c>
      <c r="F86">
        <f>_xlfn.XLOOKUP(BUYLIST10[[#This Row],[BGG ID]],STOREURL[BGG ID],STOREURL[LPG_RRP])</f>
        <v>0</v>
      </c>
      <c r="G86">
        <f>_xlfn.XLOOKUP(BUYLIST10[[#This Row],[NAME]],summary_prices[game],summary_prices[site_low_nzd])</f>
        <v>49.99</v>
      </c>
      <c r="H86">
        <f>_xlfn.XLOOKUP(BUYLIST10[[#This Row],[NAME]],summary_prices[game],summary_prices[site_mean_nzd])</f>
        <v>49.99</v>
      </c>
      <c r="I86">
        <f>_xlfn.XLOOKUP(BUYLIST10[[#This Row],[NAME]],summary_prices[game],summary_prices[best_in_stock_nzd])</f>
        <v>49.99</v>
      </c>
      <c r="J86">
        <f>IFERROR(_xlfn.XLOOKUP(BUYLIST10[[#This Row],[NAME]],summary_prices[game],summary_prices[discount_pct_vs_site_mean]),-99)</f>
        <v>0</v>
      </c>
      <c r="K86">
        <f>_xlfn.XLOOKUP(BUYLIST10[[#This Row],[NAME]],summary_prices[game],summary_prices[delta_vs_site_disc_mean_pp])</f>
        <v>0</v>
      </c>
      <c r="L86" t="b" cm="1">
        <f t="array" ref="L86">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86" t="str">
        <f>_xlfn.XLOOKUP(BUYLIST10[[#This Row],[NAME]],summary_prices[game],summary_prices[best_in_stock_store])</f>
        <v>Scorpio Books</v>
      </c>
      <c r="N86" s="4" t="str">
        <f>HYPERLINK(_xlfn.XLOOKUP(BUYLIST10[[#This Row],[BGG ID]],STOREURL[BGG ID],STOREURL[BGO LINK]))</f>
        <v>https://www.boardgameoracle.com/en-NZ/boardgame/price/z3pagk2sas/parks-nightfall-expansion</v>
      </c>
      <c r="O86">
        <f>COUNTIF(OWNED[bgg_id],BUYLIST10[[#This Row],[BGG ID]])</f>
        <v>0</v>
      </c>
      <c r="P86">
        <f>COUNTIF(BUYLIST10[NAME],BUYLIST10[[#This Row],[NAME]])</f>
        <v>1</v>
      </c>
    </row>
    <row r="87" spans="1:16" ht="63.95" hidden="1" customHeight="1" x14ac:dyDescent="0.4">
      <c r="A87" s="6">
        <v>91</v>
      </c>
      <c r="B87" t="str">
        <f>IFERROR(_xlfn.XLOOKUP(BUYLIST10[[#This Row],[BGG ID]],bgg_cache[id],bgg_cache[title]),_xlfn.XLOOKUP(BUYLIST10[[#This Row],[BGG ID]],manual_bgg!B:B,manual_bgg!D:D))</f>
        <v>Viticulture: Tuscany Essential Edition</v>
      </c>
      <c r="C87" t="e">
        <f>_xlfn.IMAGE(_xlfn.XLOOKUP(BUYLIST10[[#This Row],[BGG ID]],bgg_cache[id],bgg_cache[thumbnail_url]),,3,80)</f>
        <v>#N/A</v>
      </c>
      <c r="D87">
        <v>202174</v>
      </c>
      <c r="E87" t="str">
        <f>_xlfn.XLOOKUP(BUYLIST10[[#This Row],[BGG ID]],STOREURL[BGG ID],STOREURL[STATUS])</f>
        <v>BACK_ORDER</v>
      </c>
      <c r="F87">
        <f>_xlfn.XLOOKUP(BUYLIST10[[#This Row],[BGG ID]],STOREURL[BGG ID],STOREURL[LPG_RRP])</f>
        <v>79.989999999999995</v>
      </c>
      <c r="G87" t="e">
        <f>_xlfn.XLOOKUP(BUYLIST10[[#This Row],[NAME]],summary_prices[game],summary_prices[site_low_nzd])</f>
        <v>#N/A</v>
      </c>
      <c r="H87" t="e">
        <f>_xlfn.XLOOKUP(BUYLIST10[[#This Row],[NAME]],summary_prices[game],summary_prices[site_mean_nzd])</f>
        <v>#N/A</v>
      </c>
      <c r="I87" t="e">
        <f>_xlfn.XLOOKUP(BUYLIST10[[#This Row],[NAME]],summary_prices[game],summary_prices[best_in_stock_nzd])</f>
        <v>#N/A</v>
      </c>
      <c r="J87">
        <f>IFERROR(_xlfn.XLOOKUP(BUYLIST10[[#This Row],[NAME]],summary_prices[game],summary_prices[discount_pct_vs_site_mean]),-99)</f>
        <v>-99</v>
      </c>
      <c r="K87" t="e">
        <f>_xlfn.XLOOKUP(BUYLIST10[[#This Row],[NAME]],summary_prices[game],summary_prices[delta_vs_site_disc_mean_pp])</f>
        <v>#N/A</v>
      </c>
      <c r="L87" t="b" cm="1">
        <f t="array" ref="L87">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87" t="e">
        <f>_xlfn.XLOOKUP(BUYLIST10[[#This Row],[NAME]],summary_prices[game],summary_prices[best_in_stock_store])</f>
        <v>#N/A</v>
      </c>
      <c r="N87" s="16" t="str">
        <f>HYPERLINK(_xlfn.XLOOKUP(BUYLIST10[[#This Row],[BGG ID]],STOREURL[BGG ID],STOREURL[BGO LINK]))</f>
        <v/>
      </c>
      <c r="O87">
        <f>COUNTIF(OWNED[bgg_id],BUYLIST10[[#This Row],[BGG ID]])</f>
        <v>0</v>
      </c>
      <c r="P87">
        <f>COUNTIF(BUYLIST10[NAME],BUYLIST10[[#This Row],[NAME]])</f>
        <v>1</v>
      </c>
    </row>
    <row r="88" spans="1:16" ht="63.95" hidden="1" customHeight="1" x14ac:dyDescent="0.4">
      <c r="A88" s="6">
        <v>92</v>
      </c>
      <c r="B88" t="str">
        <f>IFERROR(_xlfn.XLOOKUP(BUYLIST10[[#This Row],[BGG ID]],bgg_cache[id],bgg_cache[title]),_xlfn.XLOOKUP(BUYLIST10[[#This Row],[BGG ID]],manual_bgg!B:B,manual_bgg!D:D))</f>
        <v>Dice Throne: Season One</v>
      </c>
      <c r="C88" t="e">
        <f>_xlfn.IMAGE(_xlfn.XLOOKUP(BUYLIST10[[#This Row],[BGG ID]],bgg_cache[id],bgg_cache[thumbnail_url]),,3,80)</f>
        <v>#N/A</v>
      </c>
      <c r="D88">
        <v>216734</v>
      </c>
      <c r="E88" t="str">
        <f>_xlfn.XLOOKUP(BUYLIST10[[#This Row],[BGG ID]],STOREURL[BGG ID],STOREURL[STATUS])</f>
        <v>AVAILABLE</v>
      </c>
      <c r="F88">
        <f>_xlfn.XLOOKUP(BUYLIST10[[#This Row],[BGG ID]],STOREURL[BGG ID],STOREURL[LPG_RRP])</f>
        <v>69.989999999999995</v>
      </c>
      <c r="G88" t="e">
        <f>_xlfn.XLOOKUP(BUYLIST10[[#This Row],[NAME]],summary_prices[game],summary_prices[site_low_nzd])</f>
        <v>#N/A</v>
      </c>
      <c r="H88" t="e">
        <f>_xlfn.XLOOKUP(BUYLIST10[[#This Row],[NAME]],summary_prices[game],summary_prices[site_mean_nzd])</f>
        <v>#N/A</v>
      </c>
      <c r="I88" t="e">
        <f>_xlfn.XLOOKUP(BUYLIST10[[#This Row],[NAME]],summary_prices[game],summary_prices[best_in_stock_nzd])</f>
        <v>#N/A</v>
      </c>
      <c r="J88">
        <f>IFERROR(_xlfn.XLOOKUP(BUYLIST10[[#This Row],[NAME]],summary_prices[game],summary_prices[discount_pct_vs_site_mean]),-99)</f>
        <v>-99</v>
      </c>
      <c r="K88" t="e">
        <f>_xlfn.XLOOKUP(BUYLIST10[[#This Row],[NAME]],summary_prices[game],summary_prices[delta_vs_site_disc_mean_pp])</f>
        <v>#N/A</v>
      </c>
      <c r="L88" t="b" cm="1">
        <f t="array" ref="L88">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88" t="e">
        <f>_xlfn.XLOOKUP(BUYLIST10[[#This Row],[NAME]],summary_prices[game],summary_prices[best_in_stock_store])</f>
        <v>#N/A</v>
      </c>
      <c r="N88" s="16" t="str">
        <f>HYPERLINK(_xlfn.XLOOKUP(BUYLIST10[[#This Row],[BGG ID]],STOREURL[BGG ID],STOREURL[BGO LINK]))</f>
        <v/>
      </c>
      <c r="O88">
        <f>COUNTIF(OWNED[bgg_id],BUYLIST10[[#This Row],[BGG ID]])</f>
        <v>0</v>
      </c>
      <c r="P88">
        <f>COUNTIF(BUYLIST10[NAME],BUYLIST10[[#This Row],[NAME]])</f>
        <v>1</v>
      </c>
    </row>
    <row r="89" spans="1:16" ht="63.95" hidden="1" customHeight="1" x14ac:dyDescent="0.4">
      <c r="A89" s="6">
        <v>93</v>
      </c>
      <c r="B89" t="str">
        <f>IFERROR(_xlfn.XLOOKUP(BUYLIST10[[#This Row],[BGG ID]],bgg_cache[id],bgg_cache[title]),_xlfn.XLOOKUP(BUYLIST10[[#This Row],[BGG ID]],manual_bgg!B:B,manual_bgg!D:D))</f>
        <v>Clank! In! Space!</v>
      </c>
      <c r="C89" t="e">
        <f>_xlfn.IMAGE(_xlfn.XLOOKUP(BUYLIST10[[#This Row],[BGG ID]],bgg_cache[id],bgg_cache[thumbnail_url]),,3,80)</f>
        <v>#N/A</v>
      </c>
      <c r="D89">
        <v>233371</v>
      </c>
      <c r="E89" t="str">
        <f>_xlfn.XLOOKUP(BUYLIST10[[#This Row],[BGG ID]],STOREURL[BGG ID],STOREURL[STATUS])</f>
        <v>AVAILABLE</v>
      </c>
      <c r="F89">
        <f>_xlfn.XLOOKUP(BUYLIST10[[#This Row],[BGG ID]],STOREURL[BGG ID],STOREURL[LPG_RRP])</f>
        <v>134.99</v>
      </c>
      <c r="G89" t="e">
        <f>_xlfn.XLOOKUP(BUYLIST10[[#This Row],[NAME]],summary_prices[game],summary_prices[site_low_nzd])</f>
        <v>#N/A</v>
      </c>
      <c r="H89" t="e">
        <f>_xlfn.XLOOKUP(BUYLIST10[[#This Row],[NAME]],summary_prices[game],summary_prices[site_mean_nzd])</f>
        <v>#N/A</v>
      </c>
      <c r="I89" t="e">
        <f>_xlfn.XLOOKUP(BUYLIST10[[#This Row],[NAME]],summary_prices[game],summary_prices[best_in_stock_nzd])</f>
        <v>#N/A</v>
      </c>
      <c r="J89">
        <f>IFERROR(_xlfn.XLOOKUP(BUYLIST10[[#This Row],[NAME]],summary_prices[game],summary_prices[discount_pct_vs_site_mean]),-99)</f>
        <v>-99</v>
      </c>
      <c r="K89" t="e">
        <f>_xlfn.XLOOKUP(BUYLIST10[[#This Row],[NAME]],summary_prices[game],summary_prices[delta_vs_site_disc_mean_pp])</f>
        <v>#N/A</v>
      </c>
      <c r="L89" t="b" cm="1">
        <f t="array" ref="L89">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89" t="e">
        <f>_xlfn.XLOOKUP(BUYLIST10[[#This Row],[NAME]],summary_prices[game],summary_prices[best_in_stock_store])</f>
        <v>#N/A</v>
      </c>
      <c r="N89" s="16" t="str">
        <f>HYPERLINK(_xlfn.XLOOKUP(BUYLIST10[[#This Row],[BGG ID]],STOREURL[BGG ID],STOREURL[BGO LINK]))</f>
        <v/>
      </c>
      <c r="O89">
        <f>COUNTIF(OWNED[bgg_id],BUYLIST10[[#This Row],[BGG ID]])</f>
        <v>0</v>
      </c>
      <c r="P89">
        <f>COUNTIF(BUYLIST10[NAME],BUYLIST10[[#This Row],[NAME]])</f>
        <v>1</v>
      </c>
    </row>
    <row r="90" spans="1:16" ht="63.95" hidden="1" customHeight="1" x14ac:dyDescent="0.4">
      <c r="A90" s="6">
        <v>94</v>
      </c>
      <c r="B90" t="str">
        <f>IFERROR(_xlfn.XLOOKUP(BUYLIST10[[#This Row],[BGG ID]],bgg_cache[id],bgg_cache[title]),_xlfn.XLOOKUP(BUYLIST10[[#This Row],[BGG ID]],manual_bgg!B:B,manual_bgg!D:D))</f>
        <v>Cat Lady</v>
      </c>
      <c r="C90" t="e">
        <f>_xlfn.IMAGE(_xlfn.XLOOKUP(BUYLIST10[[#This Row],[BGG ID]],bgg_cache[id],bgg_cache[thumbnail_url]),,3,80)</f>
        <v>#N/A</v>
      </c>
      <c r="D90">
        <v>223040</v>
      </c>
      <c r="E90" t="str">
        <f>_xlfn.XLOOKUP(BUYLIST10[[#This Row],[BGG ID]],STOREURL[BGG ID],STOREURL[STATUS])</f>
        <v>AVAILABLE</v>
      </c>
      <c r="F90">
        <f>_xlfn.XLOOKUP(BUYLIST10[[#This Row],[BGG ID]],STOREURL[BGG ID],STOREURL[LPG_RRP])</f>
        <v>64.989999999999995</v>
      </c>
      <c r="G90" t="e">
        <f>_xlfn.XLOOKUP(BUYLIST10[[#This Row],[NAME]],summary_prices[game],summary_prices[site_low_nzd])</f>
        <v>#N/A</v>
      </c>
      <c r="H90" t="e">
        <f>_xlfn.XLOOKUP(BUYLIST10[[#This Row],[NAME]],summary_prices[game],summary_prices[site_mean_nzd])</f>
        <v>#N/A</v>
      </c>
      <c r="I90" t="e">
        <f>_xlfn.XLOOKUP(BUYLIST10[[#This Row],[NAME]],summary_prices[game],summary_prices[best_in_stock_nzd])</f>
        <v>#N/A</v>
      </c>
      <c r="J90">
        <f>IFERROR(_xlfn.XLOOKUP(BUYLIST10[[#This Row],[NAME]],summary_prices[game],summary_prices[discount_pct_vs_site_mean]),-99)</f>
        <v>-99</v>
      </c>
      <c r="K90" t="e">
        <f>_xlfn.XLOOKUP(BUYLIST10[[#This Row],[NAME]],summary_prices[game],summary_prices[delta_vs_site_disc_mean_pp])</f>
        <v>#N/A</v>
      </c>
      <c r="L90" t="b" cm="1">
        <f t="array" ref="L90">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90" t="e">
        <f>_xlfn.XLOOKUP(BUYLIST10[[#This Row],[NAME]],summary_prices[game],summary_prices[best_in_stock_store])</f>
        <v>#N/A</v>
      </c>
      <c r="N90" s="16" t="str">
        <f>HYPERLINK(_xlfn.XLOOKUP(BUYLIST10[[#This Row],[BGG ID]],STOREURL[BGG ID],STOREURL[BGO LINK]))</f>
        <v/>
      </c>
      <c r="O90">
        <f>COUNTIF(OWNED[bgg_id],BUYLIST10[[#This Row],[BGG ID]])</f>
        <v>0</v>
      </c>
      <c r="P90">
        <f>COUNTIF(BUYLIST10[NAME],BUYLIST10[[#This Row],[NAME]])</f>
        <v>1</v>
      </c>
    </row>
    <row r="91" spans="1:16" ht="63.95" hidden="1" customHeight="1" x14ac:dyDescent="0.4">
      <c r="A91" s="6">
        <v>95</v>
      </c>
      <c r="B91" t="str">
        <f>IFERROR(_xlfn.XLOOKUP(BUYLIST10[[#This Row],[BGG ID]],bgg_cache[id],bgg_cache[title]),_xlfn.XLOOKUP(BUYLIST10[[#This Row],[BGG ID]],manual_bgg!B:B,manual_bgg!D:D))</f>
        <v>Noctiluca</v>
      </c>
      <c r="C91" t="e">
        <f>_xlfn.IMAGE(_xlfn.XLOOKUP(BUYLIST10[[#This Row],[BGG ID]],bgg_cache[id],bgg_cache[thumbnail_url]),,3,80)</f>
        <v>#N/A</v>
      </c>
      <c r="D91">
        <v>269752</v>
      </c>
      <c r="E91" t="str">
        <f>_xlfn.XLOOKUP(BUYLIST10[[#This Row],[BGG ID]],STOREURL[BGG ID],STOREURL[STATUS])</f>
        <v>NOT_FOUND</v>
      </c>
      <c r="F91">
        <f>_xlfn.XLOOKUP(BUYLIST10[[#This Row],[BGG ID]],STOREURL[BGG ID],STOREURL[LPG_RRP])</f>
        <v>0</v>
      </c>
      <c r="G91">
        <f>_xlfn.XLOOKUP(BUYLIST10[[#This Row],[NAME]],summary_prices[game],summary_prices[site_low_nzd])</f>
        <v>74.900000000000006</v>
      </c>
      <c r="H91">
        <f>_xlfn.XLOOKUP(BUYLIST10[[#This Row],[NAME]],summary_prices[game],summary_prices[site_mean_nzd])</f>
        <v>77.45</v>
      </c>
      <c r="I91">
        <f>_xlfn.XLOOKUP(BUYLIST10[[#This Row],[NAME]],summary_prices[game],summary_prices[best_in_stock_nzd])</f>
        <v>74.900000000000006</v>
      </c>
      <c r="J91">
        <f>IFERROR(_xlfn.XLOOKUP(BUYLIST10[[#This Row],[NAME]],summary_prices[game],summary_prices[discount_pct_vs_site_mean]),-99)</f>
        <v>3.29</v>
      </c>
      <c r="K91">
        <f>_xlfn.XLOOKUP(BUYLIST10[[#This Row],[NAME]],summary_prices[game],summary_prices[delta_vs_site_disc_mean_pp])</f>
        <v>0</v>
      </c>
      <c r="L91" t="b" cm="1">
        <f t="array" ref="L91">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91" t="str">
        <f>_xlfn.XLOOKUP(BUYLIST10[[#This Row],[NAME]],summary_prices[game],summary_prices[best_in_stock_store])</f>
        <v>Vagabond</v>
      </c>
      <c r="N91" s="16" t="str">
        <f>HYPERLINK(_xlfn.XLOOKUP(BUYLIST10[[#This Row],[BGG ID]],STOREURL[BGG ID],STOREURL[BGO LINK]))</f>
        <v>https://www.boardgameoracle.com/en-NZ/boardgame/price/l5rOiw0rWO/noctiluca</v>
      </c>
      <c r="O91">
        <f>COUNTIF(OWNED[bgg_id],BUYLIST10[[#This Row],[BGG ID]])</f>
        <v>0</v>
      </c>
      <c r="P91">
        <f>COUNTIF(BUYLIST10[NAME],BUYLIST10[[#This Row],[NAME]])</f>
        <v>1</v>
      </c>
    </row>
    <row r="92" spans="1:16" ht="63.95" hidden="1" customHeight="1" x14ac:dyDescent="0.4">
      <c r="A92" s="6">
        <v>96</v>
      </c>
      <c r="B92" t="str">
        <f>IFERROR(_xlfn.XLOOKUP(BUYLIST10[[#This Row],[BGG ID]],bgg_cache[id],bgg_cache[title]),_xlfn.XLOOKUP(BUYLIST10[[#This Row],[BGG ID]],manual_bgg!B:B,manual_bgg!D:D))</f>
        <v>The Bloody Inn</v>
      </c>
      <c r="C92" t="e">
        <f>_xlfn.IMAGE(_xlfn.XLOOKUP(BUYLIST10[[#This Row],[BGG ID]],bgg_cache[id],bgg_cache[thumbnail_url]),,3,80)</f>
        <v>#N/A</v>
      </c>
      <c r="D92">
        <v>180593</v>
      </c>
      <c r="E92" t="str">
        <f>_xlfn.XLOOKUP(BUYLIST10[[#This Row],[BGG ID]],STOREURL[BGG ID],STOREURL[STATUS])</f>
        <v>NOT_FOUND</v>
      </c>
      <c r="F92">
        <f>_xlfn.XLOOKUP(BUYLIST10[[#This Row],[BGG ID]],STOREURL[BGG ID],STOREURL[LPG_RRP])</f>
        <v>0</v>
      </c>
      <c r="G92">
        <f>_xlfn.XLOOKUP(BUYLIST10[[#This Row],[NAME]],summary_prices[game],summary_prices[site_low_nzd])</f>
        <v>61.63</v>
      </c>
      <c r="H92">
        <f>_xlfn.XLOOKUP(BUYLIST10[[#This Row],[NAME]],summary_prices[game],summary_prices[site_mean_nzd])</f>
        <v>63.1</v>
      </c>
      <c r="I92">
        <f>_xlfn.XLOOKUP(BUYLIST10[[#This Row],[NAME]],summary_prices[game],summary_prices[best_in_stock_nzd])</f>
        <v>61.99</v>
      </c>
      <c r="J92">
        <f>IFERROR(_xlfn.XLOOKUP(BUYLIST10[[#This Row],[NAME]],summary_prices[game],summary_prices[discount_pct_vs_site_mean]),-99)</f>
        <v>1.76</v>
      </c>
      <c r="K92">
        <f>_xlfn.XLOOKUP(BUYLIST10[[#This Row],[NAME]],summary_prices[game],summary_prices[delta_vs_site_disc_mean_pp])</f>
        <v>-0.57000000000000006</v>
      </c>
      <c r="L92" t="b" cm="1">
        <f t="array" ref="L92">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92" t="str">
        <f>_xlfn.XLOOKUP(BUYLIST10[[#This Row],[NAME]],summary_prices[game],summary_prices[best_in_stock_store])</f>
        <v>Gameology</v>
      </c>
      <c r="N92" s="16" t="str">
        <f>HYPERLINK(_xlfn.XLOOKUP(BUYLIST10[[#This Row],[BGG ID]],STOREURL[BGG ID],STOREURL[BGO LINK]))</f>
        <v>https://www.boardgameoracle.com/en-NZ/boardgame/price/KZdLev9-7v/the-bloody-inn</v>
      </c>
      <c r="O92">
        <f>COUNTIF(OWNED[bgg_id],BUYLIST10[[#This Row],[BGG ID]])</f>
        <v>0</v>
      </c>
      <c r="P92">
        <f>COUNTIF(BUYLIST10[NAME],BUYLIST10[[#This Row],[NAME]])</f>
        <v>1</v>
      </c>
    </row>
    <row r="93" spans="1:16" ht="63.95" hidden="1" customHeight="1" x14ac:dyDescent="0.4">
      <c r="A93" s="6">
        <v>97</v>
      </c>
      <c r="B93" t="str">
        <f>IFERROR(_xlfn.XLOOKUP(BUYLIST10[[#This Row],[BGG ID]],bgg_cache[id],bgg_cache[title]),_xlfn.XLOOKUP(BUYLIST10[[#This Row],[BGG ID]],manual_bgg!B:B,manual_bgg!D:D))</f>
        <v>Cosmic Encounter</v>
      </c>
      <c r="C93" t="e" vm="67">
        <f>_xlfn.IMAGE(_xlfn.XLOOKUP(BUYLIST10[[#This Row],[BGG ID]],bgg_cache[id],bgg_cache[thumbnail_url]),,3,80)</f>
        <v>#VALUE!</v>
      </c>
      <c r="D93">
        <v>39463</v>
      </c>
      <c r="E93" t="str">
        <f>_xlfn.XLOOKUP(BUYLIST10[[#This Row],[BGG ID]],STOREURL[BGG ID],STOREURL[STATUS])</f>
        <v>NOT_FOUND</v>
      </c>
      <c r="F93">
        <f>_xlfn.XLOOKUP(BUYLIST10[[#This Row],[BGG ID]],STOREURL[BGG ID],STOREURL[LPG_RRP])</f>
        <v>0</v>
      </c>
      <c r="G93">
        <f>_xlfn.XLOOKUP(BUYLIST10[[#This Row],[NAME]],summary_prices[game],summary_prices[site_low_nzd])</f>
        <v>139</v>
      </c>
      <c r="H93">
        <f>_xlfn.XLOOKUP(BUYLIST10[[#This Row],[NAME]],summary_prices[game],summary_prices[site_mean_nzd])</f>
        <v>139</v>
      </c>
      <c r="I93">
        <f>_xlfn.XLOOKUP(BUYLIST10[[#This Row],[NAME]],summary_prices[game],summary_prices[best_in_stock_nzd])</f>
        <v>139</v>
      </c>
      <c r="J93">
        <f>IFERROR(_xlfn.XLOOKUP(BUYLIST10[[#This Row],[NAME]],summary_prices[game],summary_prices[discount_pct_vs_site_mean]),-99)</f>
        <v>0</v>
      </c>
      <c r="K93">
        <f>_xlfn.XLOOKUP(BUYLIST10[[#This Row],[NAME]],summary_prices[game],summary_prices[delta_vs_site_disc_mean_pp])</f>
        <v>0</v>
      </c>
      <c r="L93" t="b" cm="1">
        <f t="array" ref="L93">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93" t="str">
        <f>_xlfn.XLOOKUP(BUYLIST10[[#This Row],[NAME]],summary_prices[game],summary_prices[best_in_stock_store])</f>
        <v>Game Centre</v>
      </c>
      <c r="N93" s="16" t="str">
        <f>HYPERLINK(_xlfn.XLOOKUP(BUYLIST10[[#This Row],[BGG ID]],STOREURL[BGG ID],STOREURL[BGO LINK]))</f>
        <v>https://www.boardgameoracle.com/en-NZ/boardgame/price/7lfjuWxWFm/cosmic-encounter</v>
      </c>
      <c r="O93">
        <f>COUNTIF(OWNED[bgg_id],BUYLIST10[[#This Row],[BGG ID]])</f>
        <v>0</v>
      </c>
      <c r="P93">
        <f>COUNTIF(BUYLIST10[NAME],BUYLIST10[[#This Row],[NAME]])</f>
        <v>1</v>
      </c>
    </row>
    <row r="94" spans="1:16" ht="63.95" hidden="1" customHeight="1" x14ac:dyDescent="0.4">
      <c r="A94" s="6">
        <v>98</v>
      </c>
      <c r="B94" t="str">
        <f>IFERROR(_xlfn.XLOOKUP(BUYLIST10[[#This Row],[BGG ID]],bgg_cache[id],bgg_cache[title]),_xlfn.XLOOKUP(BUYLIST10[[#This Row],[BGG ID]],manual_bgg!B:B,manual_bgg!D:D))</f>
        <v>Tigris &amp; Euphrates</v>
      </c>
      <c r="C94" t="e" vm="68">
        <f>_xlfn.IMAGE(_xlfn.XLOOKUP(BUYLIST10[[#This Row],[BGG ID]],bgg_cache[id],bgg_cache[thumbnail_url]),,3,80)</f>
        <v>#VALUE!</v>
      </c>
      <c r="D94">
        <v>42</v>
      </c>
      <c r="E94" t="str">
        <f>_xlfn.XLOOKUP(BUYLIST10[[#This Row],[BGG ID]],STOREURL[BGG ID],STOREURL[STATUS])</f>
        <v>NOT_FOUND</v>
      </c>
      <c r="F94">
        <f>_xlfn.XLOOKUP(BUYLIST10[[#This Row],[BGG ID]],STOREURL[BGG ID],STOREURL[LPG_RRP])</f>
        <v>0</v>
      </c>
      <c r="G94" t="e">
        <f>_xlfn.XLOOKUP(BUYLIST10[[#This Row],[NAME]],summary_prices[game],summary_prices[site_low_nzd])</f>
        <v>#N/A</v>
      </c>
      <c r="H94" t="e">
        <f>_xlfn.XLOOKUP(BUYLIST10[[#This Row],[NAME]],summary_prices[game],summary_prices[site_mean_nzd])</f>
        <v>#N/A</v>
      </c>
      <c r="I94" t="e">
        <f>_xlfn.XLOOKUP(BUYLIST10[[#This Row],[NAME]],summary_prices[game],summary_prices[best_in_stock_nzd])</f>
        <v>#N/A</v>
      </c>
      <c r="J94">
        <f>IFERROR(_xlfn.XLOOKUP(BUYLIST10[[#This Row],[NAME]],summary_prices[game],summary_prices[discount_pct_vs_site_mean]),-99)</f>
        <v>-99</v>
      </c>
      <c r="K94" t="e">
        <f>_xlfn.XLOOKUP(BUYLIST10[[#This Row],[NAME]],summary_prices[game],summary_prices[delta_vs_site_disc_mean_pp])</f>
        <v>#N/A</v>
      </c>
      <c r="L94" t="b" cm="1">
        <f t="array" ref="L94">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94" t="e">
        <f>_xlfn.XLOOKUP(BUYLIST10[[#This Row],[NAME]],summary_prices[game],summary_prices[best_in_stock_store])</f>
        <v>#N/A</v>
      </c>
      <c r="N94" s="16" t="str">
        <f>HYPERLINK(_xlfn.XLOOKUP(BUYLIST10[[#This Row],[BGG ID]],STOREURL[BGG ID],STOREURL[BGO LINK]))</f>
        <v>https://www.boardgameoracle.com/en-NZ/boardgame/price/S1_aLFGmpD/tigris-and-euphrates</v>
      </c>
      <c r="O94">
        <f>COUNTIF(OWNED[bgg_id],BUYLIST10[[#This Row],[BGG ID]])</f>
        <v>0</v>
      </c>
      <c r="P94">
        <f>COUNTIF(BUYLIST10[NAME],BUYLIST10[[#This Row],[NAME]])</f>
        <v>1</v>
      </c>
    </row>
    <row r="95" spans="1:16" ht="63.95" hidden="1" customHeight="1" x14ac:dyDescent="0.4">
      <c r="A95" s="6">
        <v>99</v>
      </c>
      <c r="B95" t="str">
        <f>IFERROR(_xlfn.XLOOKUP(BUYLIST10[[#This Row],[BGG ID]],bgg_cache[id],bgg_cache[title]),_xlfn.XLOOKUP(BUYLIST10[[#This Row],[BGG ID]],manual_bgg!B:B,manual_bgg!D:D))</f>
        <v>El Grande: Big Box</v>
      </c>
      <c r="C95" t="e">
        <f>_xlfn.IMAGE(_xlfn.XLOOKUP(BUYLIST10[[#This Row],[BGG ID]],bgg_cache[id],bgg_cache[thumbnail_url]),,3,80)</f>
        <v>#N/A</v>
      </c>
      <c r="D95">
        <v>171908</v>
      </c>
      <c r="E95" t="str">
        <f>_xlfn.XLOOKUP(BUYLIST10[[#This Row],[BGG ID]],STOREURL[BGG ID],STOREURL[STATUS])</f>
        <v>NOT_FOUND</v>
      </c>
      <c r="F95">
        <f>_xlfn.XLOOKUP(BUYLIST10[[#This Row],[BGG ID]],STOREURL[BGG ID],STOREURL[LPG_RRP])</f>
        <v>0</v>
      </c>
      <c r="G95">
        <f>_xlfn.XLOOKUP(BUYLIST10[[#This Row],[NAME]],summary_prices[game],summary_prices[site_low_nzd])</f>
        <v>81.52</v>
      </c>
      <c r="H95">
        <f>_xlfn.XLOOKUP(BUYLIST10[[#This Row],[NAME]],summary_prices[game],summary_prices[site_mean_nzd])</f>
        <v>90.26</v>
      </c>
      <c r="I95">
        <f>_xlfn.XLOOKUP(BUYLIST10[[#This Row],[NAME]],summary_prices[game],summary_prices[best_in_stock_nzd])</f>
        <v>0</v>
      </c>
      <c r="J95">
        <f>IFERROR(_xlfn.XLOOKUP(BUYLIST10[[#This Row],[NAME]],summary_prices[game],summary_prices[discount_pct_vs_site_mean]),-99)</f>
        <v>0</v>
      </c>
      <c r="K95">
        <f>_xlfn.XLOOKUP(BUYLIST10[[#This Row],[NAME]],summary_prices[game],summary_prices[delta_vs_site_disc_mean_pp])</f>
        <v>0</v>
      </c>
      <c r="L95" t="b" cm="1">
        <f t="array" ref="L95">_xlfn.LET(
  _xlpm.b, BUYLIST10[[#This Row],[BEST]],
  _xlpm.s, BUYLIST10[[#This Row],[LPG_Status]],
  _xlpm.r, BUYLIST10[[#This Row],[LPG_RRP]],
  _xlpm.d, BUYLIST10[[#This Row],[Discount]],
  OR(
    AND(
      OR(_xlpm.s={"AVAILABLE","BACK_ORDER"}),
      IF(ISNUMBER(_xlpm.b), AND(_xlpm.b&lt;&gt;0, _xlpm.b*2&lt;=_xlpm.r), FALSE)
    ),
    AND(
      OR(_xlpm.s={"NOT_FOUND","BACK_ORDER_OOS"}),
      _xlpm.d&gt;30
    )
  )
)</f>
        <v>0</v>
      </c>
      <c r="M95" t="str">
        <f>_xlfn.XLOOKUP(BUYLIST10[[#This Row],[NAME]],summary_prices[game],summary_prices[best_in_stock_store])</f>
        <v/>
      </c>
      <c r="N95" s="16" t="str">
        <f>HYPERLINK(_xlfn.XLOOKUP(BUYLIST10[[#This Row],[BGG ID]],STOREURL[BGG ID],STOREURL[BGO LINK]))</f>
        <v>https://www.boardgameoracle.com/en-NZ/boardgame/price/-IO6W6K0sN/el-grande</v>
      </c>
      <c r="O95">
        <f>COUNTIF(OWNED[bgg_id],BUYLIST10[[#This Row],[BGG ID]])</f>
        <v>0</v>
      </c>
      <c r="P95">
        <f>COUNTIF(BUYLIST10[NAME],BUYLIST10[[#This Row],[NAME]])</f>
        <v>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F2E5D-6D04-44FE-A74B-562770B47C09}">
  <dimension ref="A1:AB187"/>
  <sheetViews>
    <sheetView workbookViewId="0">
      <selection activeCell="B34" sqref="B34"/>
    </sheetView>
  </sheetViews>
  <sheetFormatPr defaultRowHeight="15" x14ac:dyDescent="0.25"/>
  <cols>
    <col min="1" max="1" width="5" bestFit="1" customWidth="1"/>
    <col min="2" max="2" width="67.42578125" bestFit="1" customWidth="1"/>
    <col min="3" max="3" width="81.140625" bestFit="1" customWidth="1"/>
    <col min="4" max="4" width="7.140625" bestFit="1" customWidth="1"/>
    <col min="5" max="5" width="14.140625" bestFit="1" customWidth="1"/>
    <col min="6" max="6" width="14.42578125" bestFit="1" customWidth="1"/>
    <col min="7" max="7" width="15.5703125" bestFit="1" customWidth="1"/>
    <col min="8" max="8" width="15.85546875" bestFit="1" customWidth="1"/>
    <col min="9" max="9" width="64" bestFit="1" customWidth="1"/>
    <col min="10" max="10" width="81.140625" bestFit="1" customWidth="1"/>
    <col min="11" max="11" width="25.7109375" bestFit="1" customWidth="1"/>
    <col min="12" max="12" width="9" bestFit="1" customWidth="1"/>
    <col min="13" max="13" width="55.5703125" bestFit="1" customWidth="1"/>
    <col min="14" max="14" width="24.85546875" bestFit="1" customWidth="1"/>
    <col min="15" max="15" width="81.140625" bestFit="1" customWidth="1"/>
    <col min="16" max="16" width="76" bestFit="1" customWidth="1"/>
    <col min="17" max="19" width="81.140625" bestFit="1" customWidth="1"/>
    <col min="20" max="20" width="16.42578125" bestFit="1" customWidth="1"/>
    <col min="21" max="21" width="13.28515625" bestFit="1" customWidth="1"/>
    <col min="22" max="22" width="11.140625" bestFit="1" customWidth="1"/>
    <col min="23" max="23" width="13.85546875" bestFit="1" customWidth="1"/>
    <col min="24" max="24" width="10.7109375" bestFit="1" customWidth="1"/>
    <col min="25" max="25" width="16.5703125" bestFit="1" customWidth="1"/>
    <col min="26" max="26" width="14" bestFit="1" customWidth="1"/>
    <col min="27" max="27" width="19" bestFit="1" customWidth="1"/>
    <col min="28" max="28" width="11.85546875" bestFit="1" customWidth="1"/>
  </cols>
  <sheetData>
    <row r="1" spans="1:28" x14ac:dyDescent="0.25">
      <c r="A1" t="s">
        <v>163</v>
      </c>
      <c r="B1" t="s">
        <v>165</v>
      </c>
      <c r="C1" t="s">
        <v>2480</v>
      </c>
      <c r="D1" t="s">
        <v>167</v>
      </c>
      <c r="E1" t="s">
        <v>2481</v>
      </c>
      <c r="F1" t="s">
        <v>2482</v>
      </c>
      <c r="G1" t="s">
        <v>2483</v>
      </c>
      <c r="H1" t="s">
        <v>2484</v>
      </c>
      <c r="I1" t="s">
        <v>787</v>
      </c>
      <c r="J1" t="s">
        <v>2485</v>
      </c>
      <c r="K1" t="s">
        <v>2486</v>
      </c>
      <c r="L1" t="s">
        <v>2475</v>
      </c>
      <c r="M1" t="s">
        <v>2487</v>
      </c>
      <c r="N1" t="s">
        <v>2488</v>
      </c>
      <c r="O1" t="s">
        <v>2489</v>
      </c>
      <c r="P1" t="s">
        <v>2490</v>
      </c>
      <c r="Q1" t="s">
        <v>2491</v>
      </c>
      <c r="R1" t="s">
        <v>2492</v>
      </c>
      <c r="S1" t="s">
        <v>2493</v>
      </c>
      <c r="T1" t="s">
        <v>2494</v>
      </c>
      <c r="U1" t="s">
        <v>2495</v>
      </c>
      <c r="V1" t="s">
        <v>174</v>
      </c>
      <c r="W1" t="s">
        <v>2496</v>
      </c>
      <c r="X1" t="s">
        <v>175</v>
      </c>
      <c r="Y1" t="s">
        <v>2497</v>
      </c>
      <c r="Z1" t="s">
        <v>3962</v>
      </c>
      <c r="AA1" t="s">
        <v>166</v>
      </c>
      <c r="AB1" t="s">
        <v>4133</v>
      </c>
    </row>
    <row r="2" spans="1:28" x14ac:dyDescent="0.25">
      <c r="A2">
        <v>1</v>
      </c>
      <c r="B2" t="s">
        <v>46</v>
      </c>
      <c r="C2" t="s">
        <v>2498</v>
      </c>
      <c r="D2">
        <v>2017</v>
      </c>
      <c r="E2">
        <v>2</v>
      </c>
      <c r="F2">
        <v>4</v>
      </c>
      <c r="G2">
        <v>30</v>
      </c>
      <c r="H2">
        <v>45</v>
      </c>
      <c r="I2" t="s">
        <v>2499</v>
      </c>
      <c r="J2" t="s">
        <v>804</v>
      </c>
      <c r="K2" t="s">
        <v>2500</v>
      </c>
      <c r="L2">
        <v>230802</v>
      </c>
      <c r="M2" t="s">
        <v>2501</v>
      </c>
      <c r="N2" t="s">
        <v>2471</v>
      </c>
      <c r="O2" t="s">
        <v>2502</v>
      </c>
      <c r="P2" t="s">
        <v>2503</v>
      </c>
      <c r="Q2" t="s">
        <v>2504</v>
      </c>
      <c r="R2" t="s">
        <v>2505</v>
      </c>
      <c r="S2" t="s">
        <v>2506</v>
      </c>
      <c r="T2">
        <v>7.7240700000000002</v>
      </c>
      <c r="U2">
        <v>1.7742</v>
      </c>
      <c r="V2">
        <v>91</v>
      </c>
      <c r="W2">
        <v>102534</v>
      </c>
      <c r="X2">
        <v>8</v>
      </c>
      <c r="Y2" t="b">
        <v>0</v>
      </c>
      <c r="Z2" t="b">
        <v>0</v>
      </c>
      <c r="AA2" t="s">
        <v>177</v>
      </c>
      <c r="AB2">
        <f>COUNTIF(OWNED[bgg_id],library_data[[#This Row],[bgg_id]])</f>
        <v>1</v>
      </c>
    </row>
    <row r="3" spans="1:28" x14ac:dyDescent="0.25">
      <c r="A3">
        <v>2</v>
      </c>
      <c r="B3" t="s">
        <v>103</v>
      </c>
      <c r="C3" t="s">
        <v>2507</v>
      </c>
      <c r="D3">
        <v>2019</v>
      </c>
      <c r="E3">
        <v>1</v>
      </c>
      <c r="F3">
        <v>5</v>
      </c>
      <c r="G3">
        <v>40</v>
      </c>
      <c r="H3">
        <v>70</v>
      </c>
      <c r="I3" t="s">
        <v>2508</v>
      </c>
      <c r="J3" t="s">
        <v>1093</v>
      </c>
      <c r="K3" t="s">
        <v>2509</v>
      </c>
      <c r="L3">
        <v>266192</v>
      </c>
      <c r="M3" t="s">
        <v>2510</v>
      </c>
      <c r="N3" t="s">
        <v>2474</v>
      </c>
      <c r="O3" t="s">
        <v>2511</v>
      </c>
      <c r="P3" t="s">
        <v>2512</v>
      </c>
      <c r="Q3" t="s">
        <v>2513</v>
      </c>
      <c r="R3" t="s">
        <v>2514</v>
      </c>
      <c r="S3" t="s">
        <v>2515</v>
      </c>
      <c r="T3">
        <v>8.0113800000000008</v>
      </c>
      <c r="U3">
        <v>2.4754</v>
      </c>
      <c r="V3">
        <v>38</v>
      </c>
      <c r="W3">
        <v>106577</v>
      </c>
      <c r="X3">
        <v>10</v>
      </c>
      <c r="Y3" t="b">
        <v>0</v>
      </c>
      <c r="Z3" t="b">
        <v>0</v>
      </c>
      <c r="AA3" t="s">
        <v>310</v>
      </c>
      <c r="AB3">
        <f>COUNTIF(OWNED[bgg_id],library_data[[#This Row],[bgg_id]])</f>
        <v>1</v>
      </c>
    </row>
    <row r="4" spans="1:28" x14ac:dyDescent="0.25">
      <c r="A4">
        <v>3</v>
      </c>
      <c r="B4" t="s">
        <v>74</v>
      </c>
      <c r="C4" t="s">
        <v>2516</v>
      </c>
      <c r="D4">
        <v>2021</v>
      </c>
      <c r="E4">
        <v>1</v>
      </c>
      <c r="F4">
        <v>4</v>
      </c>
      <c r="G4">
        <v>30</v>
      </c>
      <c r="H4">
        <v>45</v>
      </c>
      <c r="I4" t="s">
        <v>2517</v>
      </c>
      <c r="J4" t="s">
        <v>816</v>
      </c>
      <c r="K4" t="s">
        <v>2518</v>
      </c>
      <c r="L4">
        <v>295947</v>
      </c>
      <c r="M4" t="s">
        <v>2519</v>
      </c>
      <c r="N4" t="s">
        <v>2471</v>
      </c>
      <c r="O4" t="s">
        <v>2520</v>
      </c>
      <c r="P4" t="s">
        <v>2521</v>
      </c>
      <c r="Q4" t="s">
        <v>2522</v>
      </c>
      <c r="R4" t="s">
        <v>2523</v>
      </c>
      <c r="S4" t="s">
        <v>2524</v>
      </c>
      <c r="T4">
        <v>7.9091300000000002</v>
      </c>
      <c r="U4">
        <v>1.8494999999999999</v>
      </c>
      <c r="V4">
        <v>54</v>
      </c>
      <c r="W4">
        <v>50152</v>
      </c>
      <c r="X4">
        <v>10</v>
      </c>
      <c r="Y4" t="b">
        <v>0</v>
      </c>
      <c r="Z4" t="b">
        <v>0</v>
      </c>
      <c r="AA4" t="s">
        <v>177</v>
      </c>
      <c r="AB4">
        <f>COUNTIF(OWNED[bgg_id],library_data[[#This Row],[bgg_id]])</f>
        <v>1</v>
      </c>
    </row>
    <row r="5" spans="1:28" x14ac:dyDescent="0.25">
      <c r="A5">
        <v>4</v>
      </c>
      <c r="B5" t="s">
        <v>8</v>
      </c>
      <c r="C5" t="s">
        <v>2525</v>
      </c>
      <c r="D5">
        <v>2010</v>
      </c>
      <c r="E5">
        <v>2</v>
      </c>
      <c r="F5">
        <v>7</v>
      </c>
      <c r="G5">
        <v>30</v>
      </c>
      <c r="H5">
        <v>30</v>
      </c>
      <c r="I5" t="s">
        <v>2526</v>
      </c>
      <c r="J5" t="s">
        <v>790</v>
      </c>
      <c r="K5" t="s">
        <v>2527</v>
      </c>
      <c r="L5">
        <v>68448</v>
      </c>
      <c r="M5" t="s">
        <v>2528</v>
      </c>
      <c r="N5" t="s">
        <v>2471</v>
      </c>
      <c r="O5" t="s">
        <v>2529</v>
      </c>
      <c r="P5" t="s">
        <v>2530</v>
      </c>
      <c r="Q5" t="s">
        <v>2531</v>
      </c>
      <c r="R5" t="s">
        <v>2532</v>
      </c>
      <c r="S5" t="s">
        <v>2533</v>
      </c>
      <c r="T5">
        <v>7.66798</v>
      </c>
      <c r="U5">
        <v>2.3149000000000002</v>
      </c>
      <c r="V5">
        <v>111</v>
      </c>
      <c r="W5">
        <v>110129</v>
      </c>
      <c r="X5">
        <v>10</v>
      </c>
      <c r="Y5" t="b">
        <v>0</v>
      </c>
      <c r="Z5" t="b">
        <v>0</v>
      </c>
      <c r="AA5" t="s">
        <v>310</v>
      </c>
      <c r="AB5">
        <f>COUNTIF(OWNED[bgg_id],library_data[[#This Row],[bgg_id]])</f>
        <v>1</v>
      </c>
    </row>
    <row r="6" spans="1:28" x14ac:dyDescent="0.25">
      <c r="A6">
        <v>5</v>
      </c>
      <c r="B6" t="s">
        <v>27</v>
      </c>
      <c r="C6" t="s">
        <v>2525</v>
      </c>
      <c r="D6">
        <v>2015</v>
      </c>
      <c r="E6">
        <v>2</v>
      </c>
      <c r="F6">
        <v>2</v>
      </c>
      <c r="G6">
        <v>30</v>
      </c>
      <c r="H6">
        <v>30</v>
      </c>
      <c r="I6" t="s">
        <v>2534</v>
      </c>
      <c r="J6" t="s">
        <v>792</v>
      </c>
      <c r="K6" t="s">
        <v>2535</v>
      </c>
      <c r="L6">
        <v>173346</v>
      </c>
      <c r="M6" t="s">
        <v>2536</v>
      </c>
      <c r="N6" t="s">
        <v>2471</v>
      </c>
      <c r="O6" t="s">
        <v>2537</v>
      </c>
      <c r="P6" t="s">
        <v>2538</v>
      </c>
      <c r="Q6" t="s">
        <v>2539</v>
      </c>
      <c r="R6" t="s">
        <v>2540</v>
      </c>
      <c r="S6" t="s">
        <v>2541</v>
      </c>
      <c r="T6">
        <v>8.0831300000000006</v>
      </c>
      <c r="U6">
        <v>2.2269999999999999</v>
      </c>
      <c r="V6">
        <v>21</v>
      </c>
      <c r="W6">
        <v>104464</v>
      </c>
      <c r="X6">
        <v>10</v>
      </c>
      <c r="Y6" t="b">
        <v>0</v>
      </c>
      <c r="Z6" t="b">
        <v>0</v>
      </c>
      <c r="AA6" t="s">
        <v>187</v>
      </c>
      <c r="AB6">
        <f>COUNTIF(OWNED[bgg_id],library_data[[#This Row],[bgg_id]])</f>
        <v>1</v>
      </c>
    </row>
    <row r="7" spans="1:28" x14ac:dyDescent="0.25">
      <c r="A7">
        <v>6</v>
      </c>
      <c r="B7" t="s">
        <v>472</v>
      </c>
      <c r="C7" t="s">
        <v>2542</v>
      </c>
      <c r="D7">
        <v>2016</v>
      </c>
      <c r="E7">
        <v>1</v>
      </c>
      <c r="F7">
        <v>4</v>
      </c>
      <c r="G7">
        <v>30</v>
      </c>
      <c r="H7">
        <v>120</v>
      </c>
      <c r="I7" t="s">
        <v>2543</v>
      </c>
      <c r="J7" t="s">
        <v>794</v>
      </c>
      <c r="K7" t="s">
        <v>2544</v>
      </c>
      <c r="L7">
        <v>177736</v>
      </c>
      <c r="M7" t="s">
        <v>2545</v>
      </c>
      <c r="N7" t="s">
        <v>2474</v>
      </c>
      <c r="O7" t="s">
        <v>2546</v>
      </c>
      <c r="P7" t="s">
        <v>2547</v>
      </c>
      <c r="Q7" t="s">
        <v>2548</v>
      </c>
      <c r="R7" t="s">
        <v>2549</v>
      </c>
      <c r="S7" t="s">
        <v>2550</v>
      </c>
      <c r="T7">
        <v>8.1664600000000007</v>
      </c>
      <c r="U7">
        <v>3.8660999999999999</v>
      </c>
      <c r="V7">
        <v>24</v>
      </c>
      <c r="W7">
        <v>31926</v>
      </c>
      <c r="X7">
        <v>12</v>
      </c>
      <c r="Y7" t="b">
        <v>0</v>
      </c>
      <c r="Z7" t="b">
        <v>0</v>
      </c>
      <c r="AA7" t="s">
        <v>187</v>
      </c>
      <c r="AB7">
        <f>COUNTIF(OWNED[bgg_id],library_data[[#This Row],[bgg_id]])</f>
        <v>1</v>
      </c>
    </row>
    <row r="8" spans="1:28" x14ac:dyDescent="0.25">
      <c r="A8">
        <v>7</v>
      </c>
      <c r="B8" t="s">
        <v>190</v>
      </c>
      <c r="C8" t="s">
        <v>2551</v>
      </c>
      <c r="D8">
        <v>2020</v>
      </c>
      <c r="E8">
        <v>2</v>
      </c>
      <c r="F8">
        <v>4</v>
      </c>
      <c r="G8">
        <v>20</v>
      </c>
      <c r="H8">
        <v>20</v>
      </c>
      <c r="I8" t="s">
        <v>2552</v>
      </c>
      <c r="J8" t="s">
        <v>796</v>
      </c>
      <c r="K8" t="s">
        <v>2553</v>
      </c>
      <c r="L8">
        <v>302260</v>
      </c>
      <c r="M8" t="s">
        <v>2554</v>
      </c>
      <c r="N8" t="s">
        <v>2472</v>
      </c>
      <c r="O8" t="s">
        <v>2555</v>
      </c>
      <c r="P8" t="s">
        <v>2556</v>
      </c>
      <c r="Q8" t="s">
        <v>2557</v>
      </c>
      <c r="R8" t="s">
        <v>2558</v>
      </c>
      <c r="S8" t="s">
        <v>2559</v>
      </c>
      <c r="T8">
        <v>6.5819200000000002</v>
      </c>
      <c r="U8">
        <v>1.2639</v>
      </c>
      <c r="V8">
        <v>1915</v>
      </c>
      <c r="W8">
        <v>6024</v>
      </c>
      <c r="X8">
        <v>10</v>
      </c>
      <c r="Y8" t="b">
        <v>0</v>
      </c>
      <c r="Z8" t="b">
        <v>0</v>
      </c>
      <c r="AA8" t="s">
        <v>180</v>
      </c>
      <c r="AB8">
        <f>COUNTIF(OWNED[bgg_id],library_data[[#This Row],[bgg_id]])</f>
        <v>1</v>
      </c>
    </row>
    <row r="9" spans="1:28" x14ac:dyDescent="0.25">
      <c r="A9">
        <v>8</v>
      </c>
      <c r="B9" t="s">
        <v>122</v>
      </c>
      <c r="C9" t="s">
        <v>2560</v>
      </c>
      <c r="D9">
        <v>2022</v>
      </c>
      <c r="E9">
        <v>1</v>
      </c>
      <c r="F9">
        <v>4</v>
      </c>
      <c r="G9">
        <v>20</v>
      </c>
      <c r="H9">
        <v>30</v>
      </c>
      <c r="I9" t="s">
        <v>2561</v>
      </c>
      <c r="J9" t="s">
        <v>798</v>
      </c>
      <c r="K9" t="s">
        <v>2562</v>
      </c>
      <c r="L9">
        <v>357563</v>
      </c>
      <c r="M9" t="s">
        <v>2563</v>
      </c>
      <c r="N9" t="s">
        <v>2471</v>
      </c>
      <c r="O9" t="s">
        <v>2564</v>
      </c>
      <c r="P9" t="s">
        <v>2565</v>
      </c>
      <c r="Q9" t="s">
        <v>2566</v>
      </c>
      <c r="R9" t="s">
        <v>2567</v>
      </c>
      <c r="S9" t="s">
        <v>2568</v>
      </c>
      <c r="T9">
        <v>7.4566999999999997</v>
      </c>
      <c r="U9">
        <v>1.8070999999999999</v>
      </c>
      <c r="V9">
        <v>446</v>
      </c>
      <c r="W9">
        <v>9354</v>
      </c>
      <c r="X9">
        <v>8</v>
      </c>
      <c r="Y9" t="b">
        <v>0</v>
      </c>
      <c r="Z9" t="b">
        <v>0</v>
      </c>
      <c r="AA9" t="s">
        <v>180</v>
      </c>
      <c r="AB9">
        <f>COUNTIF(OWNED[bgg_id],library_data[[#This Row],[bgg_id]])</f>
        <v>1</v>
      </c>
    </row>
    <row r="10" spans="1:28" x14ac:dyDescent="0.25">
      <c r="A10">
        <v>9</v>
      </c>
      <c r="B10" t="s">
        <v>30</v>
      </c>
      <c r="C10" t="s">
        <v>2569</v>
      </c>
      <c r="D10">
        <v>2005</v>
      </c>
      <c r="E10">
        <v>2</v>
      </c>
      <c r="F10">
        <v>4</v>
      </c>
      <c r="G10">
        <v>15</v>
      </c>
      <c r="H10">
        <v>15</v>
      </c>
      <c r="I10" t="s">
        <v>2570</v>
      </c>
      <c r="J10" t="s">
        <v>4126</v>
      </c>
      <c r="K10" t="s">
        <v>2571</v>
      </c>
      <c r="L10">
        <v>17329</v>
      </c>
      <c r="M10" t="s">
        <v>2572</v>
      </c>
      <c r="N10" t="s">
        <v>2472</v>
      </c>
      <c r="O10" t="s">
        <v>2573</v>
      </c>
      <c r="P10" t="s">
        <v>2574</v>
      </c>
      <c r="Q10" t="s">
        <v>2575</v>
      </c>
      <c r="R10" t="s">
        <v>2576</v>
      </c>
      <c r="S10" t="s">
        <v>2577</v>
      </c>
      <c r="T10">
        <v>6.7699800000000003</v>
      </c>
      <c r="U10">
        <v>1.0387999999999999</v>
      </c>
      <c r="V10">
        <v>1295</v>
      </c>
      <c r="W10">
        <v>8951</v>
      </c>
      <c r="X10">
        <v>4</v>
      </c>
      <c r="Y10" t="b">
        <v>0</v>
      </c>
      <c r="Z10" t="b">
        <v>0</v>
      </c>
      <c r="AA10" t="s">
        <v>191</v>
      </c>
      <c r="AB10">
        <f>COUNTIF(OWNED[bgg_id],library_data[[#This Row],[bgg_id]])</f>
        <v>1</v>
      </c>
    </row>
    <row r="11" spans="1:28" x14ac:dyDescent="0.25">
      <c r="A11">
        <v>10</v>
      </c>
      <c r="B11" t="s">
        <v>222</v>
      </c>
      <c r="C11" t="s">
        <v>2578</v>
      </c>
      <c r="D11">
        <v>2010</v>
      </c>
      <c r="E11">
        <v>3</v>
      </c>
      <c r="F11">
        <v>6</v>
      </c>
      <c r="G11">
        <v>30</v>
      </c>
      <c r="H11">
        <v>30</v>
      </c>
      <c r="I11" t="s">
        <v>2579</v>
      </c>
      <c r="J11" t="s">
        <v>800</v>
      </c>
      <c r="K11" t="s">
        <v>2580</v>
      </c>
      <c r="L11">
        <v>67877</v>
      </c>
      <c r="M11" t="s">
        <v>2581</v>
      </c>
      <c r="N11" t="s">
        <v>2473</v>
      </c>
      <c r="O11" t="s">
        <v>2582</v>
      </c>
      <c r="P11" t="s">
        <v>2583</v>
      </c>
      <c r="Q11" t="s">
        <v>2584</v>
      </c>
      <c r="R11" t="s">
        <v>2585</v>
      </c>
      <c r="S11" t="s">
        <v>2586</v>
      </c>
      <c r="T11">
        <v>6.6951900000000002</v>
      </c>
      <c r="U11">
        <v>1.0385</v>
      </c>
      <c r="V11">
        <v>1837</v>
      </c>
      <c r="W11">
        <v>5583</v>
      </c>
      <c r="X11">
        <v>10</v>
      </c>
      <c r="Y11" t="b">
        <v>0</v>
      </c>
      <c r="Z11" t="b">
        <v>0</v>
      </c>
      <c r="AA11" t="s">
        <v>179</v>
      </c>
      <c r="AB11">
        <f>COUNTIF(OWNED[bgg_id],library_data[[#This Row],[bgg_id]])</f>
        <v>1</v>
      </c>
    </row>
    <row r="12" spans="1:28" x14ac:dyDescent="0.25">
      <c r="A12">
        <v>11</v>
      </c>
      <c r="B12" t="s">
        <v>21</v>
      </c>
      <c r="C12" t="s">
        <v>2587</v>
      </c>
      <c r="D12">
        <v>2010</v>
      </c>
      <c r="E12">
        <v>1</v>
      </c>
      <c r="F12">
        <v>4</v>
      </c>
      <c r="G12">
        <v>30</v>
      </c>
      <c r="H12">
        <v>30</v>
      </c>
      <c r="I12" t="s">
        <v>2588</v>
      </c>
      <c r="J12" t="s">
        <v>802</v>
      </c>
      <c r="K12" t="s">
        <v>2589</v>
      </c>
      <c r="L12">
        <v>69789</v>
      </c>
      <c r="M12" t="s">
        <v>2590</v>
      </c>
      <c r="N12" t="s">
        <v>2471</v>
      </c>
      <c r="O12" t="s">
        <v>2591</v>
      </c>
      <c r="P12" t="s">
        <v>2592</v>
      </c>
      <c r="Q12" t="s">
        <v>2593</v>
      </c>
      <c r="R12" t="s">
        <v>2594</v>
      </c>
      <c r="S12" t="s">
        <v>2595</v>
      </c>
      <c r="T12">
        <v>7.0438599999999996</v>
      </c>
      <c r="U12">
        <v>2.1379000000000001</v>
      </c>
      <c r="V12">
        <v>791</v>
      </c>
      <c r="W12">
        <v>13970</v>
      </c>
      <c r="X12">
        <v>13</v>
      </c>
      <c r="Y12" t="b">
        <v>0</v>
      </c>
      <c r="Z12" t="b">
        <v>0</v>
      </c>
      <c r="AA12" t="s">
        <v>187</v>
      </c>
      <c r="AB12">
        <f>COUNTIF(OWNED[bgg_id],library_data[[#This Row],[bgg_id]])</f>
        <v>1</v>
      </c>
    </row>
    <row r="13" spans="1:28" x14ac:dyDescent="0.25">
      <c r="A13">
        <v>12</v>
      </c>
      <c r="B13" t="s">
        <v>275</v>
      </c>
      <c r="C13" t="s">
        <v>2596</v>
      </c>
      <c r="D13">
        <v>1997</v>
      </c>
      <c r="E13">
        <v>2</v>
      </c>
      <c r="F13">
        <v>7</v>
      </c>
      <c r="G13">
        <v>45</v>
      </c>
      <c r="H13">
        <v>45</v>
      </c>
      <c r="I13" t="s">
        <v>2597</v>
      </c>
      <c r="J13" t="s">
        <v>806</v>
      </c>
      <c r="K13" t="s">
        <v>2598</v>
      </c>
      <c r="L13">
        <v>11</v>
      </c>
      <c r="M13" t="s">
        <v>2599</v>
      </c>
      <c r="N13" t="s">
        <v>2471</v>
      </c>
      <c r="O13" t="s">
        <v>2600</v>
      </c>
      <c r="P13" t="s">
        <v>2547</v>
      </c>
      <c r="Q13" t="s">
        <v>2601</v>
      </c>
      <c r="R13" t="s">
        <v>2602</v>
      </c>
      <c r="S13" t="s">
        <v>2603</v>
      </c>
      <c r="T13">
        <v>7.0743799999999997</v>
      </c>
      <c r="U13">
        <v>1.6679999999999999</v>
      </c>
      <c r="V13">
        <v>540</v>
      </c>
      <c r="W13">
        <v>49826</v>
      </c>
      <c r="X13">
        <v>12</v>
      </c>
      <c r="Y13" t="b">
        <v>0</v>
      </c>
      <c r="Z13" t="b">
        <v>0</v>
      </c>
      <c r="AA13" t="s">
        <v>180</v>
      </c>
      <c r="AB13">
        <f>COUNTIF(OWNED[bgg_id],library_data[[#This Row],[bgg_id]])</f>
        <v>1</v>
      </c>
    </row>
    <row r="14" spans="1:28" x14ac:dyDescent="0.25">
      <c r="A14">
        <v>13</v>
      </c>
      <c r="B14" t="s">
        <v>314</v>
      </c>
      <c r="C14" t="s">
        <v>2604</v>
      </c>
      <c r="D14">
        <v>2020</v>
      </c>
      <c r="E14">
        <v>2</v>
      </c>
      <c r="F14">
        <v>4</v>
      </c>
      <c r="G14">
        <v>1</v>
      </c>
      <c r="H14">
        <v>3</v>
      </c>
      <c r="I14" t="s">
        <v>2605</v>
      </c>
      <c r="J14" t="s">
        <v>808</v>
      </c>
      <c r="K14" t="s">
        <v>2606</v>
      </c>
      <c r="L14">
        <v>326243</v>
      </c>
      <c r="M14" t="s">
        <v>2607</v>
      </c>
      <c r="N14" t="s">
        <v>2472</v>
      </c>
      <c r="O14" t="s">
        <v>2608</v>
      </c>
      <c r="P14" t="s">
        <v>2609</v>
      </c>
      <c r="Q14" t="s">
        <v>2610</v>
      </c>
      <c r="R14" t="s">
        <v>2611</v>
      </c>
      <c r="S14" t="s">
        <v>2609</v>
      </c>
      <c r="T14">
        <v>6.3356500000000002</v>
      </c>
      <c r="U14">
        <v>1</v>
      </c>
      <c r="V14">
        <v>13493</v>
      </c>
      <c r="W14">
        <v>135</v>
      </c>
      <c r="X14">
        <v>0</v>
      </c>
      <c r="Y14" t="b">
        <v>0</v>
      </c>
      <c r="Z14" t="b">
        <v>0</v>
      </c>
      <c r="AA14" t="s">
        <v>180</v>
      </c>
      <c r="AB14">
        <f>COUNTIF(OWNED[bgg_id],library_data[[#This Row],[bgg_id]])</f>
        <v>1</v>
      </c>
    </row>
    <row r="15" spans="1:28" x14ac:dyDescent="0.25">
      <c r="A15">
        <v>14</v>
      </c>
      <c r="B15" t="s">
        <v>106</v>
      </c>
      <c r="C15" t="s">
        <v>2612</v>
      </c>
      <c r="D15">
        <v>2020</v>
      </c>
      <c r="E15">
        <v>1</v>
      </c>
      <c r="F15">
        <v>4</v>
      </c>
      <c r="G15">
        <v>30</v>
      </c>
      <c r="H15">
        <v>45</v>
      </c>
      <c r="I15" t="s">
        <v>2613</v>
      </c>
      <c r="J15" t="s">
        <v>810</v>
      </c>
      <c r="K15" t="s">
        <v>2614</v>
      </c>
      <c r="L15">
        <v>283155</v>
      </c>
      <c r="M15" t="s">
        <v>2615</v>
      </c>
      <c r="N15" t="s">
        <v>2471</v>
      </c>
      <c r="O15" t="s">
        <v>2616</v>
      </c>
      <c r="P15" t="s">
        <v>2617</v>
      </c>
      <c r="Q15" t="s">
        <v>2618</v>
      </c>
      <c r="R15" t="s">
        <v>2619</v>
      </c>
      <c r="S15" t="s">
        <v>2524</v>
      </c>
      <c r="T15">
        <v>7.4969200000000003</v>
      </c>
      <c r="U15">
        <v>2.1926000000000001</v>
      </c>
      <c r="V15">
        <v>256</v>
      </c>
      <c r="W15">
        <v>22168</v>
      </c>
      <c r="X15">
        <v>10</v>
      </c>
      <c r="Y15" t="b">
        <v>0</v>
      </c>
      <c r="Z15" t="b">
        <v>0</v>
      </c>
      <c r="AA15" t="s">
        <v>177</v>
      </c>
      <c r="AB15">
        <f>COUNTIF(OWNED[bgg_id],library_data[[#This Row],[bgg_id]])</f>
        <v>1</v>
      </c>
    </row>
    <row r="16" spans="1:28" x14ac:dyDescent="0.25">
      <c r="A16">
        <v>15</v>
      </c>
      <c r="B16" t="s">
        <v>261</v>
      </c>
      <c r="C16" t="s">
        <v>2620</v>
      </c>
      <c r="D16">
        <v>2018</v>
      </c>
      <c r="E16">
        <v>3</v>
      </c>
      <c r="F16">
        <v>8</v>
      </c>
      <c r="G16">
        <v>30</v>
      </c>
      <c r="H16">
        <v>45</v>
      </c>
      <c r="I16" t="s">
        <v>2621</v>
      </c>
      <c r="J16" t="s">
        <v>812</v>
      </c>
      <c r="K16" t="s">
        <v>2622</v>
      </c>
      <c r="L16">
        <v>260605</v>
      </c>
      <c r="M16" t="s">
        <v>2623</v>
      </c>
      <c r="N16" t="s">
        <v>2473</v>
      </c>
      <c r="O16" t="s">
        <v>2624</v>
      </c>
      <c r="P16" t="s">
        <v>2625</v>
      </c>
      <c r="Q16" t="s">
        <v>2626</v>
      </c>
      <c r="R16" t="s">
        <v>2627</v>
      </c>
      <c r="S16" t="s">
        <v>2628</v>
      </c>
      <c r="T16">
        <v>7.5582799999999999</v>
      </c>
      <c r="U16">
        <v>1.5042</v>
      </c>
      <c r="V16">
        <v>259</v>
      </c>
      <c r="W16">
        <v>16303</v>
      </c>
      <c r="X16">
        <v>8</v>
      </c>
      <c r="Y16" t="b">
        <v>0</v>
      </c>
      <c r="Z16" t="b">
        <v>0</v>
      </c>
      <c r="AA16" t="s">
        <v>186</v>
      </c>
      <c r="AB16">
        <f>COUNTIF(OWNED[bgg_id],library_data[[#This Row],[bgg_id]])</f>
        <v>1</v>
      </c>
    </row>
    <row r="17" spans="1:28" x14ac:dyDescent="0.25">
      <c r="A17">
        <v>16</v>
      </c>
      <c r="B17" t="s">
        <v>219</v>
      </c>
      <c r="C17" t="s">
        <v>2629</v>
      </c>
      <c r="D17">
        <v>2016</v>
      </c>
      <c r="E17">
        <v>2</v>
      </c>
      <c r="F17">
        <v>8</v>
      </c>
      <c r="G17">
        <v>45</v>
      </c>
      <c r="H17">
        <v>60</v>
      </c>
      <c r="I17" t="s">
        <v>2630</v>
      </c>
      <c r="J17" t="s">
        <v>1137</v>
      </c>
      <c r="K17" t="s">
        <v>2631</v>
      </c>
      <c r="L17">
        <v>171131</v>
      </c>
      <c r="M17" t="s">
        <v>2632</v>
      </c>
      <c r="N17" t="s">
        <v>2470</v>
      </c>
      <c r="O17" t="s">
        <v>2633</v>
      </c>
      <c r="P17" t="s">
        <v>2634</v>
      </c>
      <c r="Q17" t="s">
        <v>2635</v>
      </c>
      <c r="R17" t="s">
        <v>2636</v>
      </c>
      <c r="S17" t="s">
        <v>2637</v>
      </c>
      <c r="T17">
        <v>7.5065099999999996</v>
      </c>
      <c r="U17">
        <v>2.1976</v>
      </c>
      <c r="V17">
        <v>236</v>
      </c>
      <c r="W17">
        <v>22974</v>
      </c>
      <c r="X17">
        <v>14</v>
      </c>
      <c r="Y17" t="b">
        <v>0</v>
      </c>
      <c r="Z17" t="b">
        <v>0</v>
      </c>
      <c r="AA17" t="s">
        <v>574</v>
      </c>
      <c r="AB17">
        <f>COUNTIF(OWNED[bgg_id],library_data[[#This Row],[bgg_id]])</f>
        <v>1</v>
      </c>
    </row>
    <row r="18" spans="1:28" x14ac:dyDescent="0.25">
      <c r="A18">
        <v>17</v>
      </c>
      <c r="B18" t="s">
        <v>1</v>
      </c>
      <c r="C18" t="s">
        <v>2638</v>
      </c>
      <c r="D18">
        <v>2000</v>
      </c>
      <c r="E18">
        <v>2</v>
      </c>
      <c r="F18">
        <v>5</v>
      </c>
      <c r="G18">
        <v>30</v>
      </c>
      <c r="H18">
        <v>45</v>
      </c>
      <c r="I18" t="s">
        <v>2639</v>
      </c>
      <c r="J18" t="s">
        <v>814</v>
      </c>
      <c r="K18" t="s">
        <v>2640</v>
      </c>
      <c r="L18">
        <v>822</v>
      </c>
      <c r="M18" t="s">
        <v>2641</v>
      </c>
      <c r="N18" t="s">
        <v>2471</v>
      </c>
      <c r="O18" t="s">
        <v>2642</v>
      </c>
      <c r="P18" t="s">
        <v>2643</v>
      </c>
      <c r="Q18" t="s">
        <v>2644</v>
      </c>
      <c r="R18" t="s">
        <v>2645</v>
      </c>
      <c r="S18" t="s">
        <v>2646</v>
      </c>
      <c r="T18">
        <v>7.4127900000000002</v>
      </c>
      <c r="U18">
        <v>1.8875</v>
      </c>
      <c r="V18">
        <v>235</v>
      </c>
      <c r="W18">
        <v>135505</v>
      </c>
      <c r="X18">
        <v>7</v>
      </c>
      <c r="Y18" t="b">
        <v>0</v>
      </c>
      <c r="Z18" t="b">
        <v>0</v>
      </c>
      <c r="AA18" t="s">
        <v>180</v>
      </c>
      <c r="AB18">
        <f>COUNTIF(OWNED[bgg_id],library_data[[#This Row],[bgg_id]])</f>
        <v>1</v>
      </c>
    </row>
    <row r="19" spans="1:28" x14ac:dyDescent="0.25">
      <c r="A19">
        <v>18</v>
      </c>
      <c r="B19" t="s">
        <v>110</v>
      </c>
      <c r="C19" t="s">
        <v>2647</v>
      </c>
      <c r="D19">
        <v>2019</v>
      </c>
      <c r="E19">
        <v>1</v>
      </c>
      <c r="F19">
        <v>100</v>
      </c>
      <c r="G19">
        <v>30</v>
      </c>
      <c r="H19">
        <v>45</v>
      </c>
      <c r="I19" t="s">
        <v>2648</v>
      </c>
      <c r="J19" t="s">
        <v>1139</v>
      </c>
      <c r="K19" t="s">
        <v>2649</v>
      </c>
      <c r="L19">
        <v>263918</v>
      </c>
      <c r="M19" t="s">
        <v>2650</v>
      </c>
      <c r="N19" t="s">
        <v>2471</v>
      </c>
      <c r="O19" t="s">
        <v>2651</v>
      </c>
      <c r="P19" t="s">
        <v>2652</v>
      </c>
      <c r="Q19" t="s">
        <v>2653</v>
      </c>
      <c r="R19" t="s">
        <v>2654</v>
      </c>
      <c r="S19" t="s">
        <v>2655</v>
      </c>
      <c r="T19">
        <v>7.5668899999999999</v>
      </c>
      <c r="U19">
        <v>1.8784000000000001</v>
      </c>
      <c r="V19">
        <v>171</v>
      </c>
      <c r="W19">
        <v>34187</v>
      </c>
      <c r="X19">
        <v>10</v>
      </c>
      <c r="Y19" t="b">
        <v>0</v>
      </c>
      <c r="Z19" t="b">
        <v>0</v>
      </c>
      <c r="AA19" t="s">
        <v>180</v>
      </c>
      <c r="AB19">
        <f>COUNTIF(OWNED[bgg_id],library_data[[#This Row],[bgg_id]])</f>
        <v>1</v>
      </c>
    </row>
    <row r="20" spans="1:28" x14ac:dyDescent="0.25">
      <c r="A20">
        <v>19</v>
      </c>
      <c r="B20" t="s">
        <v>39</v>
      </c>
      <c r="C20" t="s">
        <v>2656</v>
      </c>
      <c r="D20">
        <v>1995</v>
      </c>
      <c r="E20">
        <v>3</v>
      </c>
      <c r="F20">
        <v>4</v>
      </c>
      <c r="G20">
        <v>60</v>
      </c>
      <c r="H20">
        <v>120</v>
      </c>
      <c r="I20" t="s">
        <v>2657</v>
      </c>
      <c r="J20" t="s">
        <v>817</v>
      </c>
      <c r="K20" t="s">
        <v>2658</v>
      </c>
      <c r="L20">
        <v>13</v>
      </c>
      <c r="M20" t="s">
        <v>2659</v>
      </c>
      <c r="N20" t="s">
        <v>2471</v>
      </c>
      <c r="O20" t="s">
        <v>2660</v>
      </c>
      <c r="P20" t="s">
        <v>2661</v>
      </c>
      <c r="Q20" t="s">
        <v>2662</v>
      </c>
      <c r="R20" t="s">
        <v>2663</v>
      </c>
      <c r="S20" t="s">
        <v>2664</v>
      </c>
      <c r="T20">
        <v>7.0912300000000004</v>
      </c>
      <c r="U20">
        <v>2.2860999999999998</v>
      </c>
      <c r="V20">
        <v>600</v>
      </c>
      <c r="W20">
        <v>137150</v>
      </c>
      <c r="X20">
        <v>10</v>
      </c>
      <c r="Y20" t="b">
        <v>0</v>
      </c>
      <c r="Z20" t="b">
        <v>0</v>
      </c>
      <c r="AA20" t="s">
        <v>310</v>
      </c>
      <c r="AB20">
        <f>COUNTIF(OWNED[bgg_id],library_data[[#This Row],[bgg_id]])</f>
        <v>1</v>
      </c>
    </row>
    <row r="21" spans="1:28" x14ac:dyDescent="0.25">
      <c r="A21">
        <v>20</v>
      </c>
      <c r="B21" t="s">
        <v>279</v>
      </c>
      <c r="C21" t="s">
        <v>2665</v>
      </c>
      <c r="D21">
        <v>1994</v>
      </c>
      <c r="E21">
        <v>2</v>
      </c>
      <c r="F21">
        <v>10</v>
      </c>
      <c r="G21">
        <v>45</v>
      </c>
      <c r="H21">
        <v>45</v>
      </c>
      <c r="I21" t="s">
        <v>2666</v>
      </c>
      <c r="J21" t="s">
        <v>819</v>
      </c>
      <c r="K21" t="s">
        <v>2667</v>
      </c>
      <c r="L21">
        <v>432</v>
      </c>
      <c r="M21" t="s">
        <v>2668</v>
      </c>
      <c r="N21" t="s">
        <v>2473</v>
      </c>
      <c r="O21" t="s">
        <v>2669</v>
      </c>
      <c r="P21" t="s">
        <v>2670</v>
      </c>
      <c r="Q21" t="s">
        <v>2671</v>
      </c>
      <c r="R21" t="s">
        <v>2672</v>
      </c>
      <c r="S21" t="s">
        <v>2673</v>
      </c>
      <c r="T21">
        <v>6.9803499999999996</v>
      </c>
      <c r="U21">
        <v>1.1904999999999999</v>
      </c>
      <c r="V21">
        <v>679</v>
      </c>
      <c r="W21">
        <v>31543</v>
      </c>
      <c r="X21">
        <v>8</v>
      </c>
      <c r="Y21" t="b">
        <v>0</v>
      </c>
      <c r="Z21" t="b">
        <v>0</v>
      </c>
      <c r="AA21" t="s">
        <v>180</v>
      </c>
      <c r="AB21">
        <f>COUNTIF(OWNED[bgg_id],library_data[[#This Row],[bgg_id]])</f>
        <v>1</v>
      </c>
    </row>
    <row r="22" spans="1:28" x14ac:dyDescent="0.25">
      <c r="A22">
        <v>21</v>
      </c>
      <c r="B22" t="s">
        <v>4</v>
      </c>
      <c r="C22" t="s">
        <v>2674</v>
      </c>
      <c r="D22">
        <v>1979</v>
      </c>
      <c r="E22">
        <v>2</v>
      </c>
      <c r="F22">
        <v>2</v>
      </c>
      <c r="G22">
        <v>20</v>
      </c>
      <c r="H22">
        <v>20</v>
      </c>
      <c r="I22" t="s">
        <v>2675</v>
      </c>
      <c r="J22" t="s">
        <v>821</v>
      </c>
      <c r="K22" t="s">
        <v>2676</v>
      </c>
      <c r="L22">
        <v>7</v>
      </c>
      <c r="M22" t="s">
        <v>2677</v>
      </c>
      <c r="N22" t="s">
        <v>2471</v>
      </c>
      <c r="O22" t="s">
        <v>2678</v>
      </c>
      <c r="P22" t="s">
        <v>2679</v>
      </c>
      <c r="Q22" t="s">
        <v>2680</v>
      </c>
      <c r="R22" t="s">
        <v>2681</v>
      </c>
      <c r="S22" t="s">
        <v>2682</v>
      </c>
      <c r="T22">
        <v>6.5490899999999996</v>
      </c>
      <c r="U22">
        <v>1.7895000000000001</v>
      </c>
      <c r="V22">
        <v>2524</v>
      </c>
      <c r="W22">
        <v>3749</v>
      </c>
      <c r="X22">
        <v>8</v>
      </c>
      <c r="Y22" t="b">
        <v>0</v>
      </c>
      <c r="Z22" t="b">
        <v>1</v>
      </c>
      <c r="AA22" t="s">
        <v>192</v>
      </c>
      <c r="AB22">
        <f>COUNTIF(OWNED[bgg_id],library_data[[#This Row],[bgg_id]])</f>
        <v>1</v>
      </c>
    </row>
    <row r="23" spans="1:28" x14ac:dyDescent="0.25">
      <c r="A23">
        <v>22</v>
      </c>
      <c r="B23" t="s">
        <v>22</v>
      </c>
      <c r="C23" t="s">
        <v>2683</v>
      </c>
      <c r="D23">
        <v>2013</v>
      </c>
      <c r="E23">
        <v>1</v>
      </c>
      <c r="F23">
        <v>7</v>
      </c>
      <c r="G23">
        <v>30</v>
      </c>
      <c r="H23">
        <v>210</v>
      </c>
      <c r="I23" t="s">
        <v>2684</v>
      </c>
      <c r="J23" t="s">
        <v>823</v>
      </c>
      <c r="K23" t="s">
        <v>2685</v>
      </c>
      <c r="L23">
        <v>102794</v>
      </c>
      <c r="M23" t="s">
        <v>2686</v>
      </c>
      <c r="N23" t="s">
        <v>2474</v>
      </c>
      <c r="O23" t="s">
        <v>2687</v>
      </c>
      <c r="P23" t="s">
        <v>2547</v>
      </c>
      <c r="Q23" t="s">
        <v>2688</v>
      </c>
      <c r="R23" t="s">
        <v>2689</v>
      </c>
      <c r="S23" t="s">
        <v>2690</v>
      </c>
      <c r="T23">
        <v>7.9292299999999996</v>
      </c>
      <c r="U23">
        <v>3.7740999999999998</v>
      </c>
      <c r="V23">
        <v>58</v>
      </c>
      <c r="W23">
        <v>36608</v>
      </c>
      <c r="X23">
        <v>12</v>
      </c>
      <c r="Y23" t="b">
        <v>0</v>
      </c>
      <c r="Z23" t="b">
        <v>0</v>
      </c>
      <c r="AA23" t="s">
        <v>187</v>
      </c>
      <c r="AB23">
        <f>COUNTIF(OWNED[bgg_id],library_data[[#This Row],[bgg_id]])</f>
        <v>1</v>
      </c>
    </row>
    <row r="24" spans="1:28" x14ac:dyDescent="0.25">
      <c r="A24">
        <v>23</v>
      </c>
      <c r="B24" t="s">
        <v>202</v>
      </c>
      <c r="C24" t="s">
        <v>2691</v>
      </c>
      <c r="D24">
        <v>2018</v>
      </c>
      <c r="E24">
        <v>1</v>
      </c>
      <c r="F24">
        <v>4</v>
      </c>
      <c r="G24">
        <v>60</v>
      </c>
      <c r="H24">
        <v>90</v>
      </c>
      <c r="I24" t="s">
        <v>2692</v>
      </c>
      <c r="J24" t="s">
        <v>825</v>
      </c>
      <c r="K24" t="s">
        <v>2693</v>
      </c>
      <c r="L24">
        <v>239188</v>
      </c>
      <c r="M24" t="s">
        <v>2694</v>
      </c>
      <c r="N24" t="s">
        <v>2470</v>
      </c>
      <c r="O24" t="s">
        <v>2695</v>
      </c>
      <c r="P24" t="s">
        <v>2696</v>
      </c>
      <c r="Q24" t="s">
        <v>2697</v>
      </c>
      <c r="R24" t="s">
        <v>2698</v>
      </c>
      <c r="S24" t="s">
        <v>2699</v>
      </c>
      <c r="T24">
        <v>7.54854</v>
      </c>
      <c r="U24">
        <v>2.0630000000000002</v>
      </c>
      <c r="V24">
        <v>322</v>
      </c>
      <c r="W24">
        <v>24214</v>
      </c>
      <c r="X24">
        <v>12</v>
      </c>
      <c r="Y24" t="b">
        <v>1</v>
      </c>
      <c r="Z24" t="b">
        <v>0</v>
      </c>
      <c r="AA24" t="s">
        <v>193</v>
      </c>
      <c r="AB24">
        <f>COUNTIF(OWNED[bgg_id],library_data[[#This Row],[bgg_id]])</f>
        <v>1</v>
      </c>
    </row>
    <row r="25" spans="1:28" x14ac:dyDescent="0.25">
      <c r="A25">
        <v>24</v>
      </c>
      <c r="B25" t="s">
        <v>49</v>
      </c>
      <c r="C25" t="s">
        <v>2700</v>
      </c>
      <c r="D25">
        <v>2016</v>
      </c>
      <c r="E25">
        <v>2</v>
      </c>
      <c r="F25">
        <v>8</v>
      </c>
      <c r="G25">
        <v>30</v>
      </c>
      <c r="H25">
        <v>60</v>
      </c>
      <c r="I25" t="s">
        <v>2701</v>
      </c>
      <c r="J25" t="s">
        <v>827</v>
      </c>
      <c r="K25" t="s">
        <v>2702</v>
      </c>
      <c r="L25">
        <v>205398</v>
      </c>
      <c r="M25" t="s">
        <v>2703</v>
      </c>
      <c r="N25" t="s">
        <v>2471</v>
      </c>
      <c r="O25" t="s">
        <v>2704</v>
      </c>
      <c r="P25" t="s">
        <v>2705</v>
      </c>
      <c r="Q25" t="s">
        <v>2706</v>
      </c>
      <c r="R25" t="s">
        <v>2707</v>
      </c>
      <c r="S25" t="s">
        <v>2708</v>
      </c>
      <c r="T25">
        <v>7.2389700000000001</v>
      </c>
      <c r="U25">
        <v>2.0661</v>
      </c>
      <c r="V25">
        <v>550</v>
      </c>
      <c r="W25">
        <v>16328</v>
      </c>
      <c r="X25">
        <v>10</v>
      </c>
      <c r="Y25" t="b">
        <v>0</v>
      </c>
      <c r="Z25" t="b">
        <v>0</v>
      </c>
      <c r="AA25" t="s">
        <v>180</v>
      </c>
      <c r="AB25">
        <f>COUNTIF(OWNED[bgg_id],library_data[[#This Row],[bgg_id]])</f>
        <v>1</v>
      </c>
    </row>
    <row r="26" spans="1:28" x14ac:dyDescent="0.25">
      <c r="A26">
        <v>25</v>
      </c>
      <c r="B26" t="s">
        <v>262</v>
      </c>
      <c r="C26" t="s">
        <v>2709</v>
      </c>
      <c r="D26">
        <v>2008</v>
      </c>
      <c r="E26">
        <v>2</v>
      </c>
      <c r="F26">
        <v>6</v>
      </c>
      <c r="G26">
        <v>10</v>
      </c>
      <c r="H26">
        <v>20</v>
      </c>
      <c r="I26" t="s">
        <v>2710</v>
      </c>
      <c r="J26" t="s">
        <v>829</v>
      </c>
      <c r="K26" t="s">
        <v>2711</v>
      </c>
      <c r="L26">
        <v>38391</v>
      </c>
      <c r="M26" t="s">
        <v>2712</v>
      </c>
      <c r="N26" t="s">
        <v>2472</v>
      </c>
      <c r="O26" t="s">
        <v>2713</v>
      </c>
      <c r="P26" t="s">
        <v>2714</v>
      </c>
      <c r="Q26" t="s">
        <v>2715</v>
      </c>
      <c r="R26" t="s">
        <v>2716</v>
      </c>
      <c r="S26" t="s">
        <v>2717</v>
      </c>
      <c r="T26">
        <v>6.13802</v>
      </c>
      <c r="U26">
        <v>1.1707000000000001</v>
      </c>
      <c r="V26">
        <v>6576</v>
      </c>
      <c r="W26">
        <v>961</v>
      </c>
      <c r="X26">
        <v>6</v>
      </c>
      <c r="Y26" t="b">
        <v>0</v>
      </c>
      <c r="Z26" t="b">
        <v>0</v>
      </c>
      <c r="AA26" t="s">
        <v>179</v>
      </c>
      <c r="AB26">
        <f>COUNTIF(OWNED[bgg_id],library_data[[#This Row],[bgg_id]])</f>
        <v>1</v>
      </c>
    </row>
    <row r="27" spans="1:28" x14ac:dyDescent="0.25">
      <c r="A27">
        <v>26</v>
      </c>
      <c r="B27" t="s">
        <v>93</v>
      </c>
      <c r="C27" t="s">
        <v>2718</v>
      </c>
      <c r="D27">
        <v>2015</v>
      </c>
      <c r="E27">
        <v>2</v>
      </c>
      <c r="F27">
        <v>8</v>
      </c>
      <c r="G27">
        <v>15</v>
      </c>
      <c r="H27">
        <v>15</v>
      </c>
      <c r="I27" t="s">
        <v>2719</v>
      </c>
      <c r="J27" t="s">
        <v>831</v>
      </c>
      <c r="K27" t="s">
        <v>2720</v>
      </c>
      <c r="L27">
        <v>178900</v>
      </c>
      <c r="M27" t="s">
        <v>2721</v>
      </c>
      <c r="N27" t="s">
        <v>2473</v>
      </c>
      <c r="O27" t="s">
        <v>2722</v>
      </c>
      <c r="P27" t="s">
        <v>2723</v>
      </c>
      <c r="Q27" t="s">
        <v>2724</v>
      </c>
      <c r="R27" t="s">
        <v>2725</v>
      </c>
      <c r="S27" t="s">
        <v>2726</v>
      </c>
      <c r="T27">
        <v>7.5309299999999997</v>
      </c>
      <c r="U27">
        <v>1.2579</v>
      </c>
      <c r="V27">
        <v>158</v>
      </c>
      <c r="W27">
        <v>99978</v>
      </c>
      <c r="X27">
        <v>10</v>
      </c>
      <c r="Y27" t="b">
        <v>0</v>
      </c>
      <c r="Z27" t="b">
        <v>0</v>
      </c>
      <c r="AA27" t="s">
        <v>179</v>
      </c>
      <c r="AB27">
        <f>COUNTIF(OWNED[bgg_id],library_data[[#This Row],[bgg_id]])</f>
        <v>1</v>
      </c>
    </row>
    <row r="28" spans="1:28" x14ac:dyDescent="0.25">
      <c r="A28">
        <v>27</v>
      </c>
      <c r="B28" t="s">
        <v>66</v>
      </c>
      <c r="C28" t="s">
        <v>2727</v>
      </c>
      <c r="D28">
        <v>1994</v>
      </c>
      <c r="E28">
        <v>2</v>
      </c>
      <c r="F28">
        <v>4</v>
      </c>
      <c r="G28">
        <v>45</v>
      </c>
      <c r="H28">
        <v>45</v>
      </c>
      <c r="I28" t="s">
        <v>2728</v>
      </c>
      <c r="J28" t="s">
        <v>837</v>
      </c>
      <c r="K28" t="s">
        <v>2729</v>
      </c>
      <c r="L28">
        <v>119</v>
      </c>
      <c r="M28" t="s">
        <v>2730</v>
      </c>
      <c r="N28" t="s">
        <v>2473</v>
      </c>
      <c r="O28" t="s">
        <v>2731</v>
      </c>
      <c r="P28" t="s">
        <v>2732</v>
      </c>
      <c r="Q28" t="s">
        <v>2733</v>
      </c>
      <c r="R28" t="s">
        <v>2734</v>
      </c>
      <c r="S28" t="s">
        <v>2735</v>
      </c>
      <c r="T28">
        <v>6.6846800000000002</v>
      </c>
      <c r="U28">
        <v>1.8371999999999999</v>
      </c>
      <c r="V28">
        <v>1768</v>
      </c>
      <c r="W28">
        <v>5156</v>
      </c>
      <c r="X28">
        <v>9</v>
      </c>
      <c r="Y28" t="b">
        <v>0</v>
      </c>
      <c r="Z28" t="b">
        <v>0</v>
      </c>
      <c r="AA28" t="s">
        <v>280</v>
      </c>
      <c r="AB28">
        <f>COUNTIF(OWNED[bgg_id],library_data[[#This Row],[bgg_id]])</f>
        <v>1</v>
      </c>
    </row>
    <row r="29" spans="1:28" x14ac:dyDescent="0.25">
      <c r="A29">
        <v>28</v>
      </c>
      <c r="B29" t="s">
        <v>17</v>
      </c>
      <c r="C29" t="s">
        <v>2736</v>
      </c>
      <c r="D29">
        <v>2021</v>
      </c>
      <c r="E29">
        <v>1</v>
      </c>
      <c r="F29">
        <v>4</v>
      </c>
      <c r="G29">
        <v>120</v>
      </c>
      <c r="H29">
        <v>180</v>
      </c>
      <c r="I29" t="s">
        <v>2737</v>
      </c>
      <c r="J29" t="s">
        <v>845</v>
      </c>
      <c r="K29" t="s">
        <v>2738</v>
      </c>
      <c r="L29">
        <v>322708</v>
      </c>
      <c r="M29" t="s">
        <v>2739</v>
      </c>
      <c r="N29" t="s">
        <v>2470</v>
      </c>
      <c r="O29" t="s">
        <v>2740</v>
      </c>
      <c r="P29" t="s">
        <v>2741</v>
      </c>
      <c r="Q29" t="s">
        <v>2742</v>
      </c>
      <c r="R29" t="s">
        <v>2743</v>
      </c>
      <c r="S29" t="s">
        <v>2744</v>
      </c>
      <c r="T29">
        <v>7.9132199999999999</v>
      </c>
      <c r="U29">
        <v>2.6993999999999998</v>
      </c>
      <c r="V29">
        <v>461</v>
      </c>
      <c r="W29">
        <v>5531</v>
      </c>
      <c r="X29">
        <v>14</v>
      </c>
      <c r="Y29" t="b">
        <v>1</v>
      </c>
      <c r="Z29" t="b">
        <v>0</v>
      </c>
      <c r="AA29" t="s">
        <v>193</v>
      </c>
      <c r="AB29">
        <f>COUNTIF(OWNED[bgg_id],library_data[[#This Row],[bgg_id]])</f>
        <v>1</v>
      </c>
    </row>
    <row r="30" spans="1:28" x14ac:dyDescent="0.25">
      <c r="A30">
        <v>29</v>
      </c>
      <c r="B30" t="s">
        <v>277</v>
      </c>
      <c r="C30" t="s">
        <v>2745</v>
      </c>
      <c r="D30">
        <v>2017</v>
      </c>
      <c r="E30">
        <v>2</v>
      </c>
      <c r="F30">
        <v>6</v>
      </c>
      <c r="G30">
        <v>20</v>
      </c>
      <c r="H30">
        <v>40</v>
      </c>
      <c r="I30" t="s">
        <v>2746</v>
      </c>
      <c r="J30" t="s">
        <v>853</v>
      </c>
      <c r="K30" t="s">
        <v>2747</v>
      </c>
      <c r="L30">
        <v>215311</v>
      </c>
      <c r="M30" t="s">
        <v>2748</v>
      </c>
      <c r="N30" t="s">
        <v>2471</v>
      </c>
      <c r="O30" t="s">
        <v>2749</v>
      </c>
      <c r="P30" t="s">
        <v>2750</v>
      </c>
      <c r="Q30" t="s">
        <v>2751</v>
      </c>
      <c r="R30" t="s">
        <v>2752</v>
      </c>
      <c r="S30" t="s">
        <v>2753</v>
      </c>
      <c r="T30">
        <v>7.2637900000000002</v>
      </c>
      <c r="U30">
        <v>1.7343999999999999</v>
      </c>
      <c r="V30">
        <v>479</v>
      </c>
      <c r="W30">
        <v>14829</v>
      </c>
      <c r="X30">
        <v>10</v>
      </c>
      <c r="Y30" t="b">
        <v>0</v>
      </c>
      <c r="Z30" t="b">
        <v>0</v>
      </c>
      <c r="AA30" t="s">
        <v>180</v>
      </c>
      <c r="AB30">
        <f>COUNTIF(OWNED[bgg_id],library_data[[#This Row],[bgg_id]])</f>
        <v>1</v>
      </c>
    </row>
    <row r="31" spans="1:28" x14ac:dyDescent="0.25">
      <c r="A31">
        <v>30</v>
      </c>
      <c r="B31" t="s">
        <v>43</v>
      </c>
      <c r="C31" t="s">
        <v>2754</v>
      </c>
      <c r="D31">
        <v>2011</v>
      </c>
      <c r="E31">
        <v>2</v>
      </c>
      <c r="F31">
        <v>6</v>
      </c>
      <c r="G31">
        <v>60</v>
      </c>
      <c r="H31">
        <v>180</v>
      </c>
      <c r="I31" t="s">
        <v>2755</v>
      </c>
      <c r="J31" t="s">
        <v>861</v>
      </c>
      <c r="K31" t="s">
        <v>2756</v>
      </c>
      <c r="L31">
        <v>72125</v>
      </c>
      <c r="M31" t="s">
        <v>2757</v>
      </c>
      <c r="N31" t="s">
        <v>2474</v>
      </c>
      <c r="O31" t="s">
        <v>2758</v>
      </c>
      <c r="P31" t="s">
        <v>2759</v>
      </c>
      <c r="Q31" t="s">
        <v>2760</v>
      </c>
      <c r="R31" t="s">
        <v>2761</v>
      </c>
      <c r="S31" t="s">
        <v>2762</v>
      </c>
      <c r="T31">
        <v>7.8211300000000001</v>
      </c>
      <c r="U31">
        <v>3.706</v>
      </c>
      <c r="V31">
        <v>97</v>
      </c>
      <c r="W31">
        <v>28871</v>
      </c>
      <c r="X31">
        <v>14</v>
      </c>
      <c r="Y31" t="b">
        <v>0</v>
      </c>
      <c r="Z31" t="b">
        <v>0</v>
      </c>
      <c r="AA31" t="s">
        <v>187</v>
      </c>
      <c r="AB31">
        <f>COUNTIF(OWNED[bgg_id],library_data[[#This Row],[bgg_id]])</f>
        <v>1</v>
      </c>
    </row>
    <row r="32" spans="1:28" x14ac:dyDescent="0.25">
      <c r="A32">
        <v>31</v>
      </c>
      <c r="B32" t="s">
        <v>194</v>
      </c>
      <c r="C32" t="s">
        <v>2763</v>
      </c>
      <c r="D32">
        <v>2018</v>
      </c>
      <c r="E32">
        <v>2</v>
      </c>
      <c r="F32">
        <v>5</v>
      </c>
      <c r="G32">
        <v>45</v>
      </c>
      <c r="H32">
        <v>45</v>
      </c>
      <c r="I32" t="s">
        <v>2764</v>
      </c>
      <c r="J32" t="s">
        <v>869</v>
      </c>
      <c r="K32" t="s">
        <v>2765</v>
      </c>
      <c r="L32">
        <v>261720</v>
      </c>
      <c r="M32" t="s">
        <v>2766</v>
      </c>
      <c r="N32" t="s">
        <v>2471</v>
      </c>
      <c r="O32" t="s">
        <v>2767</v>
      </c>
      <c r="P32" t="s">
        <v>2768</v>
      </c>
      <c r="Q32" t="s">
        <v>2769</v>
      </c>
      <c r="R32" t="s">
        <v>2770</v>
      </c>
      <c r="S32" t="s">
        <v>2771</v>
      </c>
      <c r="T32">
        <v>7.3586099999999997</v>
      </c>
      <c r="U32">
        <v>2.0625</v>
      </c>
      <c r="W32">
        <v>705</v>
      </c>
      <c r="X32">
        <v>10</v>
      </c>
      <c r="Y32" t="b">
        <v>0</v>
      </c>
      <c r="Z32" t="b">
        <v>0</v>
      </c>
      <c r="AA32" t="s">
        <v>308</v>
      </c>
      <c r="AB32">
        <f>COUNTIF(OWNED[bgg_id],library_data[[#This Row],[bgg_id]])</f>
        <v>1</v>
      </c>
    </row>
    <row r="33" spans="1:28" x14ac:dyDescent="0.25">
      <c r="A33">
        <v>32</v>
      </c>
      <c r="B33" t="s">
        <v>313</v>
      </c>
      <c r="C33" t="s">
        <v>2772</v>
      </c>
      <c r="D33">
        <v>2025</v>
      </c>
      <c r="E33">
        <v>2</v>
      </c>
      <c r="F33">
        <v>6</v>
      </c>
      <c r="G33">
        <v>20</v>
      </c>
      <c r="H33">
        <v>20</v>
      </c>
      <c r="I33" t="s">
        <v>2773</v>
      </c>
      <c r="J33" t="s">
        <v>867</v>
      </c>
      <c r="K33" t="s">
        <v>2774</v>
      </c>
      <c r="L33">
        <v>447244</v>
      </c>
      <c r="M33" t="s">
        <v>2775</v>
      </c>
      <c r="N33" t="s">
        <v>2473</v>
      </c>
      <c r="O33" t="s">
        <v>2776</v>
      </c>
      <c r="P33" t="s">
        <v>2777</v>
      </c>
      <c r="Q33" t="s">
        <v>2778</v>
      </c>
      <c r="R33" t="s">
        <v>2779</v>
      </c>
      <c r="S33" t="s">
        <v>2609</v>
      </c>
      <c r="T33">
        <v>5.7038500000000001</v>
      </c>
      <c r="U33">
        <v>1</v>
      </c>
      <c r="V33">
        <v>24908</v>
      </c>
      <c r="W33">
        <v>52</v>
      </c>
      <c r="X33">
        <v>7</v>
      </c>
      <c r="Y33" t="b">
        <v>0</v>
      </c>
      <c r="Z33" t="b">
        <v>0</v>
      </c>
      <c r="AA33" t="s">
        <v>179</v>
      </c>
      <c r="AB33">
        <f>COUNTIF(OWNED[bgg_id],library_data[[#This Row],[bgg_id]])</f>
        <v>1</v>
      </c>
    </row>
    <row r="34" spans="1:28" x14ac:dyDescent="0.25">
      <c r="A34">
        <v>33</v>
      </c>
      <c r="B34" t="s">
        <v>60</v>
      </c>
      <c r="C34" t="s">
        <v>2665</v>
      </c>
      <c r="D34">
        <v>2024</v>
      </c>
      <c r="E34">
        <v>3</v>
      </c>
      <c r="F34">
        <v>18</v>
      </c>
      <c r="G34">
        <v>20</v>
      </c>
      <c r="H34">
        <v>20</v>
      </c>
      <c r="I34" t="s">
        <v>2780</v>
      </c>
      <c r="J34" t="s">
        <v>875</v>
      </c>
      <c r="K34" t="s">
        <v>2781</v>
      </c>
      <c r="L34">
        <v>420087</v>
      </c>
      <c r="M34" t="s">
        <v>2782</v>
      </c>
      <c r="N34" t="s">
        <v>2473</v>
      </c>
      <c r="O34" t="s">
        <v>2783</v>
      </c>
      <c r="P34" t="s">
        <v>2784</v>
      </c>
      <c r="Q34" t="s">
        <v>2785</v>
      </c>
      <c r="R34" t="s">
        <v>2786</v>
      </c>
      <c r="S34" t="s">
        <v>2787</v>
      </c>
      <c r="T34">
        <v>7.2056699999999996</v>
      </c>
      <c r="U34">
        <v>1.0432999999999999</v>
      </c>
      <c r="V34">
        <v>659</v>
      </c>
      <c r="W34">
        <v>11438</v>
      </c>
      <c r="X34">
        <v>8</v>
      </c>
      <c r="Y34" t="b">
        <v>0</v>
      </c>
      <c r="Z34" t="b">
        <v>0</v>
      </c>
      <c r="AA34" t="s">
        <v>186</v>
      </c>
      <c r="AB34">
        <f>COUNTIF(OWNED[bgg_id],library_data[[#This Row],[bgg_id]])</f>
        <v>1</v>
      </c>
    </row>
    <row r="35" spans="1:28" x14ac:dyDescent="0.25">
      <c r="A35">
        <v>34</v>
      </c>
      <c r="B35" t="s">
        <v>19</v>
      </c>
      <c r="C35" t="s">
        <v>2788</v>
      </c>
      <c r="D35">
        <v>1997</v>
      </c>
      <c r="E35">
        <v>3</v>
      </c>
      <c r="F35">
        <v>6</v>
      </c>
      <c r="G35">
        <v>30</v>
      </c>
      <c r="H35">
        <v>30</v>
      </c>
      <c r="I35" t="s">
        <v>2789</v>
      </c>
      <c r="J35" t="s">
        <v>883</v>
      </c>
      <c r="K35" t="s">
        <v>2790</v>
      </c>
      <c r="L35">
        <v>172</v>
      </c>
      <c r="M35" t="s">
        <v>2791</v>
      </c>
      <c r="N35" t="s">
        <v>2473</v>
      </c>
      <c r="O35" t="s">
        <v>2792</v>
      </c>
      <c r="P35" t="s">
        <v>2793</v>
      </c>
      <c r="Q35" t="s">
        <v>2794</v>
      </c>
      <c r="R35" t="s">
        <v>2795</v>
      </c>
      <c r="S35" t="s">
        <v>2796</v>
      </c>
      <c r="T35">
        <v>7.2623899999999999</v>
      </c>
      <c r="U35">
        <v>1.2507999999999999</v>
      </c>
      <c r="V35">
        <v>352</v>
      </c>
      <c r="W35">
        <v>33316</v>
      </c>
      <c r="X35">
        <v>10</v>
      </c>
      <c r="Y35" t="b">
        <v>0</v>
      </c>
      <c r="Z35" t="b">
        <v>0</v>
      </c>
      <c r="AA35" t="s">
        <v>180</v>
      </c>
      <c r="AB35">
        <f>COUNTIF(OWNED[bgg_id],library_data[[#This Row],[bgg_id]])</f>
        <v>1</v>
      </c>
    </row>
    <row r="36" spans="1:28" x14ac:dyDescent="0.25">
      <c r="A36">
        <v>35</v>
      </c>
      <c r="B36" t="s">
        <v>276</v>
      </c>
      <c r="C36" t="s">
        <v>2797</v>
      </c>
      <c r="D36">
        <v>2023</v>
      </c>
      <c r="E36">
        <v>1</v>
      </c>
      <c r="F36">
        <v>4</v>
      </c>
      <c r="G36">
        <v>15</v>
      </c>
      <c r="H36">
        <v>15</v>
      </c>
      <c r="I36" t="s">
        <v>2798</v>
      </c>
      <c r="J36" t="s">
        <v>887</v>
      </c>
      <c r="K36" t="s">
        <v>2799</v>
      </c>
      <c r="L36">
        <v>361840</v>
      </c>
      <c r="M36" t="s">
        <v>2800</v>
      </c>
      <c r="N36" t="s">
        <v>2470</v>
      </c>
      <c r="O36" t="s">
        <v>2801</v>
      </c>
      <c r="P36" t="s">
        <v>2802</v>
      </c>
      <c r="Q36" t="s">
        <v>2803</v>
      </c>
      <c r="R36" t="s">
        <v>2804</v>
      </c>
      <c r="S36" t="s">
        <v>2805</v>
      </c>
      <c r="T36">
        <v>6.3746600000000004</v>
      </c>
      <c r="U36">
        <v>2</v>
      </c>
      <c r="V36">
        <v>11106</v>
      </c>
      <c r="W36">
        <v>206</v>
      </c>
      <c r="X36">
        <v>10</v>
      </c>
      <c r="Y36" t="b">
        <v>1</v>
      </c>
      <c r="Z36" t="b">
        <v>0</v>
      </c>
      <c r="AA36" t="s">
        <v>181</v>
      </c>
      <c r="AB36">
        <f>COUNTIF(OWNED[bgg_id],library_data[[#This Row],[bgg_id]])</f>
        <v>1</v>
      </c>
    </row>
    <row r="37" spans="1:28" x14ac:dyDescent="0.25">
      <c r="A37">
        <v>36</v>
      </c>
      <c r="B37" t="s">
        <v>65</v>
      </c>
      <c r="C37" t="s">
        <v>2806</v>
      </c>
      <c r="D37">
        <v>2013</v>
      </c>
      <c r="E37">
        <v>2</v>
      </c>
      <c r="F37">
        <v>8</v>
      </c>
      <c r="G37">
        <v>20</v>
      </c>
      <c r="H37">
        <v>20</v>
      </c>
      <c r="I37" t="s">
        <v>2807</v>
      </c>
      <c r="J37" t="s">
        <v>895</v>
      </c>
      <c r="K37" t="s">
        <v>2808</v>
      </c>
      <c r="L37">
        <v>146765</v>
      </c>
      <c r="M37" t="s">
        <v>2809</v>
      </c>
      <c r="N37" t="s">
        <v>2473</v>
      </c>
      <c r="O37" t="s">
        <v>2810</v>
      </c>
      <c r="P37" t="s">
        <v>2811</v>
      </c>
      <c r="Q37" t="s">
        <v>2812</v>
      </c>
      <c r="R37" t="s">
        <v>2813</v>
      </c>
      <c r="S37" t="s">
        <v>2814</v>
      </c>
      <c r="T37">
        <v>6.1330499999999999</v>
      </c>
      <c r="U37">
        <v>1.2</v>
      </c>
      <c r="V37">
        <v>20714</v>
      </c>
      <c r="W37">
        <v>59</v>
      </c>
      <c r="X37">
        <v>7</v>
      </c>
      <c r="Y37" t="b">
        <v>0</v>
      </c>
      <c r="Z37" t="b">
        <v>0</v>
      </c>
      <c r="AA37" t="s">
        <v>181</v>
      </c>
      <c r="AB37">
        <f>COUNTIF(OWNED[bgg_id],library_data[[#This Row],[bgg_id]])</f>
        <v>1</v>
      </c>
    </row>
    <row r="38" spans="1:28" x14ac:dyDescent="0.25">
      <c r="A38">
        <v>37</v>
      </c>
      <c r="B38" t="s">
        <v>119</v>
      </c>
      <c r="C38" t="s">
        <v>2815</v>
      </c>
      <c r="D38">
        <v>2001</v>
      </c>
      <c r="E38">
        <v>2</v>
      </c>
      <c r="F38">
        <v>2</v>
      </c>
      <c r="G38">
        <v>20</v>
      </c>
      <c r="H38">
        <v>20</v>
      </c>
      <c r="I38" t="s">
        <v>2816</v>
      </c>
      <c r="J38" t="s">
        <v>901</v>
      </c>
      <c r="K38" t="s">
        <v>2817</v>
      </c>
      <c r="L38">
        <v>2655</v>
      </c>
      <c r="M38" t="s">
        <v>2818</v>
      </c>
      <c r="N38" t="s">
        <v>2471</v>
      </c>
      <c r="O38" t="s">
        <v>2819</v>
      </c>
      <c r="P38" t="s">
        <v>2820</v>
      </c>
      <c r="Q38" t="s">
        <v>2821</v>
      </c>
      <c r="R38" t="s">
        <v>2822</v>
      </c>
      <c r="S38" t="s">
        <v>2820</v>
      </c>
      <c r="T38">
        <v>7.3175600000000003</v>
      </c>
      <c r="U38">
        <v>2.3142</v>
      </c>
      <c r="V38">
        <v>321</v>
      </c>
      <c r="W38">
        <v>39417</v>
      </c>
      <c r="X38">
        <v>9</v>
      </c>
      <c r="Y38" t="b">
        <v>0</v>
      </c>
      <c r="Z38" t="b">
        <v>0</v>
      </c>
      <c r="AA38" t="s">
        <v>192</v>
      </c>
      <c r="AB38">
        <f>COUNTIF(OWNED[bgg_id],library_data[[#This Row],[bgg_id]])</f>
        <v>1</v>
      </c>
    </row>
    <row r="39" spans="1:28" x14ac:dyDescent="0.25">
      <c r="A39">
        <v>38</v>
      </c>
      <c r="B39" t="s">
        <v>73</v>
      </c>
      <c r="C39" t="s">
        <v>2823</v>
      </c>
      <c r="D39">
        <v>2020</v>
      </c>
      <c r="E39">
        <v>3</v>
      </c>
      <c r="F39">
        <v>10</v>
      </c>
      <c r="G39">
        <v>30</v>
      </c>
      <c r="H39">
        <v>30</v>
      </c>
      <c r="I39" t="s">
        <v>2824</v>
      </c>
      <c r="J39" t="s">
        <v>907</v>
      </c>
      <c r="K39" t="s">
        <v>2825</v>
      </c>
      <c r="L39">
        <v>302520</v>
      </c>
      <c r="M39" t="s">
        <v>2826</v>
      </c>
      <c r="N39" t="s">
        <v>2473</v>
      </c>
      <c r="O39" t="s">
        <v>2827</v>
      </c>
      <c r="P39" t="s">
        <v>2828</v>
      </c>
      <c r="Q39" t="s">
        <v>2829</v>
      </c>
      <c r="R39" t="s">
        <v>2830</v>
      </c>
      <c r="S39" t="s">
        <v>2609</v>
      </c>
      <c r="T39">
        <v>6.4943099999999996</v>
      </c>
      <c r="U39">
        <v>1.0682</v>
      </c>
      <c r="V39">
        <v>2323</v>
      </c>
      <c r="W39">
        <v>6058</v>
      </c>
      <c r="X39">
        <v>8</v>
      </c>
      <c r="Y39" t="b">
        <v>0</v>
      </c>
      <c r="Z39" t="b">
        <v>0</v>
      </c>
      <c r="AA39" t="s">
        <v>186</v>
      </c>
      <c r="AB39">
        <f>COUNTIF(OWNED[bgg_id],library_data[[#This Row],[bgg_id]])</f>
        <v>1</v>
      </c>
    </row>
    <row r="40" spans="1:28" x14ac:dyDescent="0.25">
      <c r="A40">
        <v>39</v>
      </c>
      <c r="B40" t="s">
        <v>54</v>
      </c>
      <c r="C40" t="s">
        <v>2831</v>
      </c>
      <c r="D40">
        <v>2016</v>
      </c>
      <c r="E40">
        <v>3</v>
      </c>
      <c r="F40">
        <v>5</v>
      </c>
      <c r="G40">
        <v>60</v>
      </c>
      <c r="H40">
        <v>60</v>
      </c>
      <c r="I40" t="s">
        <v>2832</v>
      </c>
      <c r="J40" t="s">
        <v>865</v>
      </c>
      <c r="K40" t="s">
        <v>2833</v>
      </c>
      <c r="L40">
        <v>204836</v>
      </c>
      <c r="M40" t="s">
        <v>2834</v>
      </c>
      <c r="N40" t="s">
        <v>2470</v>
      </c>
      <c r="O40" t="s">
        <v>2835</v>
      </c>
      <c r="P40" t="s">
        <v>2836</v>
      </c>
      <c r="Q40" t="s">
        <v>2837</v>
      </c>
      <c r="R40" t="s">
        <v>2838</v>
      </c>
      <c r="S40" t="s">
        <v>2839</v>
      </c>
      <c r="T40">
        <v>6.8792499999999999</v>
      </c>
      <c r="U40">
        <v>2.2631999999999999</v>
      </c>
      <c r="V40">
        <v>1549</v>
      </c>
      <c r="W40">
        <v>4364</v>
      </c>
      <c r="X40">
        <v>16</v>
      </c>
      <c r="Y40" t="b">
        <v>1</v>
      </c>
      <c r="Z40" t="b">
        <v>0</v>
      </c>
      <c r="AA40" t="s">
        <v>180</v>
      </c>
      <c r="AB40">
        <f>COUNTIF(OWNED[bgg_id],library_data[[#This Row],[bgg_id]])</f>
        <v>1</v>
      </c>
    </row>
    <row r="41" spans="1:28" x14ac:dyDescent="0.25">
      <c r="A41">
        <v>40</v>
      </c>
      <c r="B41" t="s">
        <v>115</v>
      </c>
      <c r="C41" t="s">
        <v>2840</v>
      </c>
      <c r="D41">
        <v>2011</v>
      </c>
      <c r="E41">
        <v>2</v>
      </c>
      <c r="F41">
        <v>6</v>
      </c>
      <c r="G41">
        <v>30</v>
      </c>
      <c r="H41">
        <v>30</v>
      </c>
      <c r="I41" t="s">
        <v>2841</v>
      </c>
      <c r="J41" t="s">
        <v>921</v>
      </c>
      <c r="K41" t="s">
        <v>2842</v>
      </c>
      <c r="L41">
        <v>70323</v>
      </c>
      <c r="M41" t="s">
        <v>2843</v>
      </c>
      <c r="N41" t="s">
        <v>2471</v>
      </c>
      <c r="O41" t="s">
        <v>2844</v>
      </c>
      <c r="P41" t="s">
        <v>2845</v>
      </c>
      <c r="Q41" t="s">
        <v>2846</v>
      </c>
      <c r="R41" t="s">
        <v>2847</v>
      </c>
      <c r="S41" t="s">
        <v>2848</v>
      </c>
      <c r="T41">
        <v>7.1204200000000002</v>
      </c>
      <c r="U41">
        <v>1.4859</v>
      </c>
      <c r="V41">
        <v>467</v>
      </c>
      <c r="W41">
        <v>74279</v>
      </c>
      <c r="X41">
        <v>8</v>
      </c>
      <c r="Y41" t="b">
        <v>0</v>
      </c>
      <c r="Z41" t="b">
        <v>0</v>
      </c>
      <c r="AA41" t="s">
        <v>180</v>
      </c>
      <c r="AB41">
        <f>COUNTIF(OWNED[bgg_id],library_data[[#This Row],[bgg_id]])</f>
        <v>1</v>
      </c>
    </row>
    <row r="42" spans="1:28" x14ac:dyDescent="0.25">
      <c r="A42">
        <v>41</v>
      </c>
      <c r="B42" t="s">
        <v>216</v>
      </c>
      <c r="C42" t="s">
        <v>2849</v>
      </c>
      <c r="D42">
        <v>2014</v>
      </c>
      <c r="E42">
        <v>2</v>
      </c>
      <c r="F42">
        <v>2</v>
      </c>
      <c r="G42">
        <v>10</v>
      </c>
      <c r="H42">
        <v>10</v>
      </c>
      <c r="I42" t="s">
        <v>2850</v>
      </c>
      <c r="J42" t="s">
        <v>927</v>
      </c>
      <c r="K42" t="s">
        <v>2851</v>
      </c>
      <c r="L42">
        <v>165722</v>
      </c>
      <c r="M42" t="s">
        <v>2852</v>
      </c>
      <c r="N42" t="s">
        <v>2472</v>
      </c>
      <c r="O42" t="s">
        <v>2853</v>
      </c>
      <c r="P42" t="s">
        <v>2854</v>
      </c>
      <c r="Q42" t="s">
        <v>2855</v>
      </c>
      <c r="R42" t="s">
        <v>2856</v>
      </c>
      <c r="S42" t="s">
        <v>2854</v>
      </c>
      <c r="T42">
        <v>7.6271800000000001</v>
      </c>
      <c r="U42">
        <v>1.0485</v>
      </c>
      <c r="V42">
        <v>254</v>
      </c>
      <c r="W42">
        <v>11699</v>
      </c>
      <c r="X42">
        <v>8</v>
      </c>
      <c r="Y42" t="b">
        <v>0</v>
      </c>
      <c r="Z42" t="b">
        <v>0</v>
      </c>
      <c r="AA42" t="s">
        <v>186</v>
      </c>
      <c r="AB42">
        <f>COUNTIF(OWNED[bgg_id],library_data[[#This Row],[bgg_id]])</f>
        <v>1</v>
      </c>
    </row>
    <row r="43" spans="1:28" x14ac:dyDescent="0.25">
      <c r="A43">
        <v>42</v>
      </c>
      <c r="B43" t="s">
        <v>278</v>
      </c>
      <c r="C43" t="s">
        <v>2857</v>
      </c>
      <c r="D43">
        <v>2010</v>
      </c>
      <c r="E43">
        <v>2</v>
      </c>
      <c r="F43">
        <v>6</v>
      </c>
      <c r="G43">
        <v>60</v>
      </c>
      <c r="H43">
        <v>72</v>
      </c>
      <c r="I43" t="s">
        <v>2858</v>
      </c>
      <c r="J43" t="s">
        <v>933</v>
      </c>
      <c r="K43" t="s">
        <v>2859</v>
      </c>
      <c r="L43">
        <v>29687</v>
      </c>
      <c r="M43" t="s">
        <v>2860</v>
      </c>
      <c r="N43" t="s">
        <v>2471</v>
      </c>
      <c r="O43" t="s">
        <v>2861</v>
      </c>
      <c r="P43" t="s">
        <v>2862</v>
      </c>
      <c r="Q43" t="s">
        <v>2863</v>
      </c>
      <c r="R43" t="s">
        <v>2864</v>
      </c>
      <c r="S43" t="s">
        <v>2865</v>
      </c>
      <c r="T43">
        <v>6.4123900000000003</v>
      </c>
      <c r="U43">
        <v>1.8454999999999999</v>
      </c>
      <c r="V43">
        <v>4347</v>
      </c>
      <c r="W43">
        <v>1270</v>
      </c>
      <c r="X43">
        <v>13</v>
      </c>
      <c r="Y43" t="b">
        <v>0</v>
      </c>
      <c r="Z43" t="b">
        <v>0</v>
      </c>
      <c r="AA43" t="s">
        <v>180</v>
      </c>
      <c r="AB43">
        <f>COUNTIF(OWNED[bgg_id],library_data[[#This Row],[bgg_id]])</f>
        <v>1</v>
      </c>
    </row>
    <row r="44" spans="1:28" x14ac:dyDescent="0.25">
      <c r="A44">
        <v>43</v>
      </c>
      <c r="B44" t="s">
        <v>12</v>
      </c>
      <c r="C44" t="s">
        <v>2866</v>
      </c>
      <c r="D44">
        <v>2018</v>
      </c>
      <c r="E44">
        <v>2</v>
      </c>
      <c r="F44">
        <v>4</v>
      </c>
      <c r="G44">
        <v>30</v>
      </c>
      <c r="H44">
        <v>30</v>
      </c>
      <c r="I44" t="s">
        <v>2867</v>
      </c>
      <c r="J44" t="s">
        <v>857</v>
      </c>
      <c r="K44" t="s">
        <v>2868</v>
      </c>
      <c r="L44">
        <v>244916</v>
      </c>
      <c r="M44" t="s">
        <v>2869</v>
      </c>
      <c r="N44" t="s">
        <v>2472</v>
      </c>
      <c r="O44" t="s">
        <v>2870</v>
      </c>
      <c r="P44" t="s">
        <v>2871</v>
      </c>
      <c r="Q44" t="s">
        <v>2872</v>
      </c>
      <c r="R44" t="s">
        <v>2609</v>
      </c>
      <c r="S44" t="s">
        <v>2873</v>
      </c>
      <c r="T44">
        <v>6.8847100000000001</v>
      </c>
      <c r="U44">
        <v>1.0876999999999999</v>
      </c>
      <c r="V44">
        <v>1841</v>
      </c>
      <c r="W44">
        <v>3118</v>
      </c>
      <c r="X44">
        <v>8</v>
      </c>
      <c r="Y44" t="b">
        <v>0</v>
      </c>
      <c r="Z44" t="b">
        <v>0</v>
      </c>
      <c r="AA44" t="s">
        <v>180</v>
      </c>
      <c r="AB44">
        <f>COUNTIF(OWNED[bgg_id],library_data[[#This Row],[bgg_id]])</f>
        <v>1</v>
      </c>
    </row>
    <row r="45" spans="1:28" x14ac:dyDescent="0.25">
      <c r="A45">
        <v>44</v>
      </c>
      <c r="B45" t="s">
        <v>287</v>
      </c>
      <c r="C45" t="s">
        <v>2874</v>
      </c>
      <c r="D45">
        <v>2014</v>
      </c>
      <c r="E45">
        <v>2</v>
      </c>
      <c r="F45">
        <v>4</v>
      </c>
      <c r="G45">
        <v>40</v>
      </c>
      <c r="H45">
        <v>80</v>
      </c>
      <c r="I45" t="s">
        <v>2875</v>
      </c>
      <c r="J45" t="s">
        <v>871</v>
      </c>
      <c r="K45" t="s">
        <v>2876</v>
      </c>
      <c r="L45">
        <v>157354</v>
      </c>
      <c r="M45" t="s">
        <v>2877</v>
      </c>
      <c r="N45" t="s">
        <v>2474</v>
      </c>
      <c r="O45" t="s">
        <v>2878</v>
      </c>
      <c r="P45" t="s">
        <v>2879</v>
      </c>
      <c r="Q45" t="s">
        <v>2880</v>
      </c>
      <c r="R45" t="s">
        <v>2881</v>
      </c>
      <c r="S45" t="s">
        <v>2882</v>
      </c>
      <c r="T45">
        <v>7.7657299999999996</v>
      </c>
      <c r="U45">
        <v>2.8393000000000002</v>
      </c>
      <c r="V45">
        <v>93</v>
      </c>
      <c r="W45">
        <v>44126</v>
      </c>
      <c r="X45">
        <v>13</v>
      </c>
      <c r="Y45" t="b">
        <v>0</v>
      </c>
      <c r="Z45" t="b">
        <v>0</v>
      </c>
      <c r="AA45" t="s">
        <v>187</v>
      </c>
      <c r="AB45">
        <f>COUNTIF(OWNED[bgg_id],library_data[[#This Row],[bgg_id]])</f>
        <v>1</v>
      </c>
    </row>
    <row r="46" spans="1:28" x14ac:dyDescent="0.25">
      <c r="A46">
        <v>45</v>
      </c>
      <c r="B46" t="s">
        <v>85</v>
      </c>
      <c r="C46" t="s">
        <v>2883</v>
      </c>
      <c r="D46">
        <v>2023</v>
      </c>
      <c r="E46">
        <v>2</v>
      </c>
      <c r="F46">
        <v>4</v>
      </c>
      <c r="G46">
        <v>20</v>
      </c>
      <c r="H46">
        <v>40</v>
      </c>
      <c r="I46" t="s">
        <v>2884</v>
      </c>
      <c r="J46" t="s">
        <v>879</v>
      </c>
      <c r="K46" t="s">
        <v>2885</v>
      </c>
      <c r="L46">
        <v>334712</v>
      </c>
      <c r="M46" t="s">
        <v>2886</v>
      </c>
      <c r="N46" t="s">
        <v>2472</v>
      </c>
      <c r="O46" t="s">
        <v>2887</v>
      </c>
      <c r="P46" t="s">
        <v>2888</v>
      </c>
      <c r="Q46" t="s">
        <v>2889</v>
      </c>
      <c r="R46" t="s">
        <v>2890</v>
      </c>
      <c r="S46" t="s">
        <v>2891</v>
      </c>
      <c r="T46">
        <v>6.7229999999999999</v>
      </c>
      <c r="U46">
        <v>2</v>
      </c>
      <c r="V46">
        <v>10950</v>
      </c>
      <c r="W46">
        <v>149</v>
      </c>
      <c r="X46">
        <v>12</v>
      </c>
      <c r="Y46" t="b">
        <v>0</v>
      </c>
      <c r="Z46" t="b">
        <v>0</v>
      </c>
      <c r="AA46" t="s">
        <v>182</v>
      </c>
      <c r="AB46">
        <f>COUNTIF(OWNED[bgg_id],library_data[[#This Row],[bgg_id]])</f>
        <v>1</v>
      </c>
    </row>
    <row r="47" spans="1:28" x14ac:dyDescent="0.25">
      <c r="A47">
        <v>46</v>
      </c>
      <c r="B47" t="s">
        <v>1385</v>
      </c>
      <c r="C47" t="s">
        <v>2892</v>
      </c>
      <c r="D47">
        <v>2020</v>
      </c>
      <c r="E47">
        <v>2</v>
      </c>
      <c r="F47">
        <v>4</v>
      </c>
      <c r="G47">
        <v>20</v>
      </c>
      <c r="H47">
        <v>40</v>
      </c>
      <c r="I47" t="s">
        <v>2893</v>
      </c>
      <c r="J47" t="s">
        <v>1391</v>
      </c>
      <c r="K47" t="s">
        <v>2894</v>
      </c>
      <c r="L47">
        <v>296912</v>
      </c>
      <c r="M47" t="s">
        <v>2895</v>
      </c>
      <c r="N47" t="s">
        <v>2471</v>
      </c>
      <c r="O47" t="s">
        <v>2896</v>
      </c>
      <c r="P47" t="s">
        <v>2897</v>
      </c>
      <c r="Q47" t="s">
        <v>2898</v>
      </c>
      <c r="R47" t="s">
        <v>2899</v>
      </c>
      <c r="S47" t="s">
        <v>2900</v>
      </c>
      <c r="T47">
        <v>7.0702400000000001</v>
      </c>
      <c r="U47">
        <v>2.4396</v>
      </c>
      <c r="V47">
        <v>780</v>
      </c>
      <c r="W47">
        <v>11287</v>
      </c>
      <c r="X47">
        <v>10</v>
      </c>
      <c r="Y47" t="b">
        <v>0</v>
      </c>
      <c r="Z47" t="b">
        <v>0</v>
      </c>
      <c r="AA47" t="s">
        <v>187</v>
      </c>
      <c r="AB47">
        <f>COUNTIF(OWNED[bgg_id],library_data[[#This Row],[bgg_id]])</f>
        <v>1</v>
      </c>
    </row>
    <row r="48" spans="1:28" x14ac:dyDescent="0.25">
      <c r="A48">
        <v>47</v>
      </c>
      <c r="B48" t="s">
        <v>396</v>
      </c>
      <c r="C48" t="s">
        <v>2901</v>
      </c>
      <c r="D48">
        <v>2020</v>
      </c>
      <c r="E48">
        <v>2</v>
      </c>
      <c r="F48">
        <v>4</v>
      </c>
      <c r="G48">
        <v>30</v>
      </c>
      <c r="H48">
        <v>30</v>
      </c>
      <c r="I48" t="s">
        <v>2902</v>
      </c>
      <c r="J48" t="s">
        <v>1255</v>
      </c>
      <c r="K48" t="s">
        <v>2903</v>
      </c>
      <c r="L48">
        <v>295486</v>
      </c>
      <c r="M48" t="s">
        <v>2904</v>
      </c>
      <c r="N48" t="s">
        <v>2471</v>
      </c>
      <c r="O48" t="s">
        <v>2905</v>
      </c>
      <c r="P48" t="s">
        <v>2732</v>
      </c>
      <c r="Q48" t="s">
        <v>2906</v>
      </c>
      <c r="R48" t="s">
        <v>2907</v>
      </c>
      <c r="S48" t="s">
        <v>2908</v>
      </c>
      <c r="T48">
        <v>7.5968200000000001</v>
      </c>
      <c r="U48">
        <v>1.9806999999999999</v>
      </c>
      <c r="V48">
        <v>257</v>
      </c>
      <c r="W48">
        <v>12665</v>
      </c>
      <c r="X48">
        <v>10</v>
      </c>
      <c r="Y48" t="b">
        <v>0</v>
      </c>
      <c r="Z48" t="b">
        <v>0</v>
      </c>
      <c r="AA48" t="s">
        <v>310</v>
      </c>
      <c r="AB48">
        <f>COUNTIF(OWNED[bgg_id],library_data[[#This Row],[bgg_id]])</f>
        <v>1</v>
      </c>
    </row>
    <row r="49" spans="1:28" x14ac:dyDescent="0.25">
      <c r="A49">
        <v>48</v>
      </c>
      <c r="B49" t="s">
        <v>58</v>
      </c>
      <c r="C49" t="s">
        <v>2745</v>
      </c>
      <c r="D49">
        <v>2022</v>
      </c>
      <c r="E49">
        <v>1</v>
      </c>
      <c r="F49">
        <v>6</v>
      </c>
      <c r="G49">
        <v>30</v>
      </c>
      <c r="H49">
        <v>60</v>
      </c>
      <c r="I49" t="s">
        <v>2909</v>
      </c>
      <c r="J49" t="s">
        <v>897</v>
      </c>
      <c r="K49" t="s">
        <v>2910</v>
      </c>
      <c r="L49">
        <v>366013</v>
      </c>
      <c r="M49" t="s">
        <v>2911</v>
      </c>
      <c r="N49" t="s">
        <v>2471</v>
      </c>
      <c r="O49" t="s">
        <v>2912</v>
      </c>
      <c r="P49" t="s">
        <v>2913</v>
      </c>
      <c r="Q49" t="s">
        <v>2914</v>
      </c>
      <c r="R49" t="s">
        <v>2915</v>
      </c>
      <c r="S49" t="s">
        <v>2916</v>
      </c>
      <c r="T49">
        <v>8.0108499999999996</v>
      </c>
      <c r="U49">
        <v>2.2027999999999999</v>
      </c>
      <c r="V49">
        <v>45</v>
      </c>
      <c r="W49">
        <v>35241</v>
      </c>
      <c r="X49">
        <v>10</v>
      </c>
      <c r="Y49" t="b">
        <v>0</v>
      </c>
      <c r="Z49" t="b">
        <v>0</v>
      </c>
      <c r="AA49" t="s">
        <v>180</v>
      </c>
      <c r="AB49">
        <f>COUNTIF(OWNED[bgg_id],library_data[[#This Row],[bgg_id]])</f>
        <v>1</v>
      </c>
    </row>
    <row r="50" spans="1:28" x14ac:dyDescent="0.25">
      <c r="A50">
        <v>49</v>
      </c>
      <c r="B50" t="s">
        <v>293</v>
      </c>
      <c r="C50" t="s">
        <v>2917</v>
      </c>
      <c r="D50">
        <v>2018</v>
      </c>
      <c r="E50">
        <v>1</v>
      </c>
      <c r="F50">
        <v>5</v>
      </c>
      <c r="G50">
        <v>90</v>
      </c>
      <c r="H50">
        <v>180</v>
      </c>
      <c r="I50" t="s">
        <v>2918</v>
      </c>
      <c r="J50" t="s">
        <v>967</v>
      </c>
      <c r="K50" t="s">
        <v>2919</v>
      </c>
      <c r="L50">
        <v>167355</v>
      </c>
      <c r="M50" t="s">
        <v>2920</v>
      </c>
      <c r="N50" t="s">
        <v>2470</v>
      </c>
      <c r="O50" t="s">
        <v>2921</v>
      </c>
      <c r="P50" t="s">
        <v>2922</v>
      </c>
      <c r="Q50" t="s">
        <v>2923</v>
      </c>
      <c r="R50" t="s">
        <v>2924</v>
      </c>
      <c r="S50" t="s">
        <v>2925</v>
      </c>
      <c r="T50">
        <v>8.25488</v>
      </c>
      <c r="U50">
        <v>3.4811000000000001</v>
      </c>
      <c r="V50">
        <v>23</v>
      </c>
      <c r="W50">
        <v>35219</v>
      </c>
      <c r="X50">
        <v>12</v>
      </c>
      <c r="Y50" t="b">
        <v>1</v>
      </c>
      <c r="Z50" t="b">
        <v>0</v>
      </c>
      <c r="AA50" t="s">
        <v>193</v>
      </c>
      <c r="AB50">
        <f>COUNTIF(OWNED[bgg_id],library_data[[#This Row],[bgg_id]])</f>
        <v>1</v>
      </c>
    </row>
    <row r="51" spans="1:28" x14ac:dyDescent="0.25">
      <c r="A51">
        <v>50</v>
      </c>
      <c r="B51" t="s">
        <v>126</v>
      </c>
      <c r="C51" t="s">
        <v>2926</v>
      </c>
      <c r="D51">
        <v>2017</v>
      </c>
      <c r="E51">
        <v>1</v>
      </c>
      <c r="F51">
        <v>8</v>
      </c>
      <c r="G51">
        <v>15</v>
      </c>
      <c r="H51">
        <v>15</v>
      </c>
      <c r="I51" t="s">
        <v>2927</v>
      </c>
      <c r="J51" t="s">
        <v>1239</v>
      </c>
      <c r="K51" t="s">
        <v>2928</v>
      </c>
      <c r="L51">
        <v>209778</v>
      </c>
      <c r="M51" t="s">
        <v>2929</v>
      </c>
      <c r="N51" t="s">
        <v>2470</v>
      </c>
      <c r="O51" t="s">
        <v>2930</v>
      </c>
      <c r="P51" t="s">
        <v>2802</v>
      </c>
      <c r="Q51" t="s">
        <v>2931</v>
      </c>
      <c r="R51" t="s">
        <v>2932</v>
      </c>
      <c r="S51" t="s">
        <v>2933</v>
      </c>
      <c r="T51">
        <v>6.9411699999999996</v>
      </c>
      <c r="U51">
        <v>1.7468999999999999</v>
      </c>
      <c r="V51">
        <v>766</v>
      </c>
      <c r="W51">
        <v>23209</v>
      </c>
      <c r="X51">
        <v>8</v>
      </c>
      <c r="Y51" t="b">
        <v>1</v>
      </c>
      <c r="Z51" t="b">
        <v>0</v>
      </c>
      <c r="AA51" t="s">
        <v>180</v>
      </c>
      <c r="AB51">
        <f>COUNTIF(OWNED[bgg_id],library_data[[#This Row],[bgg_id]])</f>
        <v>1</v>
      </c>
    </row>
    <row r="52" spans="1:28" x14ac:dyDescent="0.25">
      <c r="A52">
        <v>51</v>
      </c>
      <c r="B52" t="s">
        <v>282</v>
      </c>
      <c r="C52" t="s">
        <v>2934</v>
      </c>
      <c r="D52">
        <v>2006</v>
      </c>
      <c r="E52">
        <v>1</v>
      </c>
      <c r="F52">
        <v>3</v>
      </c>
      <c r="G52">
        <v>15</v>
      </c>
      <c r="H52">
        <v>15</v>
      </c>
      <c r="I52" t="s">
        <v>2935</v>
      </c>
      <c r="J52" t="s">
        <v>917</v>
      </c>
      <c r="K52" t="s">
        <v>2936</v>
      </c>
      <c r="L52">
        <v>22123</v>
      </c>
      <c r="M52" t="s">
        <v>2937</v>
      </c>
      <c r="N52" t="s">
        <v>2473</v>
      </c>
      <c r="O52" t="s">
        <v>2938</v>
      </c>
      <c r="P52" t="s">
        <v>2939</v>
      </c>
      <c r="Q52" t="s">
        <v>2940</v>
      </c>
      <c r="R52" t="s">
        <v>2941</v>
      </c>
      <c r="S52" t="s">
        <v>2609</v>
      </c>
      <c r="T52">
        <v>5.8245899999999997</v>
      </c>
      <c r="U52">
        <v>2</v>
      </c>
      <c r="V52">
        <v>23172</v>
      </c>
      <c r="W52">
        <v>61</v>
      </c>
      <c r="X52">
        <v>6</v>
      </c>
      <c r="Y52" t="b">
        <v>0</v>
      </c>
      <c r="Z52" t="b">
        <v>0</v>
      </c>
      <c r="AA52" t="s">
        <v>192</v>
      </c>
      <c r="AB52">
        <f>COUNTIF(OWNED[bgg_id],library_data[[#This Row],[bgg_id]])</f>
        <v>1</v>
      </c>
    </row>
    <row r="53" spans="1:28" x14ac:dyDescent="0.25">
      <c r="A53">
        <v>52</v>
      </c>
      <c r="B53" t="s">
        <v>63</v>
      </c>
      <c r="C53" t="s">
        <v>2942</v>
      </c>
      <c r="D53">
        <v>2019</v>
      </c>
      <c r="E53">
        <v>2</v>
      </c>
      <c r="F53">
        <v>4</v>
      </c>
      <c r="G53">
        <v>30</v>
      </c>
      <c r="H53">
        <v>60</v>
      </c>
      <c r="I53" t="s">
        <v>2943</v>
      </c>
      <c r="J53" t="s">
        <v>953</v>
      </c>
      <c r="K53" t="s">
        <v>2944</v>
      </c>
      <c r="L53">
        <v>269603</v>
      </c>
      <c r="M53" t="s">
        <v>2945</v>
      </c>
      <c r="N53" t="s">
        <v>2471</v>
      </c>
      <c r="O53" t="s">
        <v>2946</v>
      </c>
      <c r="P53" t="s">
        <v>2947</v>
      </c>
      <c r="Q53" t="s">
        <v>2948</v>
      </c>
      <c r="R53" t="s">
        <v>2949</v>
      </c>
      <c r="S53" t="s">
        <v>2609</v>
      </c>
      <c r="T53">
        <v>6.89384</v>
      </c>
      <c r="U53">
        <v>1.9872000000000001</v>
      </c>
      <c r="V53">
        <v>1794</v>
      </c>
      <c r="W53">
        <v>3487</v>
      </c>
      <c r="X53">
        <v>10</v>
      </c>
      <c r="Y53" t="b">
        <v>0</v>
      </c>
      <c r="Z53" t="b">
        <v>0</v>
      </c>
      <c r="AA53" t="s">
        <v>180</v>
      </c>
      <c r="AB53">
        <f>COUNTIF(OWNED[bgg_id],library_data[[#This Row],[bgg_id]])</f>
        <v>1</v>
      </c>
    </row>
    <row r="54" spans="1:28" x14ac:dyDescent="0.25">
      <c r="A54">
        <v>53</v>
      </c>
      <c r="B54" t="s">
        <v>159</v>
      </c>
      <c r="C54" t="s">
        <v>2950</v>
      </c>
      <c r="D54">
        <v>2022</v>
      </c>
      <c r="E54">
        <v>1</v>
      </c>
      <c r="F54">
        <v>6</v>
      </c>
      <c r="G54">
        <v>45</v>
      </c>
      <c r="H54">
        <v>60</v>
      </c>
      <c r="I54" t="s">
        <v>2951</v>
      </c>
      <c r="J54" t="s">
        <v>935</v>
      </c>
      <c r="K54" t="s">
        <v>2952</v>
      </c>
      <c r="L54">
        <v>356033</v>
      </c>
      <c r="M54" t="s">
        <v>2953</v>
      </c>
      <c r="N54" t="s">
        <v>2474</v>
      </c>
      <c r="O54" t="s">
        <v>2954</v>
      </c>
      <c r="P54" t="s">
        <v>2955</v>
      </c>
      <c r="Q54" t="s">
        <v>2956</v>
      </c>
      <c r="R54" t="s">
        <v>2957</v>
      </c>
      <c r="S54" t="s">
        <v>2958</v>
      </c>
      <c r="T54">
        <v>7.44801</v>
      </c>
      <c r="U54">
        <v>2.1907000000000001</v>
      </c>
      <c r="V54">
        <v>511</v>
      </c>
      <c r="W54">
        <v>7818</v>
      </c>
      <c r="X54">
        <v>14</v>
      </c>
      <c r="Y54" t="b">
        <v>0</v>
      </c>
      <c r="Z54" t="b">
        <v>0</v>
      </c>
      <c r="AA54" t="s">
        <v>310</v>
      </c>
      <c r="AB54">
        <f>COUNTIF(OWNED[bgg_id],library_data[[#This Row],[bgg_id]])</f>
        <v>1</v>
      </c>
    </row>
    <row r="55" spans="1:28" x14ac:dyDescent="0.25">
      <c r="A55">
        <v>54</v>
      </c>
      <c r="B55" t="s">
        <v>256</v>
      </c>
      <c r="C55" t="s">
        <v>2959</v>
      </c>
      <c r="D55">
        <v>2024</v>
      </c>
      <c r="E55">
        <v>2</v>
      </c>
      <c r="F55">
        <v>4</v>
      </c>
      <c r="G55">
        <v>20</v>
      </c>
      <c r="H55">
        <v>20</v>
      </c>
      <c r="I55" t="s">
        <v>2960</v>
      </c>
      <c r="J55" t="s">
        <v>943</v>
      </c>
      <c r="K55" t="s">
        <v>2961</v>
      </c>
      <c r="L55">
        <v>383452</v>
      </c>
      <c r="M55" t="s">
        <v>2962</v>
      </c>
      <c r="N55" t="s">
        <v>2471</v>
      </c>
      <c r="O55" t="s">
        <v>2963</v>
      </c>
      <c r="P55" t="s">
        <v>2964</v>
      </c>
      <c r="Q55" t="s">
        <v>2965</v>
      </c>
      <c r="R55" t="s">
        <v>2966</v>
      </c>
      <c r="S55" t="s">
        <v>2967</v>
      </c>
      <c r="T55">
        <v>6.9202000000000004</v>
      </c>
      <c r="U55">
        <v>1.9333</v>
      </c>
      <c r="V55">
        <v>5105</v>
      </c>
      <c r="W55">
        <v>500</v>
      </c>
      <c r="X55">
        <v>11</v>
      </c>
      <c r="Y55" t="b">
        <v>0</v>
      </c>
      <c r="Z55" t="b">
        <v>0</v>
      </c>
      <c r="AA55" t="s">
        <v>259</v>
      </c>
      <c r="AB55">
        <f>COUNTIF(OWNED[bgg_id],library_data[[#This Row],[bgg_id]])</f>
        <v>1</v>
      </c>
    </row>
    <row r="56" spans="1:28" x14ac:dyDescent="0.25">
      <c r="A56">
        <v>55</v>
      </c>
      <c r="B56" t="s">
        <v>23</v>
      </c>
      <c r="C56" t="s">
        <v>2968</v>
      </c>
      <c r="D56">
        <v>2016</v>
      </c>
      <c r="E56">
        <v>1</v>
      </c>
      <c r="F56">
        <v>5</v>
      </c>
      <c r="G56">
        <v>120</v>
      </c>
      <c r="H56">
        <v>180</v>
      </c>
      <c r="I56" t="s">
        <v>2969</v>
      </c>
      <c r="J56" t="s">
        <v>949</v>
      </c>
      <c r="K56" t="s">
        <v>2970</v>
      </c>
      <c r="L56">
        <v>205059</v>
      </c>
      <c r="M56" t="s">
        <v>2971</v>
      </c>
      <c r="N56" t="s">
        <v>2470</v>
      </c>
      <c r="O56" t="s">
        <v>2972</v>
      </c>
      <c r="P56" t="s">
        <v>2973</v>
      </c>
      <c r="Q56" t="s">
        <v>2974</v>
      </c>
      <c r="R56" t="s">
        <v>2975</v>
      </c>
      <c r="S56" t="s">
        <v>2976</v>
      </c>
      <c r="T56">
        <v>7.9232399999999998</v>
      </c>
      <c r="U56">
        <v>2.6998000000000002</v>
      </c>
      <c r="V56">
        <v>70</v>
      </c>
      <c r="W56">
        <v>39133</v>
      </c>
      <c r="X56">
        <v>14</v>
      </c>
      <c r="Y56" t="b">
        <v>1</v>
      </c>
      <c r="Z56" t="b">
        <v>0</v>
      </c>
      <c r="AA56" t="s">
        <v>193</v>
      </c>
      <c r="AB56">
        <f>COUNTIF(OWNED[bgg_id],library_data[[#This Row],[bgg_id]])</f>
        <v>1</v>
      </c>
    </row>
    <row r="57" spans="1:28" x14ac:dyDescent="0.25">
      <c r="A57">
        <v>56</v>
      </c>
      <c r="B57" t="s">
        <v>82</v>
      </c>
      <c r="C57" t="s">
        <v>2977</v>
      </c>
      <c r="D57">
        <v>2012</v>
      </c>
      <c r="E57">
        <v>2</v>
      </c>
      <c r="F57">
        <v>4</v>
      </c>
      <c r="G57">
        <v>30</v>
      </c>
      <c r="H57">
        <v>30</v>
      </c>
      <c r="I57" t="s">
        <v>2978</v>
      </c>
      <c r="J57" t="s">
        <v>1001</v>
      </c>
      <c r="K57" t="s">
        <v>2979</v>
      </c>
      <c r="L57">
        <v>124918</v>
      </c>
      <c r="M57" t="s">
        <v>2980</v>
      </c>
      <c r="N57" t="s">
        <v>2471</v>
      </c>
      <c r="O57" t="s">
        <v>2981</v>
      </c>
      <c r="P57" t="s">
        <v>2982</v>
      </c>
      <c r="Q57" t="s">
        <v>2812</v>
      </c>
      <c r="R57" t="s">
        <v>2983</v>
      </c>
      <c r="S57" t="s">
        <v>2984</v>
      </c>
      <c r="T57">
        <v>7.0157400000000001</v>
      </c>
      <c r="U57">
        <v>1.6667000000000001</v>
      </c>
      <c r="V57">
        <v>17709</v>
      </c>
      <c r="W57">
        <v>54</v>
      </c>
      <c r="X57">
        <v>8</v>
      </c>
      <c r="Y57" t="b">
        <v>0</v>
      </c>
      <c r="Z57" t="b">
        <v>1</v>
      </c>
      <c r="AA57" t="s">
        <v>180</v>
      </c>
      <c r="AB57">
        <f>COUNTIF(OWNED[bgg_id],library_data[[#This Row],[bgg_id]])</f>
        <v>1</v>
      </c>
    </row>
    <row r="58" spans="1:28" x14ac:dyDescent="0.25">
      <c r="A58">
        <v>57</v>
      </c>
      <c r="B58" t="s">
        <v>61</v>
      </c>
      <c r="C58" t="s">
        <v>2985</v>
      </c>
      <c r="D58">
        <v>2011</v>
      </c>
      <c r="E58">
        <v>2</v>
      </c>
      <c r="F58">
        <v>5</v>
      </c>
      <c r="G58">
        <v>5</v>
      </c>
      <c r="H58">
        <v>15</v>
      </c>
      <c r="I58" t="s">
        <v>2986</v>
      </c>
      <c r="J58" t="s">
        <v>1005</v>
      </c>
      <c r="K58" t="s">
        <v>2987</v>
      </c>
      <c r="L58">
        <v>91514</v>
      </c>
      <c r="M58" t="s">
        <v>2988</v>
      </c>
      <c r="N58" t="s">
        <v>2472</v>
      </c>
      <c r="O58" t="s">
        <v>2989</v>
      </c>
      <c r="P58" t="s">
        <v>2990</v>
      </c>
      <c r="Q58" t="s">
        <v>2991</v>
      </c>
      <c r="R58" t="s">
        <v>2992</v>
      </c>
      <c r="S58" t="s">
        <v>2993</v>
      </c>
      <c r="T58">
        <v>6.89499</v>
      </c>
      <c r="U58">
        <v>1.0206999999999999</v>
      </c>
      <c r="V58">
        <v>1003</v>
      </c>
      <c r="W58">
        <v>11919</v>
      </c>
      <c r="X58">
        <v>5</v>
      </c>
      <c r="Y58" t="b">
        <v>0</v>
      </c>
      <c r="Z58" t="b">
        <v>0</v>
      </c>
      <c r="AA58" t="s">
        <v>283</v>
      </c>
      <c r="AB58">
        <f>COUNTIF(OWNED[bgg_id],library_data[[#This Row],[bgg_id]])</f>
        <v>1</v>
      </c>
    </row>
    <row r="59" spans="1:28" x14ac:dyDescent="0.25">
      <c r="A59">
        <v>58</v>
      </c>
      <c r="B59" t="s">
        <v>37</v>
      </c>
      <c r="C59" t="s">
        <v>2994</v>
      </c>
      <c r="D59">
        <v>1994</v>
      </c>
      <c r="E59">
        <v>2</v>
      </c>
      <c r="F59">
        <v>8</v>
      </c>
      <c r="G59">
        <v>45</v>
      </c>
      <c r="H59">
        <v>120</v>
      </c>
      <c r="I59" t="s">
        <v>2995</v>
      </c>
      <c r="J59" t="s">
        <v>1011</v>
      </c>
      <c r="K59" t="s">
        <v>2996</v>
      </c>
      <c r="L59">
        <v>18</v>
      </c>
      <c r="M59" t="s">
        <v>2997</v>
      </c>
      <c r="N59" t="s">
        <v>2474</v>
      </c>
      <c r="O59" t="s">
        <v>2998</v>
      </c>
      <c r="P59" t="s">
        <v>2845</v>
      </c>
      <c r="Q59" t="s">
        <v>2999</v>
      </c>
      <c r="R59" t="s">
        <v>3000</v>
      </c>
      <c r="S59" t="s">
        <v>3001</v>
      </c>
      <c r="T59">
        <v>7.0476599999999996</v>
      </c>
      <c r="U59">
        <v>2.4285000000000001</v>
      </c>
      <c r="V59">
        <v>640</v>
      </c>
      <c r="W59">
        <v>24291</v>
      </c>
      <c r="X59">
        <v>12</v>
      </c>
      <c r="Y59" t="b">
        <v>0</v>
      </c>
      <c r="Z59" t="b">
        <v>0</v>
      </c>
      <c r="AA59" t="s">
        <v>281</v>
      </c>
      <c r="AB59">
        <f>COUNTIF(OWNED[bgg_id],library_data[[#This Row],[bgg_id]])</f>
        <v>1</v>
      </c>
    </row>
    <row r="60" spans="1:28" x14ac:dyDescent="0.25">
      <c r="A60">
        <v>59</v>
      </c>
      <c r="B60" t="s">
        <v>36</v>
      </c>
      <c r="C60" t="s">
        <v>3002</v>
      </c>
      <c r="D60">
        <v>2004</v>
      </c>
      <c r="E60">
        <v>2</v>
      </c>
      <c r="F60">
        <v>6</v>
      </c>
      <c r="G60">
        <v>120</v>
      </c>
      <c r="H60">
        <v>120</v>
      </c>
      <c r="I60" t="s">
        <v>3003</v>
      </c>
      <c r="J60" t="s">
        <v>993</v>
      </c>
      <c r="K60" t="s">
        <v>3004</v>
      </c>
      <c r="L60">
        <v>2651</v>
      </c>
      <c r="M60" t="s">
        <v>3005</v>
      </c>
      <c r="N60" t="s">
        <v>2474</v>
      </c>
      <c r="O60" t="s">
        <v>3006</v>
      </c>
      <c r="P60" t="s">
        <v>3007</v>
      </c>
      <c r="Q60" t="s">
        <v>3008</v>
      </c>
      <c r="R60" t="s">
        <v>3009</v>
      </c>
      <c r="S60" t="s">
        <v>3010</v>
      </c>
      <c r="T60">
        <v>7.8011299999999997</v>
      </c>
      <c r="U60">
        <v>3.2484999999999999</v>
      </c>
      <c r="V60">
        <v>72</v>
      </c>
      <c r="W60">
        <v>68225</v>
      </c>
      <c r="X60">
        <v>12</v>
      </c>
      <c r="Y60" t="b">
        <v>0</v>
      </c>
      <c r="Z60" t="b">
        <v>0</v>
      </c>
      <c r="AA60" t="s">
        <v>187</v>
      </c>
      <c r="AB60">
        <f>COUNTIF(OWNED[bgg_id],library_data[[#This Row],[bgg_id]])</f>
        <v>1</v>
      </c>
    </row>
    <row r="61" spans="1:28" x14ac:dyDescent="0.25">
      <c r="A61">
        <v>60</v>
      </c>
      <c r="B61" t="s">
        <v>91</v>
      </c>
      <c r="C61" t="s">
        <v>3011</v>
      </c>
      <c r="D61">
        <v>2018</v>
      </c>
      <c r="E61">
        <v>1</v>
      </c>
      <c r="F61">
        <v>4</v>
      </c>
      <c r="G61">
        <v>20</v>
      </c>
      <c r="H61">
        <v>40</v>
      </c>
      <c r="I61" t="s">
        <v>3012</v>
      </c>
      <c r="J61" t="s">
        <v>977</v>
      </c>
      <c r="K61" t="s">
        <v>3013</v>
      </c>
      <c r="L61">
        <v>147241</v>
      </c>
      <c r="M61" t="s">
        <v>3014</v>
      </c>
      <c r="N61" t="s">
        <v>2471</v>
      </c>
      <c r="O61" t="s">
        <v>3015</v>
      </c>
      <c r="P61" t="s">
        <v>3016</v>
      </c>
      <c r="Q61" t="s">
        <v>3017</v>
      </c>
      <c r="R61" t="s">
        <v>3018</v>
      </c>
      <c r="S61" t="s">
        <v>3019</v>
      </c>
      <c r="T61">
        <v>6.9332599999999998</v>
      </c>
      <c r="U61">
        <v>1.9167000000000001</v>
      </c>
      <c r="V61">
        <v>6274</v>
      </c>
      <c r="W61">
        <v>385</v>
      </c>
      <c r="X61">
        <v>10</v>
      </c>
      <c r="Y61" t="b">
        <v>0</v>
      </c>
      <c r="Z61" t="b">
        <v>0</v>
      </c>
      <c r="AA61" t="s">
        <v>187</v>
      </c>
      <c r="AB61">
        <f>COUNTIF(OWNED[bgg_id],library_data[[#This Row],[bgg_id]])</f>
        <v>1</v>
      </c>
    </row>
    <row r="62" spans="1:28" x14ac:dyDescent="0.25">
      <c r="A62">
        <v>61</v>
      </c>
      <c r="B62" t="s">
        <v>18</v>
      </c>
      <c r="C62" t="s">
        <v>3020</v>
      </c>
      <c r="D62">
        <v>2019</v>
      </c>
      <c r="E62">
        <v>1</v>
      </c>
      <c r="F62">
        <v>4</v>
      </c>
      <c r="G62">
        <v>90</v>
      </c>
      <c r="H62">
        <v>120</v>
      </c>
      <c r="I62" t="s">
        <v>3021</v>
      </c>
      <c r="J62" t="s">
        <v>983</v>
      </c>
      <c r="K62" t="s">
        <v>3022</v>
      </c>
      <c r="L62">
        <v>266810</v>
      </c>
      <c r="M62" t="s">
        <v>3023</v>
      </c>
      <c r="N62" t="s">
        <v>2474</v>
      </c>
      <c r="O62" t="s">
        <v>3024</v>
      </c>
      <c r="P62" t="s">
        <v>3025</v>
      </c>
      <c r="Q62" t="s">
        <v>3026</v>
      </c>
      <c r="R62" t="s">
        <v>3027</v>
      </c>
      <c r="S62" t="s">
        <v>3028</v>
      </c>
      <c r="T62">
        <v>7.9611799999999997</v>
      </c>
      <c r="U62">
        <v>3.7143999999999999</v>
      </c>
      <c r="V62">
        <v>76</v>
      </c>
      <c r="W62">
        <v>19723</v>
      </c>
      <c r="X62">
        <v>12</v>
      </c>
      <c r="Y62" t="b">
        <v>0</v>
      </c>
      <c r="Z62" t="b">
        <v>1</v>
      </c>
      <c r="AA62" t="s">
        <v>187</v>
      </c>
      <c r="AB62">
        <f>COUNTIF(OWNED[bgg_id],library_data[[#This Row],[bgg_id]])</f>
        <v>1</v>
      </c>
    </row>
    <row r="63" spans="1:28" x14ac:dyDescent="0.25">
      <c r="A63">
        <v>62</v>
      </c>
      <c r="B63" t="s">
        <v>1948</v>
      </c>
      <c r="C63" t="s">
        <v>3029</v>
      </c>
      <c r="D63">
        <v>2008</v>
      </c>
      <c r="E63">
        <v>1</v>
      </c>
      <c r="F63">
        <v>5</v>
      </c>
      <c r="G63">
        <v>30</v>
      </c>
      <c r="H63">
        <v>30</v>
      </c>
      <c r="I63" t="s">
        <v>3030</v>
      </c>
      <c r="J63" t="s">
        <v>1950</v>
      </c>
      <c r="K63" t="s">
        <v>3031</v>
      </c>
      <c r="L63">
        <v>38453</v>
      </c>
      <c r="M63" t="s">
        <v>3032</v>
      </c>
      <c r="N63" t="s">
        <v>2470</v>
      </c>
      <c r="O63" t="s">
        <v>3033</v>
      </c>
      <c r="P63" t="s">
        <v>2723</v>
      </c>
      <c r="Q63" t="s">
        <v>3034</v>
      </c>
      <c r="R63" t="s">
        <v>3035</v>
      </c>
      <c r="S63" t="s">
        <v>3036</v>
      </c>
      <c r="T63">
        <v>7.3820199999999998</v>
      </c>
      <c r="U63">
        <v>2.9710000000000001</v>
      </c>
      <c r="V63">
        <v>362</v>
      </c>
      <c r="W63">
        <v>16421</v>
      </c>
      <c r="X63">
        <v>12</v>
      </c>
      <c r="Y63" t="b">
        <v>1</v>
      </c>
      <c r="Z63" t="b">
        <v>0</v>
      </c>
      <c r="AA63" t="s">
        <v>193</v>
      </c>
      <c r="AB63">
        <f>COUNTIF(OWNED[bgg_id],library_data[[#This Row],[bgg_id]])</f>
        <v>1</v>
      </c>
    </row>
    <row r="64" spans="1:28" x14ac:dyDescent="0.25">
      <c r="A64">
        <v>63</v>
      </c>
      <c r="B64" t="s">
        <v>1945</v>
      </c>
      <c r="C64" t="s">
        <v>3037</v>
      </c>
      <c r="D64">
        <v>2025</v>
      </c>
      <c r="E64">
        <v>2</v>
      </c>
      <c r="F64">
        <v>4</v>
      </c>
      <c r="G64">
        <v>30</v>
      </c>
      <c r="H64">
        <v>30</v>
      </c>
      <c r="I64" t="s">
        <v>3038</v>
      </c>
      <c r="J64" t="s">
        <v>1947</v>
      </c>
      <c r="K64" t="s">
        <v>3039</v>
      </c>
      <c r="L64">
        <v>444481</v>
      </c>
      <c r="M64" t="s">
        <v>3040</v>
      </c>
      <c r="N64" t="s">
        <v>2470</v>
      </c>
      <c r="O64" t="s">
        <v>3041</v>
      </c>
      <c r="P64" t="s">
        <v>3042</v>
      </c>
      <c r="Q64" t="s">
        <v>3043</v>
      </c>
      <c r="R64" t="s">
        <v>3044</v>
      </c>
      <c r="S64" t="s">
        <v>3045</v>
      </c>
      <c r="T64">
        <v>8.1211800000000007</v>
      </c>
      <c r="U64">
        <v>1.9512</v>
      </c>
      <c r="V64">
        <v>1887</v>
      </c>
      <c r="W64">
        <v>1099</v>
      </c>
      <c r="X64">
        <v>8</v>
      </c>
      <c r="Y64" t="b">
        <v>0</v>
      </c>
      <c r="Z64" t="b">
        <v>0</v>
      </c>
      <c r="AA64" t="s">
        <v>580</v>
      </c>
      <c r="AB64">
        <f>COUNTIF(OWNED[bgg_id],library_data[[#This Row],[bgg_id]])</f>
        <v>1</v>
      </c>
    </row>
    <row r="65" spans="1:28" x14ac:dyDescent="0.25">
      <c r="A65">
        <v>64</v>
      </c>
      <c r="B65" t="s">
        <v>273</v>
      </c>
      <c r="C65" t="s">
        <v>3046</v>
      </c>
      <c r="D65">
        <v>2007</v>
      </c>
      <c r="E65">
        <v>2</v>
      </c>
      <c r="F65">
        <v>4</v>
      </c>
      <c r="G65">
        <v>30</v>
      </c>
      <c r="H65">
        <v>60</v>
      </c>
      <c r="I65" t="s">
        <v>3047</v>
      </c>
      <c r="J65" t="s">
        <v>999</v>
      </c>
      <c r="K65" t="s">
        <v>3048</v>
      </c>
      <c r="L65">
        <v>28143</v>
      </c>
      <c r="M65" t="s">
        <v>3049</v>
      </c>
      <c r="N65" t="s">
        <v>2474</v>
      </c>
      <c r="O65" t="s">
        <v>3050</v>
      </c>
      <c r="P65" t="s">
        <v>3051</v>
      </c>
      <c r="Q65" t="s">
        <v>3052</v>
      </c>
      <c r="R65" t="s">
        <v>3053</v>
      </c>
      <c r="S65" t="s">
        <v>3054</v>
      </c>
      <c r="T65">
        <v>7.7384599999999999</v>
      </c>
      <c r="U65">
        <v>2.9916999999999998</v>
      </c>
      <c r="V65">
        <v>89</v>
      </c>
      <c r="W65">
        <v>57905</v>
      </c>
      <c r="X65">
        <v>12</v>
      </c>
      <c r="Y65" t="b">
        <v>0</v>
      </c>
      <c r="Z65" t="b">
        <v>0</v>
      </c>
      <c r="AA65" t="s">
        <v>187</v>
      </c>
      <c r="AB65">
        <f>COUNTIF(OWNED[bgg_id],library_data[[#This Row],[bgg_id]])</f>
        <v>1</v>
      </c>
    </row>
    <row r="66" spans="1:28" x14ac:dyDescent="0.25">
      <c r="A66">
        <v>65</v>
      </c>
      <c r="B66" t="s">
        <v>104</v>
      </c>
      <c r="C66" t="s">
        <v>3055</v>
      </c>
      <c r="D66">
        <v>2014</v>
      </c>
      <c r="E66">
        <v>2</v>
      </c>
      <c r="F66">
        <v>4</v>
      </c>
      <c r="G66">
        <v>30</v>
      </c>
      <c r="H66">
        <v>30</v>
      </c>
      <c r="I66" t="s">
        <v>3056</v>
      </c>
      <c r="J66" t="s">
        <v>1033</v>
      </c>
      <c r="K66" t="s">
        <v>3057</v>
      </c>
      <c r="L66">
        <v>148228</v>
      </c>
      <c r="M66" t="s">
        <v>3058</v>
      </c>
      <c r="N66" t="s">
        <v>2471</v>
      </c>
      <c r="O66" t="s">
        <v>3059</v>
      </c>
      <c r="P66" t="s">
        <v>3060</v>
      </c>
      <c r="Q66" t="s">
        <v>3061</v>
      </c>
      <c r="R66" t="s">
        <v>3062</v>
      </c>
      <c r="S66" t="s">
        <v>3063</v>
      </c>
      <c r="T66">
        <v>7.4188799999999997</v>
      </c>
      <c r="U66">
        <v>1.7786</v>
      </c>
      <c r="V66">
        <v>237</v>
      </c>
      <c r="W66">
        <v>86968</v>
      </c>
      <c r="X66">
        <v>10</v>
      </c>
      <c r="Y66" t="b">
        <v>0</v>
      </c>
      <c r="Z66" t="b">
        <v>0</v>
      </c>
      <c r="AA66" t="s">
        <v>180</v>
      </c>
      <c r="AB66">
        <f>COUNTIF(OWNED[bgg_id],library_data[[#This Row],[bgg_id]])</f>
        <v>1</v>
      </c>
    </row>
    <row r="67" spans="1:28" x14ac:dyDescent="0.25">
      <c r="A67">
        <v>66</v>
      </c>
      <c r="B67" t="s">
        <v>209</v>
      </c>
      <c r="C67" t="s">
        <v>3064</v>
      </c>
      <c r="D67">
        <v>2017</v>
      </c>
      <c r="E67">
        <v>2</v>
      </c>
      <c r="F67">
        <v>2</v>
      </c>
      <c r="G67">
        <v>30</v>
      </c>
      <c r="H67">
        <v>30</v>
      </c>
      <c r="I67" t="s">
        <v>3065</v>
      </c>
      <c r="J67" t="s">
        <v>1049</v>
      </c>
      <c r="K67" t="s">
        <v>3066</v>
      </c>
      <c r="L67">
        <v>221965</v>
      </c>
      <c r="M67" t="s">
        <v>3067</v>
      </c>
      <c r="N67" t="s">
        <v>2471</v>
      </c>
      <c r="O67" t="s">
        <v>3068</v>
      </c>
      <c r="P67" t="s">
        <v>3069</v>
      </c>
      <c r="Q67" t="s">
        <v>3070</v>
      </c>
      <c r="R67" t="s">
        <v>3071</v>
      </c>
      <c r="S67" t="s">
        <v>3072</v>
      </c>
      <c r="T67">
        <v>7.0671400000000002</v>
      </c>
      <c r="U67">
        <v>1.5955999999999999</v>
      </c>
      <c r="V67">
        <v>652</v>
      </c>
      <c r="W67">
        <v>17546</v>
      </c>
      <c r="X67">
        <v>10</v>
      </c>
      <c r="Y67" t="b">
        <v>0</v>
      </c>
      <c r="Z67" t="b">
        <v>0</v>
      </c>
      <c r="AA67" t="s">
        <v>180</v>
      </c>
      <c r="AB67">
        <f>COUNTIF(OWNED[bgg_id],library_data[[#This Row],[bgg_id]])</f>
        <v>1</v>
      </c>
    </row>
    <row r="68" spans="1:28" x14ac:dyDescent="0.25">
      <c r="A68">
        <v>67</v>
      </c>
      <c r="B68" t="s">
        <v>117</v>
      </c>
      <c r="C68" t="s">
        <v>3073</v>
      </c>
      <c r="D68">
        <v>2024</v>
      </c>
      <c r="E68">
        <v>3</v>
      </c>
      <c r="F68">
        <v>6</v>
      </c>
      <c r="G68">
        <v>20</v>
      </c>
      <c r="H68">
        <v>20</v>
      </c>
      <c r="I68" t="s">
        <v>3074</v>
      </c>
      <c r="J68" t="s">
        <v>1055</v>
      </c>
      <c r="K68" t="s">
        <v>3075</v>
      </c>
      <c r="L68">
        <v>411567</v>
      </c>
      <c r="M68" t="s">
        <v>3076</v>
      </c>
      <c r="N68" t="s">
        <v>2473</v>
      </c>
      <c r="O68" t="s">
        <v>3077</v>
      </c>
      <c r="P68" t="s">
        <v>3078</v>
      </c>
      <c r="Q68" t="s">
        <v>4127</v>
      </c>
      <c r="R68" t="s">
        <v>3079</v>
      </c>
      <c r="S68" t="s">
        <v>3080</v>
      </c>
      <c r="T68">
        <v>7.5790800000000003</v>
      </c>
      <c r="U68">
        <v>1.5926</v>
      </c>
      <c r="V68">
        <v>569</v>
      </c>
      <c r="W68">
        <v>5276</v>
      </c>
      <c r="X68">
        <v>10</v>
      </c>
      <c r="Y68" t="b">
        <v>1</v>
      </c>
      <c r="Z68" t="b">
        <v>0</v>
      </c>
      <c r="AA68" t="s">
        <v>180</v>
      </c>
      <c r="AB68">
        <f>COUNTIF(OWNED[bgg_id],library_data[[#This Row],[bgg_id]])</f>
        <v>1</v>
      </c>
    </row>
    <row r="69" spans="1:28" x14ac:dyDescent="0.25">
      <c r="A69">
        <v>68</v>
      </c>
      <c r="B69" t="s">
        <v>57</v>
      </c>
      <c r="C69" t="s">
        <v>3081</v>
      </c>
      <c r="D69">
        <v>2023</v>
      </c>
      <c r="E69">
        <v>1</v>
      </c>
      <c r="F69">
        <v>4</v>
      </c>
      <c r="G69">
        <v>80</v>
      </c>
      <c r="H69">
        <v>80</v>
      </c>
      <c r="I69" t="s">
        <v>3082</v>
      </c>
      <c r="J69" t="s">
        <v>1061</v>
      </c>
      <c r="K69" t="s">
        <v>3083</v>
      </c>
      <c r="L69">
        <v>371942</v>
      </c>
      <c r="M69" t="s">
        <v>3084</v>
      </c>
      <c r="N69" t="s">
        <v>2474</v>
      </c>
      <c r="O69" t="s">
        <v>3085</v>
      </c>
      <c r="P69" t="s">
        <v>3086</v>
      </c>
      <c r="Q69" t="s">
        <v>3087</v>
      </c>
      <c r="R69" t="s">
        <v>3088</v>
      </c>
      <c r="S69" t="s">
        <v>3089</v>
      </c>
      <c r="T69">
        <v>7.9922700000000004</v>
      </c>
      <c r="U69">
        <v>3.0436999999999999</v>
      </c>
      <c r="V69">
        <v>82</v>
      </c>
      <c r="W69">
        <v>18394</v>
      </c>
      <c r="X69">
        <v>12</v>
      </c>
      <c r="Y69" t="b">
        <v>0</v>
      </c>
      <c r="Z69" t="b">
        <v>0</v>
      </c>
      <c r="AA69" t="s">
        <v>187</v>
      </c>
      <c r="AB69">
        <f>COUNTIF(OWNED[bgg_id],library_data[[#This Row],[bgg_id]])</f>
        <v>1</v>
      </c>
    </row>
    <row r="70" spans="1:28" x14ac:dyDescent="0.25">
      <c r="A70">
        <v>69</v>
      </c>
      <c r="B70" t="s">
        <v>47</v>
      </c>
      <c r="C70" t="s">
        <v>2892</v>
      </c>
      <c r="D70">
        <v>1991</v>
      </c>
      <c r="E70">
        <v>4</v>
      </c>
      <c r="F70">
        <v>4</v>
      </c>
      <c r="G70">
        <v>60</v>
      </c>
      <c r="H70">
        <v>60</v>
      </c>
      <c r="I70" t="s">
        <v>3090</v>
      </c>
      <c r="J70" t="s">
        <v>1067</v>
      </c>
      <c r="K70" t="s">
        <v>3091</v>
      </c>
      <c r="L70">
        <v>215</v>
      </c>
      <c r="M70" t="s">
        <v>3092</v>
      </c>
      <c r="N70" t="s">
        <v>2473</v>
      </c>
      <c r="O70" t="s">
        <v>3093</v>
      </c>
      <c r="P70" t="s">
        <v>3094</v>
      </c>
      <c r="Q70" t="s">
        <v>3095</v>
      </c>
      <c r="R70" t="s">
        <v>3096</v>
      </c>
      <c r="S70" t="s">
        <v>3097</v>
      </c>
      <c r="T70">
        <v>7.5757099999999999</v>
      </c>
      <c r="U70">
        <v>2.3428</v>
      </c>
      <c r="V70">
        <v>242</v>
      </c>
      <c r="W70">
        <v>16448</v>
      </c>
      <c r="X70">
        <v>10</v>
      </c>
      <c r="Y70" t="b">
        <v>0</v>
      </c>
      <c r="Z70" t="b">
        <v>0</v>
      </c>
      <c r="AA70" t="s">
        <v>187</v>
      </c>
      <c r="AB70">
        <f>COUNTIF(OWNED[bgg_id],library_data[[#This Row],[bgg_id]])</f>
        <v>1</v>
      </c>
    </row>
    <row r="71" spans="1:28" x14ac:dyDescent="0.25">
      <c r="A71">
        <v>70</v>
      </c>
      <c r="B71" t="s">
        <v>6</v>
      </c>
      <c r="C71" t="s">
        <v>3098</v>
      </c>
      <c r="D71">
        <v>2005</v>
      </c>
      <c r="E71">
        <v>2</v>
      </c>
      <c r="F71">
        <v>5</v>
      </c>
      <c r="G71">
        <v>30</v>
      </c>
      <c r="H71">
        <v>60</v>
      </c>
      <c r="I71" t="s">
        <v>3099</v>
      </c>
      <c r="J71" t="s">
        <v>1069</v>
      </c>
      <c r="K71" t="s">
        <v>3100</v>
      </c>
      <c r="L71">
        <v>14996</v>
      </c>
      <c r="M71" t="s">
        <v>3101</v>
      </c>
      <c r="N71" t="s">
        <v>2471</v>
      </c>
      <c r="O71" t="s">
        <v>3102</v>
      </c>
      <c r="P71" t="s">
        <v>3103</v>
      </c>
      <c r="Q71" t="s">
        <v>4128</v>
      </c>
      <c r="R71" t="s">
        <v>3104</v>
      </c>
      <c r="S71" t="s">
        <v>3105</v>
      </c>
      <c r="T71">
        <v>7.5264100000000003</v>
      </c>
      <c r="U71">
        <v>1.9174</v>
      </c>
      <c r="V71">
        <v>173</v>
      </c>
      <c r="W71">
        <v>82466</v>
      </c>
      <c r="X71">
        <v>8</v>
      </c>
      <c r="Y71" t="b">
        <v>0</v>
      </c>
      <c r="Z71" t="b">
        <v>0</v>
      </c>
      <c r="AA71" t="s">
        <v>180</v>
      </c>
      <c r="AB71">
        <f>COUNTIF(OWNED[bgg_id],library_data[[#This Row],[bgg_id]])</f>
        <v>1</v>
      </c>
    </row>
    <row r="72" spans="1:28" x14ac:dyDescent="0.25">
      <c r="A72">
        <v>71</v>
      </c>
      <c r="B72" t="s">
        <v>99</v>
      </c>
      <c r="C72" t="s">
        <v>3106</v>
      </c>
      <c r="D72">
        <v>2021</v>
      </c>
      <c r="E72">
        <v>2</v>
      </c>
      <c r="F72">
        <v>5</v>
      </c>
      <c r="G72">
        <v>20</v>
      </c>
      <c r="H72">
        <v>20</v>
      </c>
      <c r="I72" t="s">
        <v>3107</v>
      </c>
      <c r="J72" t="s">
        <v>1047</v>
      </c>
      <c r="K72" t="s">
        <v>3108</v>
      </c>
      <c r="L72">
        <v>324856</v>
      </c>
      <c r="M72" t="s">
        <v>3109</v>
      </c>
      <c r="N72" t="s">
        <v>2470</v>
      </c>
      <c r="O72" t="s">
        <v>3110</v>
      </c>
      <c r="P72" t="s">
        <v>3111</v>
      </c>
      <c r="Q72" t="s">
        <v>3112</v>
      </c>
      <c r="R72" t="s">
        <v>3113</v>
      </c>
      <c r="S72" t="s">
        <v>3114</v>
      </c>
      <c r="T72">
        <v>8.0732599999999994</v>
      </c>
      <c r="U72">
        <v>2.0387</v>
      </c>
      <c r="V72">
        <v>42</v>
      </c>
      <c r="W72">
        <v>23059</v>
      </c>
      <c r="X72">
        <v>10</v>
      </c>
      <c r="Y72" t="b">
        <v>1</v>
      </c>
      <c r="Z72" t="b">
        <v>0</v>
      </c>
      <c r="AA72" t="s">
        <v>310</v>
      </c>
      <c r="AB72">
        <f>COUNTIF(OWNED[bgg_id],library_data[[#This Row],[bgg_id]])</f>
        <v>1</v>
      </c>
    </row>
    <row r="73" spans="1:28" x14ac:dyDescent="0.25">
      <c r="A73">
        <v>72</v>
      </c>
      <c r="B73" t="s">
        <v>473</v>
      </c>
      <c r="C73" t="s">
        <v>2892</v>
      </c>
      <c r="D73">
        <v>2023</v>
      </c>
      <c r="E73">
        <v>2</v>
      </c>
      <c r="F73">
        <v>6</v>
      </c>
      <c r="G73">
        <v>15</v>
      </c>
      <c r="H73">
        <v>30</v>
      </c>
      <c r="I73" t="s">
        <v>3115</v>
      </c>
      <c r="J73" t="s">
        <v>1085</v>
      </c>
      <c r="K73" t="s">
        <v>3116</v>
      </c>
      <c r="L73">
        <v>399088</v>
      </c>
      <c r="M73" t="s">
        <v>3117</v>
      </c>
      <c r="N73" t="s">
        <v>2473</v>
      </c>
      <c r="O73" t="s">
        <v>3118</v>
      </c>
      <c r="P73" t="s">
        <v>3119</v>
      </c>
      <c r="Q73" t="s">
        <v>3120</v>
      </c>
      <c r="R73" t="s">
        <v>3121</v>
      </c>
      <c r="S73" t="s">
        <v>2609</v>
      </c>
      <c r="T73">
        <v>6.1129300000000004</v>
      </c>
      <c r="U73">
        <v>1.4762</v>
      </c>
      <c r="V73">
        <v>8571</v>
      </c>
      <c r="W73">
        <v>1191</v>
      </c>
      <c r="X73">
        <v>7</v>
      </c>
      <c r="Y73" t="b">
        <v>0</v>
      </c>
      <c r="Z73" t="b">
        <v>0</v>
      </c>
      <c r="AA73" t="s">
        <v>186</v>
      </c>
      <c r="AB73">
        <f>COUNTIF(OWNED[bgg_id],library_data[[#This Row],[bgg_id]])</f>
        <v>1</v>
      </c>
    </row>
    <row r="74" spans="1:28" x14ac:dyDescent="0.25">
      <c r="A74">
        <v>73</v>
      </c>
      <c r="B74" t="s">
        <v>203</v>
      </c>
      <c r="C74" t="s">
        <v>2763</v>
      </c>
      <c r="D74">
        <v>2015</v>
      </c>
      <c r="E74">
        <v>1</v>
      </c>
      <c r="F74">
        <v>6</v>
      </c>
      <c r="G74">
        <v>45</v>
      </c>
      <c r="H74">
        <v>90</v>
      </c>
      <c r="I74" t="s">
        <v>3122</v>
      </c>
      <c r="J74" t="s">
        <v>1087</v>
      </c>
      <c r="K74" t="s">
        <v>3123</v>
      </c>
      <c r="L74">
        <v>183394</v>
      </c>
      <c r="M74" t="s">
        <v>3124</v>
      </c>
      <c r="N74" t="s">
        <v>2474</v>
      </c>
      <c r="O74" t="s">
        <v>3125</v>
      </c>
      <c r="P74" t="s">
        <v>3126</v>
      </c>
      <c r="Q74" t="s">
        <v>3127</v>
      </c>
      <c r="R74" t="s">
        <v>3128</v>
      </c>
      <c r="S74" t="s">
        <v>3129</v>
      </c>
      <c r="T74">
        <v>7.96753</v>
      </c>
      <c r="U74">
        <v>2.895</v>
      </c>
      <c r="V74">
        <v>43</v>
      </c>
      <c r="W74">
        <v>53207</v>
      </c>
      <c r="X74">
        <v>13</v>
      </c>
      <c r="Y74" t="b">
        <v>0</v>
      </c>
      <c r="Z74" t="b">
        <v>0</v>
      </c>
      <c r="AA74" t="s">
        <v>187</v>
      </c>
      <c r="AB74">
        <f>COUNTIF(OWNED[bgg_id],library_data[[#This Row],[bgg_id]])</f>
        <v>1</v>
      </c>
    </row>
    <row r="75" spans="1:28" x14ac:dyDescent="0.25">
      <c r="A75">
        <v>74</v>
      </c>
      <c r="B75" t="s">
        <v>252</v>
      </c>
      <c r="C75" t="s">
        <v>3130</v>
      </c>
      <c r="D75">
        <v>2020</v>
      </c>
      <c r="E75">
        <v>2</v>
      </c>
      <c r="F75">
        <v>6</v>
      </c>
      <c r="G75">
        <v>3</v>
      </c>
      <c r="H75">
        <v>15</v>
      </c>
      <c r="I75" t="s">
        <v>3131</v>
      </c>
      <c r="J75" t="s">
        <v>1073</v>
      </c>
      <c r="K75" t="s">
        <v>3132</v>
      </c>
      <c r="L75">
        <v>295192</v>
      </c>
      <c r="M75" t="s">
        <v>3133</v>
      </c>
      <c r="N75" t="s">
        <v>2472</v>
      </c>
      <c r="O75" t="s">
        <v>3134</v>
      </c>
      <c r="P75" t="s">
        <v>3135</v>
      </c>
      <c r="Q75" t="s">
        <v>4129</v>
      </c>
      <c r="R75" t="s">
        <v>3136</v>
      </c>
      <c r="S75" t="s">
        <v>3137</v>
      </c>
      <c r="T75">
        <v>6.7715300000000003</v>
      </c>
      <c r="U75">
        <v>1</v>
      </c>
      <c r="V75">
        <v>2454</v>
      </c>
      <c r="W75">
        <v>2537</v>
      </c>
      <c r="X75">
        <v>6</v>
      </c>
      <c r="Y75" t="b">
        <v>0</v>
      </c>
      <c r="Z75" t="b">
        <v>0</v>
      </c>
      <c r="AA75" t="s">
        <v>180</v>
      </c>
      <c r="AB75">
        <f>COUNTIF(OWNED[bgg_id],library_data[[#This Row],[bgg_id]])</f>
        <v>1</v>
      </c>
    </row>
    <row r="76" spans="1:28" x14ac:dyDescent="0.25">
      <c r="A76">
        <v>75</v>
      </c>
      <c r="B76" t="s">
        <v>740</v>
      </c>
      <c r="C76" t="s">
        <v>3138</v>
      </c>
      <c r="D76">
        <v>2010</v>
      </c>
      <c r="E76">
        <v>2</v>
      </c>
      <c r="F76">
        <v>99</v>
      </c>
      <c r="G76">
        <v>10</v>
      </c>
      <c r="H76">
        <v>20</v>
      </c>
      <c r="I76" t="s">
        <v>3139</v>
      </c>
      <c r="J76" t="s">
        <v>1105</v>
      </c>
      <c r="K76" t="s">
        <v>3140</v>
      </c>
      <c r="L76">
        <v>62871</v>
      </c>
      <c r="M76" t="s">
        <v>3141</v>
      </c>
      <c r="N76" t="s">
        <v>2473</v>
      </c>
      <c r="O76" t="s">
        <v>3142</v>
      </c>
      <c r="P76" t="s">
        <v>3143</v>
      </c>
      <c r="Q76" t="s">
        <v>3144</v>
      </c>
      <c r="R76" t="s">
        <v>3145</v>
      </c>
      <c r="S76" t="s">
        <v>3146</v>
      </c>
      <c r="T76">
        <v>6.2287299999999997</v>
      </c>
      <c r="U76">
        <v>1.093</v>
      </c>
      <c r="V76">
        <v>2684</v>
      </c>
      <c r="W76">
        <v>18988</v>
      </c>
      <c r="X76">
        <v>10</v>
      </c>
      <c r="Y76" t="b">
        <v>0</v>
      </c>
      <c r="Z76" t="b">
        <v>0</v>
      </c>
      <c r="AA76" t="s">
        <v>179</v>
      </c>
      <c r="AB76">
        <f>COUNTIF(OWNED[bgg_id],library_data[[#This Row],[bgg_id]])</f>
        <v>1</v>
      </c>
    </row>
    <row r="77" spans="1:28" x14ac:dyDescent="0.25">
      <c r="A77">
        <v>76</v>
      </c>
      <c r="B77" t="s">
        <v>97</v>
      </c>
      <c r="C77" t="s">
        <v>3147</v>
      </c>
      <c r="D77">
        <v>2019</v>
      </c>
      <c r="E77">
        <v>2</v>
      </c>
      <c r="F77">
        <v>12</v>
      </c>
      <c r="G77">
        <v>30</v>
      </c>
      <c r="H77">
        <v>45</v>
      </c>
      <c r="I77" t="s">
        <v>3148</v>
      </c>
      <c r="J77" t="s">
        <v>1089</v>
      </c>
      <c r="K77" t="s">
        <v>3149</v>
      </c>
      <c r="L77">
        <v>262543</v>
      </c>
      <c r="M77" t="s">
        <v>3150</v>
      </c>
      <c r="N77" t="s">
        <v>2473</v>
      </c>
      <c r="O77" t="s">
        <v>3151</v>
      </c>
      <c r="P77" t="s">
        <v>3152</v>
      </c>
      <c r="Q77" t="s">
        <v>3153</v>
      </c>
      <c r="R77" t="s">
        <v>3154</v>
      </c>
      <c r="S77" t="s">
        <v>3155</v>
      </c>
      <c r="T77">
        <v>7.2193399999999999</v>
      </c>
      <c r="U77">
        <v>1.1208</v>
      </c>
      <c r="V77">
        <v>505</v>
      </c>
      <c r="W77">
        <v>16680</v>
      </c>
      <c r="X77">
        <v>14</v>
      </c>
      <c r="Y77" t="b">
        <v>0</v>
      </c>
      <c r="Z77" t="b">
        <v>0</v>
      </c>
      <c r="AA77" t="s">
        <v>179</v>
      </c>
      <c r="AB77">
        <f>COUNTIF(OWNED[bgg_id],library_data[[#This Row],[bgg_id]])</f>
        <v>1</v>
      </c>
    </row>
    <row r="78" spans="1:28" x14ac:dyDescent="0.25">
      <c r="A78">
        <v>77</v>
      </c>
      <c r="B78" t="s">
        <v>31</v>
      </c>
      <c r="C78" t="s">
        <v>3156</v>
      </c>
      <c r="D78">
        <v>2015</v>
      </c>
      <c r="E78">
        <v>1</v>
      </c>
      <c r="F78">
        <v>4</v>
      </c>
      <c r="G78">
        <v>60</v>
      </c>
      <c r="H78">
        <v>120</v>
      </c>
      <c r="I78" t="s">
        <v>3157</v>
      </c>
      <c r="J78" t="s">
        <v>1099</v>
      </c>
      <c r="K78" t="s">
        <v>3158</v>
      </c>
      <c r="L78">
        <v>163602</v>
      </c>
      <c r="M78" t="s">
        <v>3159</v>
      </c>
      <c r="N78" t="s">
        <v>2470</v>
      </c>
      <c r="O78" t="s">
        <v>3160</v>
      </c>
      <c r="P78" t="s">
        <v>3161</v>
      </c>
      <c r="Q78" t="s">
        <v>3162</v>
      </c>
      <c r="R78" t="s">
        <v>3163</v>
      </c>
      <c r="S78" t="s">
        <v>2609</v>
      </c>
      <c r="T78">
        <v>6.9807499999999996</v>
      </c>
      <c r="U78">
        <v>2.911</v>
      </c>
      <c r="V78">
        <v>995</v>
      </c>
      <c r="W78">
        <v>9322</v>
      </c>
      <c r="X78">
        <v>14</v>
      </c>
      <c r="Y78" t="b">
        <v>1</v>
      </c>
      <c r="Z78" t="b">
        <v>0</v>
      </c>
      <c r="AA78" t="s">
        <v>193</v>
      </c>
      <c r="AB78">
        <f>COUNTIF(OWNED[bgg_id],library_data[[#This Row],[bgg_id]])</f>
        <v>1</v>
      </c>
    </row>
    <row r="79" spans="1:28" x14ac:dyDescent="0.25">
      <c r="A79">
        <v>78</v>
      </c>
      <c r="B79" t="s">
        <v>161</v>
      </c>
      <c r="C79" t="s">
        <v>2959</v>
      </c>
      <c r="D79">
        <v>2003</v>
      </c>
      <c r="E79">
        <v>2</v>
      </c>
      <c r="F79">
        <v>5</v>
      </c>
      <c r="G79">
        <v>30</v>
      </c>
      <c r="H79">
        <v>30</v>
      </c>
      <c r="I79" t="s">
        <v>3164</v>
      </c>
      <c r="J79" t="s">
        <v>833</v>
      </c>
      <c r="K79" t="s">
        <v>3165</v>
      </c>
      <c r="L79">
        <v>5782</v>
      </c>
      <c r="M79" t="s">
        <v>3166</v>
      </c>
      <c r="N79" t="s">
        <v>2473</v>
      </c>
      <c r="O79" t="s">
        <v>3167</v>
      </c>
      <c r="P79" t="s">
        <v>3168</v>
      </c>
      <c r="Q79" t="s">
        <v>3169</v>
      </c>
      <c r="R79" t="s">
        <v>3170</v>
      </c>
      <c r="S79" t="s">
        <v>3171</v>
      </c>
      <c r="T79">
        <v>6.98088</v>
      </c>
      <c r="U79">
        <v>1.2701</v>
      </c>
      <c r="V79">
        <v>711</v>
      </c>
      <c r="W79">
        <v>22341</v>
      </c>
      <c r="X79">
        <v>8</v>
      </c>
      <c r="Y79" t="b">
        <v>0</v>
      </c>
      <c r="Z79" t="b">
        <v>0</v>
      </c>
      <c r="AA79" t="s">
        <v>180</v>
      </c>
      <c r="AB79">
        <f>COUNTIF(OWNED[bgg_id],library_data[[#This Row],[bgg_id]])</f>
        <v>1</v>
      </c>
    </row>
    <row r="80" spans="1:28" x14ac:dyDescent="0.25">
      <c r="A80">
        <v>79</v>
      </c>
      <c r="B80" t="s">
        <v>11</v>
      </c>
      <c r="C80" t="s">
        <v>3172</v>
      </c>
      <c r="D80">
        <v>2013</v>
      </c>
      <c r="E80">
        <v>4</v>
      </c>
      <c r="F80">
        <v>12</v>
      </c>
      <c r="G80">
        <v>40</v>
      </c>
      <c r="H80">
        <v>40</v>
      </c>
      <c r="I80" t="s">
        <v>3173</v>
      </c>
      <c r="J80" t="s">
        <v>835</v>
      </c>
      <c r="K80" t="s">
        <v>3174</v>
      </c>
      <c r="L80">
        <v>147151</v>
      </c>
      <c r="M80" t="s">
        <v>3175</v>
      </c>
      <c r="N80" t="s">
        <v>2473</v>
      </c>
      <c r="O80" t="s">
        <v>3176</v>
      </c>
      <c r="P80" t="s">
        <v>3177</v>
      </c>
      <c r="Q80" t="s">
        <v>3178</v>
      </c>
      <c r="R80" t="s">
        <v>3179</v>
      </c>
      <c r="S80" t="s">
        <v>3180</v>
      </c>
      <c r="T80">
        <v>6.7478600000000002</v>
      </c>
      <c r="U80">
        <v>1.3781000000000001</v>
      </c>
      <c r="V80">
        <v>1097</v>
      </c>
      <c r="W80">
        <v>21541</v>
      </c>
      <c r="X80">
        <v>10</v>
      </c>
      <c r="Y80" t="b">
        <v>0</v>
      </c>
      <c r="Z80" t="b">
        <v>0</v>
      </c>
      <c r="AA80" t="s">
        <v>179</v>
      </c>
      <c r="AB80">
        <f>COUNTIF(OWNED[bgg_id],library_data[[#This Row],[bgg_id]])</f>
        <v>1</v>
      </c>
    </row>
    <row r="81" spans="1:28" x14ac:dyDescent="0.25">
      <c r="A81">
        <v>80</v>
      </c>
      <c r="B81" t="s">
        <v>24</v>
      </c>
      <c r="C81" t="s">
        <v>3181</v>
      </c>
      <c r="D81">
        <v>2014</v>
      </c>
      <c r="E81">
        <v>2</v>
      </c>
      <c r="F81">
        <v>5</v>
      </c>
      <c r="G81">
        <v>60</v>
      </c>
      <c r="H81">
        <v>120</v>
      </c>
      <c r="I81" t="s">
        <v>3182</v>
      </c>
      <c r="J81" t="s">
        <v>839</v>
      </c>
      <c r="K81" t="s">
        <v>3183</v>
      </c>
      <c r="L81">
        <v>150376</v>
      </c>
      <c r="M81" t="s">
        <v>3184</v>
      </c>
      <c r="N81" t="s">
        <v>2470</v>
      </c>
      <c r="O81" t="s">
        <v>3185</v>
      </c>
      <c r="P81" t="s">
        <v>3186</v>
      </c>
      <c r="Q81" t="s">
        <v>3187</v>
      </c>
      <c r="R81" t="s">
        <v>3188</v>
      </c>
      <c r="S81" t="s">
        <v>3189</v>
      </c>
      <c r="T81">
        <v>7.4461199999999996</v>
      </c>
      <c r="U81">
        <v>3.0133000000000001</v>
      </c>
      <c r="V81">
        <v>244</v>
      </c>
      <c r="W81">
        <v>48147</v>
      </c>
      <c r="X81">
        <v>13</v>
      </c>
      <c r="Y81" t="b">
        <v>1</v>
      </c>
      <c r="Z81" t="b">
        <v>0</v>
      </c>
      <c r="AA81" t="s">
        <v>193</v>
      </c>
      <c r="AB81">
        <f>COUNTIF(OWNED[bgg_id],library_data[[#This Row],[bgg_id]])</f>
        <v>1</v>
      </c>
    </row>
    <row r="82" spans="1:28" x14ac:dyDescent="0.25">
      <c r="A82">
        <v>81</v>
      </c>
      <c r="B82" t="s">
        <v>25</v>
      </c>
      <c r="C82" t="s">
        <v>3190</v>
      </c>
      <c r="D82">
        <v>2016</v>
      </c>
      <c r="E82">
        <v>2</v>
      </c>
      <c r="F82">
        <v>5</v>
      </c>
      <c r="G82">
        <v>60</v>
      </c>
      <c r="H82">
        <v>120</v>
      </c>
      <c r="I82" t="s">
        <v>3191</v>
      </c>
      <c r="J82" t="s">
        <v>841</v>
      </c>
      <c r="K82" t="s">
        <v>3192</v>
      </c>
      <c r="L82">
        <v>193037</v>
      </c>
      <c r="M82" t="s">
        <v>3193</v>
      </c>
      <c r="N82" t="s">
        <v>2470</v>
      </c>
      <c r="O82" t="s">
        <v>3194</v>
      </c>
      <c r="P82" t="s">
        <v>3186</v>
      </c>
      <c r="Q82" t="s">
        <v>3195</v>
      </c>
      <c r="R82" t="s">
        <v>3196</v>
      </c>
      <c r="S82" t="s">
        <v>3197</v>
      </c>
      <c r="T82">
        <v>7.5099299999999998</v>
      </c>
      <c r="U82">
        <v>3.3477999999999999</v>
      </c>
      <c r="V82">
        <v>411</v>
      </c>
      <c r="W82">
        <v>10368</v>
      </c>
      <c r="X82">
        <v>14</v>
      </c>
      <c r="Y82" t="b">
        <v>1</v>
      </c>
      <c r="Z82" t="b">
        <v>0</v>
      </c>
      <c r="AA82" t="s">
        <v>193</v>
      </c>
      <c r="AB82">
        <f>COUNTIF(OWNED[bgg_id],library_data[[#This Row],[bgg_id]])</f>
        <v>1</v>
      </c>
    </row>
    <row r="83" spans="1:28" x14ac:dyDescent="0.25">
      <c r="A83">
        <v>82</v>
      </c>
      <c r="B83" t="s">
        <v>95</v>
      </c>
      <c r="C83" t="s">
        <v>3198</v>
      </c>
      <c r="D83">
        <v>2018</v>
      </c>
      <c r="E83">
        <v>3</v>
      </c>
      <c r="F83">
        <v>8</v>
      </c>
      <c r="G83">
        <v>15</v>
      </c>
      <c r="H83">
        <v>45</v>
      </c>
      <c r="I83" t="s">
        <v>3199</v>
      </c>
      <c r="J83" t="s">
        <v>843</v>
      </c>
      <c r="K83" t="s">
        <v>3200</v>
      </c>
      <c r="L83">
        <v>225694</v>
      </c>
      <c r="M83" t="s">
        <v>3201</v>
      </c>
      <c r="N83" t="s">
        <v>2473</v>
      </c>
      <c r="O83" t="s">
        <v>3202</v>
      </c>
      <c r="P83" t="s">
        <v>3203</v>
      </c>
      <c r="Q83" t="s">
        <v>4130</v>
      </c>
      <c r="R83" t="s">
        <v>3204</v>
      </c>
      <c r="S83" t="s">
        <v>3205</v>
      </c>
      <c r="T83">
        <v>7.7668200000000001</v>
      </c>
      <c r="U83">
        <v>1.8277000000000001</v>
      </c>
      <c r="V83">
        <v>114</v>
      </c>
      <c r="W83">
        <v>25915</v>
      </c>
      <c r="X83">
        <v>12</v>
      </c>
      <c r="Y83" t="b">
        <v>0</v>
      </c>
      <c r="Z83" t="b">
        <v>0</v>
      </c>
      <c r="AA83" t="s">
        <v>179</v>
      </c>
      <c r="AB83">
        <f>COUNTIF(OWNED[bgg_id],library_data[[#This Row],[bgg_id]])</f>
        <v>1</v>
      </c>
    </row>
    <row r="84" spans="1:28" x14ac:dyDescent="0.25">
      <c r="A84">
        <v>83</v>
      </c>
      <c r="B84" t="s">
        <v>50</v>
      </c>
      <c r="C84" t="s">
        <v>3206</v>
      </c>
      <c r="D84">
        <v>2008</v>
      </c>
      <c r="E84">
        <v>3</v>
      </c>
      <c r="F84">
        <v>6</v>
      </c>
      <c r="G84">
        <v>30</v>
      </c>
      <c r="H84">
        <v>30</v>
      </c>
      <c r="I84" t="s">
        <v>3207</v>
      </c>
      <c r="J84" t="s">
        <v>847</v>
      </c>
      <c r="K84" t="s">
        <v>3208</v>
      </c>
      <c r="L84">
        <v>39856</v>
      </c>
      <c r="M84" t="s">
        <v>3209</v>
      </c>
      <c r="N84" t="s">
        <v>2473</v>
      </c>
      <c r="O84" t="s">
        <v>3210</v>
      </c>
      <c r="P84" t="s">
        <v>3211</v>
      </c>
      <c r="Q84" t="s">
        <v>3212</v>
      </c>
      <c r="R84" t="s">
        <v>3213</v>
      </c>
      <c r="S84" t="s">
        <v>3214</v>
      </c>
      <c r="T84">
        <v>7.18851</v>
      </c>
      <c r="U84">
        <v>1.1935</v>
      </c>
      <c r="V84">
        <v>412</v>
      </c>
      <c r="W84">
        <v>69082</v>
      </c>
      <c r="X84">
        <v>8</v>
      </c>
      <c r="Y84" t="b">
        <v>0</v>
      </c>
      <c r="Z84" t="b">
        <v>0</v>
      </c>
      <c r="AA84" t="s">
        <v>179</v>
      </c>
      <c r="AB84">
        <f>COUNTIF(OWNED[bgg_id],library_data[[#This Row],[bgg_id]])</f>
        <v>1</v>
      </c>
    </row>
    <row r="85" spans="1:28" x14ac:dyDescent="0.25">
      <c r="A85">
        <v>84</v>
      </c>
      <c r="B85" t="s">
        <v>77</v>
      </c>
      <c r="C85" t="s">
        <v>3215</v>
      </c>
      <c r="D85">
        <v>2009</v>
      </c>
      <c r="E85">
        <v>2</v>
      </c>
      <c r="F85">
        <v>6</v>
      </c>
      <c r="G85">
        <v>30</v>
      </c>
      <c r="H85">
        <v>30</v>
      </c>
      <c r="I85" t="s">
        <v>3216</v>
      </c>
      <c r="J85" t="s">
        <v>849</v>
      </c>
      <c r="K85" t="s">
        <v>3217</v>
      </c>
      <c r="L85">
        <v>40834</v>
      </c>
      <c r="M85" t="s">
        <v>3218</v>
      </c>
      <c r="N85" t="s">
        <v>2474</v>
      </c>
      <c r="O85" t="s">
        <v>3219</v>
      </c>
      <c r="P85" t="s">
        <v>3220</v>
      </c>
      <c r="Q85" t="s">
        <v>3221</v>
      </c>
      <c r="R85" t="s">
        <v>3222</v>
      </c>
      <c r="S85" t="s">
        <v>3223</v>
      </c>
      <c r="T85">
        <v>7.6875299999999998</v>
      </c>
      <c r="U85">
        <v>2.4123999999999999</v>
      </c>
      <c r="V85">
        <v>128</v>
      </c>
      <c r="W85">
        <v>34398</v>
      </c>
      <c r="X85">
        <v>13</v>
      </c>
      <c r="Y85" t="b">
        <v>0</v>
      </c>
      <c r="Z85" t="b">
        <v>0</v>
      </c>
      <c r="AA85" t="s">
        <v>187</v>
      </c>
      <c r="AB85">
        <f>COUNTIF(OWNED[bgg_id],library_data[[#This Row],[bgg_id]])</f>
        <v>1</v>
      </c>
    </row>
    <row r="86" spans="1:28" x14ac:dyDescent="0.25">
      <c r="A86">
        <v>85</v>
      </c>
      <c r="B86" t="s">
        <v>116</v>
      </c>
      <c r="C86" t="s">
        <v>3224</v>
      </c>
      <c r="D86">
        <v>2022</v>
      </c>
      <c r="E86">
        <v>1</v>
      </c>
      <c r="F86">
        <v>6</v>
      </c>
      <c r="G86">
        <v>30</v>
      </c>
      <c r="H86">
        <v>60</v>
      </c>
      <c r="I86" t="s">
        <v>3225</v>
      </c>
      <c r="J86" t="s">
        <v>851</v>
      </c>
      <c r="K86" t="s">
        <v>3226</v>
      </c>
      <c r="L86">
        <v>370591</v>
      </c>
      <c r="M86" t="s">
        <v>3227</v>
      </c>
      <c r="N86" t="s">
        <v>2470</v>
      </c>
      <c r="O86" t="s">
        <v>3228</v>
      </c>
      <c r="P86" t="s">
        <v>3229</v>
      </c>
      <c r="Q86" t="s">
        <v>3230</v>
      </c>
      <c r="R86" t="s">
        <v>3231</v>
      </c>
      <c r="S86" t="s">
        <v>3232</v>
      </c>
      <c r="T86">
        <v>7.6092000000000004</v>
      </c>
      <c r="U86">
        <v>1.6304000000000001</v>
      </c>
      <c r="V86">
        <v>338</v>
      </c>
      <c r="W86">
        <v>9459</v>
      </c>
      <c r="X86">
        <v>8</v>
      </c>
      <c r="Y86" t="b">
        <v>1</v>
      </c>
      <c r="Z86" t="b">
        <v>0</v>
      </c>
      <c r="AA86" t="s">
        <v>180</v>
      </c>
      <c r="AB86">
        <f>COUNTIF(OWNED[bgg_id],library_data[[#This Row],[bgg_id]])</f>
        <v>1</v>
      </c>
    </row>
    <row r="87" spans="1:28" x14ac:dyDescent="0.25">
      <c r="A87">
        <v>86</v>
      </c>
      <c r="B87" t="s">
        <v>16</v>
      </c>
      <c r="C87" t="s">
        <v>3233</v>
      </c>
      <c r="D87">
        <v>2020</v>
      </c>
      <c r="E87">
        <v>2</v>
      </c>
      <c r="F87">
        <v>4</v>
      </c>
      <c r="G87">
        <v>15</v>
      </c>
      <c r="H87">
        <v>15</v>
      </c>
      <c r="I87" t="s">
        <v>3234</v>
      </c>
      <c r="J87" t="s">
        <v>855</v>
      </c>
      <c r="K87" t="s">
        <v>3235</v>
      </c>
      <c r="L87">
        <v>300010</v>
      </c>
      <c r="M87" t="s">
        <v>3236</v>
      </c>
      <c r="N87" t="s">
        <v>2472</v>
      </c>
      <c r="O87" t="s">
        <v>3237</v>
      </c>
      <c r="P87" t="s">
        <v>3238</v>
      </c>
      <c r="Q87" t="s">
        <v>3239</v>
      </c>
      <c r="R87" t="s">
        <v>3240</v>
      </c>
      <c r="S87" t="s">
        <v>3241</v>
      </c>
      <c r="T87">
        <v>7.0448000000000004</v>
      </c>
      <c r="U87">
        <v>1.0659000000000001</v>
      </c>
      <c r="V87">
        <v>1732</v>
      </c>
      <c r="W87">
        <v>2836</v>
      </c>
      <c r="X87">
        <v>5</v>
      </c>
      <c r="Y87" t="b">
        <v>0</v>
      </c>
      <c r="Z87" t="b">
        <v>0</v>
      </c>
      <c r="AA87" t="s">
        <v>191</v>
      </c>
      <c r="AB87">
        <f>COUNTIF(OWNED[bgg_id],library_data[[#This Row],[bgg_id]])</f>
        <v>1</v>
      </c>
    </row>
    <row r="88" spans="1:28" x14ac:dyDescent="0.25">
      <c r="A88">
        <v>87</v>
      </c>
      <c r="B88" t="s">
        <v>312</v>
      </c>
      <c r="C88" t="s">
        <v>3242</v>
      </c>
      <c r="D88">
        <v>2019</v>
      </c>
      <c r="E88">
        <v>1</v>
      </c>
      <c r="F88">
        <v>5</v>
      </c>
      <c r="G88">
        <v>60</v>
      </c>
      <c r="H88">
        <v>60</v>
      </c>
      <c r="I88" t="s">
        <v>3243</v>
      </c>
      <c r="J88" t="s">
        <v>859</v>
      </c>
      <c r="K88" t="s">
        <v>3244</v>
      </c>
      <c r="L88">
        <v>264196</v>
      </c>
      <c r="M88" t="s">
        <v>3245</v>
      </c>
      <c r="N88" t="s">
        <v>2470</v>
      </c>
      <c r="O88" t="s">
        <v>3246</v>
      </c>
      <c r="P88" t="s">
        <v>3247</v>
      </c>
      <c r="Q88" t="s">
        <v>3248</v>
      </c>
      <c r="R88" t="s">
        <v>3249</v>
      </c>
      <c r="S88" t="s">
        <v>2609</v>
      </c>
      <c r="T88">
        <v>7.6694500000000003</v>
      </c>
      <c r="U88">
        <v>2.4035000000000002</v>
      </c>
      <c r="V88">
        <v>3307</v>
      </c>
      <c r="W88">
        <v>808</v>
      </c>
      <c r="X88">
        <v>14</v>
      </c>
      <c r="Y88" t="b">
        <v>1</v>
      </c>
      <c r="Z88" t="b">
        <v>0</v>
      </c>
      <c r="AA88" t="s">
        <v>281</v>
      </c>
      <c r="AB88">
        <f>COUNTIF(OWNED[bgg_id],library_data[[#This Row],[bgg_id]])</f>
        <v>1</v>
      </c>
    </row>
    <row r="89" spans="1:28" x14ac:dyDescent="0.25">
      <c r="A89">
        <v>88</v>
      </c>
      <c r="B89" t="s">
        <v>20</v>
      </c>
      <c r="C89" t="s">
        <v>3250</v>
      </c>
      <c r="D89">
        <v>2011</v>
      </c>
      <c r="E89">
        <v>1</v>
      </c>
      <c r="F89">
        <v>8</v>
      </c>
      <c r="G89">
        <v>90</v>
      </c>
      <c r="H89">
        <v>90</v>
      </c>
      <c r="I89" t="s">
        <v>3251</v>
      </c>
      <c r="J89" t="s">
        <v>863</v>
      </c>
      <c r="K89" t="s">
        <v>3252</v>
      </c>
      <c r="L89">
        <v>100423</v>
      </c>
      <c r="M89" t="s">
        <v>3253</v>
      </c>
      <c r="N89" t="s">
        <v>2470</v>
      </c>
      <c r="O89" t="s">
        <v>3254</v>
      </c>
      <c r="P89" t="s">
        <v>3255</v>
      </c>
      <c r="Q89" t="s">
        <v>3256</v>
      </c>
      <c r="R89" t="s">
        <v>3257</v>
      </c>
      <c r="S89" t="s">
        <v>3258</v>
      </c>
      <c r="T89">
        <v>6.9668200000000002</v>
      </c>
      <c r="U89">
        <v>2.3450000000000002</v>
      </c>
      <c r="V89">
        <v>771</v>
      </c>
      <c r="W89">
        <v>26009</v>
      </c>
      <c r="X89">
        <v>13</v>
      </c>
      <c r="Y89" t="b">
        <v>1</v>
      </c>
      <c r="Z89" t="b">
        <v>0</v>
      </c>
      <c r="AA89" t="s">
        <v>193</v>
      </c>
      <c r="AB89">
        <f>COUNTIF(OWNED[bgg_id],library_data[[#This Row],[bgg_id]])</f>
        <v>1</v>
      </c>
    </row>
    <row r="90" spans="1:28" x14ac:dyDescent="0.25">
      <c r="A90">
        <v>89</v>
      </c>
      <c r="B90" t="s">
        <v>80</v>
      </c>
      <c r="C90" t="s">
        <v>3259</v>
      </c>
      <c r="D90">
        <v>2018</v>
      </c>
      <c r="E90">
        <v>2</v>
      </c>
      <c r="F90">
        <v>6</v>
      </c>
      <c r="G90">
        <v>10</v>
      </c>
      <c r="H90">
        <v>20</v>
      </c>
      <c r="I90" t="s">
        <v>3260</v>
      </c>
      <c r="J90" t="s">
        <v>873</v>
      </c>
      <c r="K90" t="s">
        <v>3261</v>
      </c>
      <c r="L90">
        <v>236639</v>
      </c>
      <c r="M90" t="s">
        <v>3262</v>
      </c>
      <c r="N90" t="s">
        <v>2473</v>
      </c>
      <c r="O90" t="s">
        <v>3263</v>
      </c>
      <c r="P90" t="s">
        <v>3264</v>
      </c>
      <c r="Q90" t="s">
        <v>3265</v>
      </c>
      <c r="R90" t="s">
        <v>3266</v>
      </c>
      <c r="S90" t="s">
        <v>3267</v>
      </c>
      <c r="T90">
        <v>5.2718800000000003</v>
      </c>
      <c r="U90">
        <v>1.3</v>
      </c>
      <c r="V90">
        <v>28562</v>
      </c>
      <c r="W90">
        <v>437</v>
      </c>
      <c r="X90">
        <v>8</v>
      </c>
      <c r="Y90" t="b">
        <v>0</v>
      </c>
      <c r="Z90" t="b">
        <v>1</v>
      </c>
      <c r="AA90" t="s">
        <v>180</v>
      </c>
      <c r="AB90">
        <f>COUNTIF(OWNED[bgg_id],library_data[[#This Row],[bgg_id]])</f>
        <v>1</v>
      </c>
    </row>
    <row r="91" spans="1:28" x14ac:dyDescent="0.25">
      <c r="A91">
        <v>90</v>
      </c>
      <c r="B91" t="s">
        <v>79</v>
      </c>
      <c r="C91" t="s">
        <v>3268</v>
      </c>
      <c r="D91">
        <v>2019</v>
      </c>
      <c r="E91">
        <v>2</v>
      </c>
      <c r="F91">
        <v>8</v>
      </c>
      <c r="G91">
        <v>5</v>
      </c>
      <c r="H91">
        <v>30</v>
      </c>
      <c r="I91" t="s">
        <v>3269</v>
      </c>
      <c r="J91" t="s">
        <v>877</v>
      </c>
      <c r="K91" t="s">
        <v>3270</v>
      </c>
      <c r="L91">
        <v>261140</v>
      </c>
      <c r="M91" t="s">
        <v>3271</v>
      </c>
      <c r="N91" t="s">
        <v>2473</v>
      </c>
      <c r="O91" t="s">
        <v>3272</v>
      </c>
      <c r="P91" t="s">
        <v>3273</v>
      </c>
      <c r="Q91" t="s">
        <v>3265</v>
      </c>
      <c r="R91" t="s">
        <v>3274</v>
      </c>
      <c r="S91" t="s">
        <v>3267</v>
      </c>
      <c r="T91">
        <v>6.7673899999999998</v>
      </c>
      <c r="U91">
        <v>1</v>
      </c>
      <c r="V91">
        <v>18261</v>
      </c>
      <c r="W91">
        <v>46</v>
      </c>
      <c r="X91">
        <v>6</v>
      </c>
      <c r="Y91" t="b">
        <v>0</v>
      </c>
      <c r="Z91" t="b">
        <v>1</v>
      </c>
      <c r="AA91" t="s">
        <v>181</v>
      </c>
      <c r="AB91">
        <f>COUNTIF(OWNED[bgg_id],library_data[[#This Row],[bgg_id]])</f>
        <v>1</v>
      </c>
    </row>
    <row r="92" spans="1:28" x14ac:dyDescent="0.25">
      <c r="A92">
        <v>91</v>
      </c>
      <c r="B92" t="s">
        <v>45</v>
      </c>
      <c r="C92" t="s">
        <v>2892</v>
      </c>
      <c r="D92">
        <v>1997</v>
      </c>
      <c r="E92">
        <v>2</v>
      </c>
      <c r="F92">
        <v>6</v>
      </c>
      <c r="G92">
        <v>5</v>
      </c>
      <c r="H92">
        <v>30</v>
      </c>
      <c r="I92" t="s">
        <v>3275</v>
      </c>
      <c r="J92" t="s">
        <v>881</v>
      </c>
      <c r="K92" t="s">
        <v>3276</v>
      </c>
      <c r="L92">
        <v>258</v>
      </c>
      <c r="M92" t="s">
        <v>3277</v>
      </c>
      <c r="N92" t="s">
        <v>2473</v>
      </c>
      <c r="O92" t="s">
        <v>3278</v>
      </c>
      <c r="P92" t="s">
        <v>3279</v>
      </c>
      <c r="Q92" t="s">
        <v>3280</v>
      </c>
      <c r="R92" t="s">
        <v>3281</v>
      </c>
      <c r="S92" t="s">
        <v>3282</v>
      </c>
      <c r="T92">
        <v>5.67767</v>
      </c>
      <c r="U92">
        <v>1.3885000000000001</v>
      </c>
      <c r="V92">
        <v>11292</v>
      </c>
      <c r="W92">
        <v>18538</v>
      </c>
      <c r="X92">
        <v>8</v>
      </c>
      <c r="Y92" t="b">
        <v>0</v>
      </c>
      <c r="Z92" t="b">
        <v>0</v>
      </c>
      <c r="AA92" t="s">
        <v>186</v>
      </c>
      <c r="AB92">
        <f>COUNTIF(OWNED[bgg_id],library_data[[#This Row],[bgg_id]])</f>
        <v>1</v>
      </c>
    </row>
    <row r="93" spans="1:28" x14ac:dyDescent="0.25">
      <c r="A93">
        <v>92</v>
      </c>
      <c r="B93" t="s">
        <v>125</v>
      </c>
      <c r="C93" t="s">
        <v>3283</v>
      </c>
      <c r="D93">
        <v>2010</v>
      </c>
      <c r="E93">
        <v>2</v>
      </c>
      <c r="F93">
        <v>4</v>
      </c>
      <c r="G93">
        <v>30</v>
      </c>
      <c r="H93">
        <v>30</v>
      </c>
      <c r="I93" t="s">
        <v>3284</v>
      </c>
      <c r="J93" t="s">
        <v>885</v>
      </c>
      <c r="K93" t="s">
        <v>3285</v>
      </c>
      <c r="L93">
        <v>65244</v>
      </c>
      <c r="M93" t="s">
        <v>3286</v>
      </c>
      <c r="N93" t="s">
        <v>2470</v>
      </c>
      <c r="O93" t="s">
        <v>3287</v>
      </c>
      <c r="P93" t="s">
        <v>3288</v>
      </c>
      <c r="Q93" t="s">
        <v>3289</v>
      </c>
      <c r="R93" t="s">
        <v>3290</v>
      </c>
      <c r="S93" t="s">
        <v>3291</v>
      </c>
      <c r="T93">
        <v>6.7526900000000003</v>
      </c>
      <c r="U93">
        <v>1.7383</v>
      </c>
      <c r="V93">
        <v>990</v>
      </c>
      <c r="W93">
        <v>53327</v>
      </c>
      <c r="X93">
        <v>10</v>
      </c>
      <c r="Y93" t="b">
        <v>1</v>
      </c>
      <c r="Z93" t="b">
        <v>0</v>
      </c>
      <c r="AA93" t="s">
        <v>180</v>
      </c>
      <c r="AB93">
        <f>COUNTIF(OWNED[bgg_id],library_data[[#This Row],[bgg_id]])</f>
        <v>1</v>
      </c>
    </row>
    <row r="94" spans="1:28" x14ac:dyDescent="0.25">
      <c r="A94">
        <v>93</v>
      </c>
      <c r="B94" t="s">
        <v>59</v>
      </c>
      <c r="C94" t="s">
        <v>3292</v>
      </c>
      <c r="D94">
        <v>1996</v>
      </c>
      <c r="E94">
        <v>3</v>
      </c>
      <c r="F94">
        <v>8</v>
      </c>
      <c r="G94">
        <v>15</v>
      </c>
      <c r="H94">
        <v>15</v>
      </c>
      <c r="I94" t="s">
        <v>3293</v>
      </c>
      <c r="J94" t="s">
        <v>889</v>
      </c>
      <c r="K94" t="s">
        <v>3294</v>
      </c>
      <c r="L94">
        <v>176</v>
      </c>
      <c r="M94" t="s">
        <v>3295</v>
      </c>
      <c r="N94" t="s">
        <v>2473</v>
      </c>
      <c r="O94" t="s">
        <v>3296</v>
      </c>
      <c r="P94" t="s">
        <v>3297</v>
      </c>
      <c r="Q94" t="s">
        <v>3298</v>
      </c>
      <c r="R94" t="s">
        <v>3299</v>
      </c>
      <c r="S94" t="s">
        <v>3300</v>
      </c>
      <c r="T94">
        <v>5.8341000000000003</v>
      </c>
      <c r="U94">
        <v>1.2726999999999999</v>
      </c>
      <c r="V94">
        <v>7648</v>
      </c>
      <c r="W94">
        <v>2175</v>
      </c>
      <c r="X94">
        <v>10</v>
      </c>
      <c r="Y94" t="b">
        <v>0</v>
      </c>
      <c r="Z94" t="b">
        <v>0</v>
      </c>
      <c r="AA94" t="s">
        <v>189</v>
      </c>
      <c r="AB94">
        <f>COUNTIF(OWNED[bgg_id],library_data[[#This Row],[bgg_id]])</f>
        <v>1</v>
      </c>
    </row>
    <row r="95" spans="1:28" x14ac:dyDescent="0.25">
      <c r="A95">
        <v>94</v>
      </c>
      <c r="B95" t="s">
        <v>81</v>
      </c>
      <c r="C95" t="s">
        <v>3301</v>
      </c>
      <c r="D95">
        <v>2025</v>
      </c>
      <c r="E95">
        <v>2</v>
      </c>
      <c r="F95">
        <v>4</v>
      </c>
      <c r="G95">
        <v>10</v>
      </c>
      <c r="H95">
        <v>25</v>
      </c>
      <c r="I95" t="s">
        <v>3302</v>
      </c>
      <c r="J95" t="s">
        <v>891</v>
      </c>
      <c r="K95" t="s">
        <v>3303</v>
      </c>
      <c r="L95">
        <v>303929</v>
      </c>
      <c r="M95" t="s">
        <v>3304</v>
      </c>
      <c r="N95" t="s">
        <v>2472</v>
      </c>
      <c r="O95" t="s">
        <v>3305</v>
      </c>
      <c r="P95" t="s">
        <v>3306</v>
      </c>
      <c r="Q95" t="s">
        <v>3265</v>
      </c>
      <c r="R95" t="s">
        <v>3307</v>
      </c>
      <c r="S95" t="s">
        <v>3267</v>
      </c>
      <c r="T95">
        <v>7.6</v>
      </c>
      <c r="W95">
        <v>5</v>
      </c>
      <c r="X95">
        <v>8</v>
      </c>
      <c r="Y95" t="b">
        <v>1</v>
      </c>
      <c r="Z95" t="b">
        <v>1</v>
      </c>
      <c r="AA95" t="s">
        <v>183</v>
      </c>
      <c r="AB95">
        <f>COUNTIF(OWNED[bgg_id],library_data[[#This Row],[bgg_id]])</f>
        <v>1</v>
      </c>
    </row>
    <row r="96" spans="1:28" x14ac:dyDescent="0.25">
      <c r="A96">
        <v>95</v>
      </c>
      <c r="B96" t="s">
        <v>55</v>
      </c>
      <c r="C96" t="s">
        <v>3242</v>
      </c>
      <c r="D96">
        <v>2017</v>
      </c>
      <c r="E96">
        <v>1</v>
      </c>
      <c r="F96">
        <v>4</v>
      </c>
      <c r="G96">
        <v>60</v>
      </c>
      <c r="H96">
        <v>120</v>
      </c>
      <c r="I96" t="s">
        <v>3308</v>
      </c>
      <c r="J96" t="s">
        <v>893</v>
      </c>
      <c r="K96" t="s">
        <v>3309</v>
      </c>
      <c r="L96">
        <v>174430</v>
      </c>
      <c r="M96" t="s">
        <v>3310</v>
      </c>
      <c r="N96" t="s">
        <v>2470</v>
      </c>
      <c r="O96" t="s">
        <v>3311</v>
      </c>
      <c r="P96" t="s">
        <v>3312</v>
      </c>
      <c r="Q96" t="s">
        <v>3313</v>
      </c>
      <c r="R96" t="s">
        <v>3314</v>
      </c>
      <c r="S96" t="s">
        <v>3315</v>
      </c>
      <c r="T96">
        <v>8.5547799999999992</v>
      </c>
      <c r="U96">
        <v>3.9148000000000001</v>
      </c>
      <c r="V96">
        <v>4</v>
      </c>
      <c r="W96">
        <v>65686</v>
      </c>
      <c r="X96">
        <v>14</v>
      </c>
      <c r="Y96" t="b">
        <v>1</v>
      </c>
      <c r="Z96" t="b">
        <v>0</v>
      </c>
      <c r="AA96" t="s">
        <v>281</v>
      </c>
      <c r="AB96">
        <f>COUNTIF(OWNED[bgg_id],library_data[[#This Row],[bgg_id]])</f>
        <v>1</v>
      </c>
    </row>
    <row r="97" spans="1:28" x14ac:dyDescent="0.25">
      <c r="A97">
        <v>96</v>
      </c>
      <c r="B97" t="s">
        <v>1441</v>
      </c>
      <c r="C97" t="s">
        <v>3316</v>
      </c>
      <c r="D97">
        <v>2010</v>
      </c>
      <c r="E97">
        <v>2</v>
      </c>
      <c r="F97">
        <v>5</v>
      </c>
      <c r="G97">
        <v>25</v>
      </c>
      <c r="H97">
        <v>25</v>
      </c>
      <c r="I97" t="s">
        <v>3317</v>
      </c>
      <c r="J97" t="s">
        <v>1443</v>
      </c>
      <c r="K97" t="s">
        <v>3318</v>
      </c>
      <c r="L97">
        <v>98778</v>
      </c>
      <c r="M97" t="s">
        <v>3319</v>
      </c>
      <c r="N97" t="s">
        <v>2470</v>
      </c>
      <c r="O97" t="s">
        <v>3320</v>
      </c>
      <c r="P97" t="s">
        <v>2530</v>
      </c>
      <c r="Q97" t="s">
        <v>3321</v>
      </c>
      <c r="R97" t="s">
        <v>3322</v>
      </c>
      <c r="S97" t="s">
        <v>3323</v>
      </c>
      <c r="T97">
        <v>7.0314100000000002</v>
      </c>
      <c r="U97">
        <v>1.6908000000000001</v>
      </c>
      <c r="V97">
        <v>581</v>
      </c>
      <c r="W97">
        <v>51227</v>
      </c>
      <c r="X97">
        <v>8</v>
      </c>
      <c r="Y97" t="b">
        <v>1</v>
      </c>
      <c r="Z97" t="b">
        <v>0</v>
      </c>
      <c r="AA97" t="s">
        <v>180</v>
      </c>
      <c r="AB97">
        <f>COUNTIF(OWNED[bgg_id],library_data[[#This Row],[bgg_id]])</f>
        <v>1</v>
      </c>
    </row>
    <row r="98" spans="1:28" x14ac:dyDescent="0.25">
      <c r="A98">
        <v>97</v>
      </c>
      <c r="B98" t="s">
        <v>220</v>
      </c>
      <c r="C98" t="s">
        <v>3324</v>
      </c>
      <c r="D98">
        <v>2020</v>
      </c>
      <c r="E98">
        <v>4</v>
      </c>
      <c r="F98">
        <v>20</v>
      </c>
      <c r="G98">
        <v>20</v>
      </c>
      <c r="H98">
        <v>30</v>
      </c>
      <c r="I98" t="s">
        <v>3325</v>
      </c>
      <c r="J98" t="s">
        <v>899</v>
      </c>
      <c r="K98" t="s">
        <v>3326</v>
      </c>
      <c r="L98">
        <v>311322</v>
      </c>
      <c r="M98" t="s">
        <v>3327</v>
      </c>
      <c r="N98" t="s">
        <v>2473</v>
      </c>
      <c r="O98" t="s">
        <v>3328</v>
      </c>
      <c r="P98" t="s">
        <v>3329</v>
      </c>
      <c r="Q98" t="s">
        <v>3330</v>
      </c>
      <c r="R98" t="s">
        <v>3331</v>
      </c>
      <c r="S98" t="s">
        <v>3332</v>
      </c>
      <c r="T98">
        <v>6.6204700000000001</v>
      </c>
      <c r="U98">
        <v>1</v>
      </c>
      <c r="V98">
        <v>2526</v>
      </c>
      <c r="W98">
        <v>3102</v>
      </c>
      <c r="X98">
        <v>10</v>
      </c>
      <c r="Y98" t="b">
        <v>0</v>
      </c>
      <c r="Z98" t="b">
        <v>0</v>
      </c>
      <c r="AA98" t="s">
        <v>179</v>
      </c>
      <c r="AB98">
        <f>COUNTIF(OWNED[bgg_id],library_data[[#This Row],[bgg_id]])</f>
        <v>1</v>
      </c>
    </row>
    <row r="99" spans="1:28" x14ac:dyDescent="0.25">
      <c r="A99">
        <v>98</v>
      </c>
      <c r="B99" t="s">
        <v>92</v>
      </c>
      <c r="C99" t="s">
        <v>2587</v>
      </c>
      <c r="D99">
        <v>2014</v>
      </c>
      <c r="E99">
        <v>2</v>
      </c>
      <c r="F99">
        <v>6</v>
      </c>
      <c r="G99">
        <v>10</v>
      </c>
      <c r="H99">
        <v>45</v>
      </c>
      <c r="I99" t="s">
        <v>3333</v>
      </c>
      <c r="J99" t="s">
        <v>903</v>
      </c>
      <c r="K99" t="s">
        <v>3334</v>
      </c>
      <c r="L99">
        <v>180471</v>
      </c>
      <c r="M99" t="s">
        <v>3335</v>
      </c>
      <c r="N99" t="s">
        <v>2471</v>
      </c>
      <c r="O99" t="s">
        <v>3336</v>
      </c>
      <c r="P99" t="s">
        <v>3337</v>
      </c>
      <c r="Q99" t="s">
        <v>3338</v>
      </c>
      <c r="R99" t="s">
        <v>3339</v>
      </c>
      <c r="S99" t="s">
        <v>3267</v>
      </c>
      <c r="T99">
        <v>6.4127799999999997</v>
      </c>
      <c r="U99">
        <v>1.2222</v>
      </c>
      <c r="V99">
        <v>11218</v>
      </c>
      <c r="W99">
        <v>257</v>
      </c>
      <c r="X99">
        <v>6</v>
      </c>
      <c r="Y99" t="b">
        <v>0</v>
      </c>
      <c r="Z99" t="b">
        <v>1</v>
      </c>
      <c r="AA99" t="s">
        <v>185</v>
      </c>
      <c r="AB99">
        <f>COUNTIF(OWNED[bgg_id],library_data[[#This Row],[bgg_id]])</f>
        <v>1</v>
      </c>
    </row>
    <row r="100" spans="1:28" x14ac:dyDescent="0.25">
      <c r="A100">
        <v>99</v>
      </c>
      <c r="B100" t="s">
        <v>195</v>
      </c>
      <c r="C100" t="s">
        <v>3340</v>
      </c>
      <c r="D100">
        <v>2019</v>
      </c>
      <c r="E100">
        <v>1</v>
      </c>
      <c r="F100">
        <v>5</v>
      </c>
      <c r="G100">
        <v>60</v>
      </c>
      <c r="H100">
        <v>60</v>
      </c>
      <c r="I100" t="s">
        <v>3341</v>
      </c>
      <c r="J100" t="s">
        <v>905</v>
      </c>
      <c r="K100" t="s">
        <v>3342</v>
      </c>
      <c r="L100">
        <v>282524</v>
      </c>
      <c r="M100" t="s">
        <v>3343</v>
      </c>
      <c r="N100" t="s">
        <v>2470</v>
      </c>
      <c r="O100" t="s">
        <v>3344</v>
      </c>
      <c r="P100" t="s">
        <v>3345</v>
      </c>
      <c r="Q100" t="s">
        <v>2948</v>
      </c>
      <c r="R100" t="s">
        <v>3346</v>
      </c>
      <c r="S100" t="s">
        <v>3347</v>
      </c>
      <c r="T100">
        <v>7.6060800000000004</v>
      </c>
      <c r="U100">
        <v>2.0184000000000002</v>
      </c>
      <c r="V100">
        <v>228</v>
      </c>
      <c r="W100">
        <v>18902</v>
      </c>
      <c r="X100">
        <v>10</v>
      </c>
      <c r="Y100" t="b">
        <v>1</v>
      </c>
      <c r="Z100" t="b">
        <v>0</v>
      </c>
      <c r="AA100" t="s">
        <v>309</v>
      </c>
      <c r="AB100">
        <f>COUNTIF(OWNED[bgg_id],library_data[[#This Row],[bgg_id]])</f>
        <v>1</v>
      </c>
    </row>
    <row r="101" spans="1:28" x14ac:dyDescent="0.25">
      <c r="A101">
        <v>100</v>
      </c>
      <c r="B101" t="s">
        <v>255</v>
      </c>
      <c r="C101" t="s">
        <v>3348</v>
      </c>
      <c r="D101">
        <v>2022</v>
      </c>
      <c r="E101">
        <v>2</v>
      </c>
      <c r="F101">
        <v>5</v>
      </c>
      <c r="H101">
        <v>7</v>
      </c>
      <c r="I101" t="s">
        <v>3349</v>
      </c>
      <c r="J101" t="s">
        <v>909</v>
      </c>
      <c r="K101" t="s">
        <v>3350</v>
      </c>
      <c r="L101">
        <v>358805</v>
      </c>
      <c r="M101" t="s">
        <v>3351</v>
      </c>
      <c r="N101" t="s">
        <v>2470</v>
      </c>
      <c r="O101" t="s">
        <v>3352</v>
      </c>
      <c r="P101" t="s">
        <v>3353</v>
      </c>
      <c r="Q101" t="s">
        <v>3354</v>
      </c>
      <c r="R101" t="s">
        <v>3355</v>
      </c>
      <c r="S101" t="s">
        <v>3356</v>
      </c>
      <c r="T101">
        <v>6.3971999999999998</v>
      </c>
      <c r="U101">
        <v>1.1667000000000001</v>
      </c>
      <c r="V101">
        <v>9608</v>
      </c>
      <c r="W101">
        <v>268</v>
      </c>
      <c r="X101">
        <v>7</v>
      </c>
      <c r="Y101" t="b">
        <v>1</v>
      </c>
      <c r="Z101" t="b">
        <v>0</v>
      </c>
      <c r="AA101" t="s">
        <v>179</v>
      </c>
      <c r="AB101">
        <f>COUNTIF(OWNED[bgg_id],library_data[[#This Row],[bgg_id]])</f>
        <v>1</v>
      </c>
    </row>
    <row r="102" spans="1:28" x14ac:dyDescent="0.25">
      <c r="A102">
        <v>101</v>
      </c>
      <c r="B102" t="s">
        <v>48</v>
      </c>
      <c r="C102" t="s">
        <v>3357</v>
      </c>
      <c r="D102">
        <v>2009</v>
      </c>
      <c r="E102">
        <v>2</v>
      </c>
      <c r="F102">
        <v>2</v>
      </c>
      <c r="G102">
        <v>30</v>
      </c>
      <c r="H102">
        <v>30</v>
      </c>
      <c r="I102" t="s">
        <v>3358</v>
      </c>
      <c r="J102" t="s">
        <v>911</v>
      </c>
      <c r="K102" t="s">
        <v>3359</v>
      </c>
      <c r="L102">
        <v>54043</v>
      </c>
      <c r="M102" t="s">
        <v>3360</v>
      </c>
      <c r="N102" t="s">
        <v>2471</v>
      </c>
      <c r="O102" t="s">
        <v>3361</v>
      </c>
      <c r="P102" t="s">
        <v>3362</v>
      </c>
      <c r="Q102" t="s">
        <v>3363</v>
      </c>
      <c r="R102" t="s">
        <v>3364</v>
      </c>
      <c r="S102" t="s">
        <v>3365</v>
      </c>
      <c r="T102">
        <v>7.4824799999999998</v>
      </c>
      <c r="U102">
        <v>1.4621</v>
      </c>
      <c r="V102">
        <v>199</v>
      </c>
      <c r="W102">
        <v>56044</v>
      </c>
      <c r="X102">
        <v>10</v>
      </c>
      <c r="Y102" t="b">
        <v>0</v>
      </c>
      <c r="Z102" t="b">
        <v>0</v>
      </c>
      <c r="AA102" t="s">
        <v>180</v>
      </c>
      <c r="AB102">
        <f>COUNTIF(OWNED[bgg_id],library_data[[#This Row],[bgg_id]])</f>
        <v>1</v>
      </c>
    </row>
    <row r="103" spans="1:28" x14ac:dyDescent="0.25">
      <c r="A103">
        <v>102</v>
      </c>
      <c r="B103" t="s">
        <v>208</v>
      </c>
      <c r="C103" t="s">
        <v>3366</v>
      </c>
      <c r="D103">
        <v>1997</v>
      </c>
      <c r="E103">
        <v>2</v>
      </c>
      <c r="F103">
        <v>10</v>
      </c>
      <c r="G103">
        <v>10</v>
      </c>
      <c r="H103">
        <v>10</v>
      </c>
      <c r="I103" t="s">
        <v>3367</v>
      </c>
      <c r="J103" t="s">
        <v>913</v>
      </c>
      <c r="K103" t="s">
        <v>3368</v>
      </c>
      <c r="L103">
        <v>8098</v>
      </c>
      <c r="M103" t="s">
        <v>3369</v>
      </c>
      <c r="N103" t="s">
        <v>2473</v>
      </c>
      <c r="O103" t="s">
        <v>3370</v>
      </c>
      <c r="P103" t="s">
        <v>3371</v>
      </c>
      <c r="Q103" t="s">
        <v>3372</v>
      </c>
      <c r="R103" t="s">
        <v>2585</v>
      </c>
      <c r="S103" t="s">
        <v>3373</v>
      </c>
      <c r="T103">
        <v>6.4575399999999998</v>
      </c>
      <c r="U103">
        <v>1.1295999999999999</v>
      </c>
      <c r="V103">
        <v>1976</v>
      </c>
      <c r="W103">
        <v>14038</v>
      </c>
      <c r="X103">
        <v>7</v>
      </c>
      <c r="Y103" t="b">
        <v>0</v>
      </c>
      <c r="Z103" t="b">
        <v>0</v>
      </c>
      <c r="AA103" t="s">
        <v>179</v>
      </c>
      <c r="AB103">
        <f>COUNTIF(OWNED[bgg_id],library_data[[#This Row],[bgg_id]])</f>
        <v>1</v>
      </c>
    </row>
    <row r="104" spans="1:28" x14ac:dyDescent="0.25">
      <c r="A104">
        <v>103</v>
      </c>
      <c r="B104" t="s">
        <v>94</v>
      </c>
      <c r="C104" t="s">
        <v>3172</v>
      </c>
      <c r="D104">
        <v>2018</v>
      </c>
      <c r="E104">
        <v>3</v>
      </c>
      <c r="F104">
        <v>7</v>
      </c>
      <c r="G104">
        <v>20</v>
      </c>
      <c r="H104">
        <v>60</v>
      </c>
      <c r="I104" t="s">
        <v>3374</v>
      </c>
      <c r="J104" t="s">
        <v>915</v>
      </c>
      <c r="K104" t="s">
        <v>3375</v>
      </c>
      <c r="L104">
        <v>254640</v>
      </c>
      <c r="M104" t="s">
        <v>3376</v>
      </c>
      <c r="N104" t="s">
        <v>2473</v>
      </c>
      <c r="O104" t="s">
        <v>3377</v>
      </c>
      <c r="P104" t="s">
        <v>3378</v>
      </c>
      <c r="Q104" t="s">
        <v>3379</v>
      </c>
      <c r="R104" t="s">
        <v>3380</v>
      </c>
      <c r="S104" t="s">
        <v>3381</v>
      </c>
      <c r="T104">
        <v>7.59945</v>
      </c>
      <c r="U104">
        <v>1.0361</v>
      </c>
      <c r="V104">
        <v>155</v>
      </c>
      <c r="W104">
        <v>32708</v>
      </c>
      <c r="X104">
        <v>8</v>
      </c>
      <c r="Y104" t="b">
        <v>1</v>
      </c>
      <c r="Z104" t="b">
        <v>0</v>
      </c>
      <c r="AA104" t="s">
        <v>179</v>
      </c>
      <c r="AB104">
        <f>COUNTIF(OWNED[bgg_id],library_data[[#This Row],[bgg_id]])</f>
        <v>1</v>
      </c>
    </row>
    <row r="105" spans="1:28" x14ac:dyDescent="0.25">
      <c r="A105">
        <v>104</v>
      </c>
      <c r="B105" t="s">
        <v>86</v>
      </c>
      <c r="C105" t="s">
        <v>3382</v>
      </c>
      <c r="D105">
        <v>2020</v>
      </c>
      <c r="E105">
        <v>2</v>
      </c>
      <c r="F105">
        <v>4</v>
      </c>
      <c r="G105">
        <v>45</v>
      </c>
      <c r="H105">
        <v>60</v>
      </c>
      <c r="I105" t="s">
        <v>3383</v>
      </c>
      <c r="J105" t="s">
        <v>919</v>
      </c>
      <c r="K105" t="s">
        <v>3384</v>
      </c>
      <c r="L105">
        <v>300509</v>
      </c>
      <c r="M105" t="s">
        <v>3385</v>
      </c>
      <c r="N105" t="s">
        <v>2473</v>
      </c>
      <c r="O105" t="s">
        <v>3386</v>
      </c>
      <c r="P105" t="s">
        <v>3387</v>
      </c>
      <c r="Q105" t="s">
        <v>3388</v>
      </c>
      <c r="R105" t="s">
        <v>3389</v>
      </c>
      <c r="S105" t="s">
        <v>2609</v>
      </c>
      <c r="T105">
        <v>7.3728999999999996</v>
      </c>
      <c r="U105">
        <v>1.7142999999999999</v>
      </c>
      <c r="V105">
        <v>10858</v>
      </c>
      <c r="W105">
        <v>107</v>
      </c>
      <c r="X105">
        <v>12</v>
      </c>
      <c r="Y105" t="b">
        <v>0</v>
      </c>
      <c r="Z105" t="b">
        <v>0</v>
      </c>
      <c r="AA105" t="s">
        <v>187</v>
      </c>
      <c r="AB105">
        <f>COUNTIF(OWNED[bgg_id],library_data[[#This Row],[bgg_id]])</f>
        <v>1</v>
      </c>
    </row>
    <row r="106" spans="1:28" x14ac:dyDescent="0.25">
      <c r="A106">
        <v>105</v>
      </c>
      <c r="B106" t="s">
        <v>28</v>
      </c>
      <c r="C106" t="s">
        <v>3390</v>
      </c>
      <c r="D106">
        <v>2016</v>
      </c>
      <c r="E106">
        <v>2</v>
      </c>
      <c r="F106">
        <v>4</v>
      </c>
      <c r="G106">
        <v>15</v>
      </c>
      <c r="H106">
        <v>25</v>
      </c>
      <c r="I106" t="s">
        <v>3391</v>
      </c>
      <c r="J106" t="s">
        <v>923</v>
      </c>
      <c r="K106" t="s">
        <v>3392</v>
      </c>
      <c r="L106">
        <v>204583</v>
      </c>
      <c r="M106" t="s">
        <v>3393</v>
      </c>
      <c r="N106" t="s">
        <v>2471</v>
      </c>
      <c r="O106" t="s">
        <v>3394</v>
      </c>
      <c r="P106" t="s">
        <v>2879</v>
      </c>
      <c r="Q106" t="s">
        <v>3395</v>
      </c>
      <c r="R106" t="s">
        <v>3396</v>
      </c>
      <c r="S106" t="s">
        <v>3397</v>
      </c>
      <c r="T106">
        <v>7.2938200000000002</v>
      </c>
      <c r="U106">
        <v>1.2330000000000001</v>
      </c>
      <c r="V106">
        <v>318</v>
      </c>
      <c r="W106">
        <v>51295</v>
      </c>
      <c r="X106">
        <v>8</v>
      </c>
      <c r="Y106" t="b">
        <v>0</v>
      </c>
      <c r="Z106" t="b">
        <v>0</v>
      </c>
      <c r="AA106" t="s">
        <v>180</v>
      </c>
      <c r="AB106">
        <f>COUNTIF(OWNED[bgg_id],library_data[[#This Row],[bgg_id]])</f>
        <v>1</v>
      </c>
    </row>
    <row r="107" spans="1:28" x14ac:dyDescent="0.25">
      <c r="A107">
        <v>106</v>
      </c>
      <c r="B107" t="s">
        <v>121</v>
      </c>
      <c r="C107" t="s">
        <v>3398</v>
      </c>
      <c r="D107">
        <v>2019</v>
      </c>
      <c r="E107">
        <v>2</v>
      </c>
      <c r="F107">
        <v>2</v>
      </c>
      <c r="G107">
        <v>20</v>
      </c>
      <c r="H107">
        <v>20</v>
      </c>
      <c r="I107" t="s">
        <v>3399</v>
      </c>
      <c r="J107" t="s">
        <v>925</v>
      </c>
      <c r="K107" t="s">
        <v>3400</v>
      </c>
      <c r="L107">
        <v>281960</v>
      </c>
      <c r="M107" t="s">
        <v>3401</v>
      </c>
      <c r="N107" t="s">
        <v>2471</v>
      </c>
      <c r="O107" t="s">
        <v>3402</v>
      </c>
      <c r="P107" t="s">
        <v>3403</v>
      </c>
      <c r="Q107" t="s">
        <v>3404</v>
      </c>
      <c r="R107" t="s">
        <v>3405</v>
      </c>
      <c r="S107" t="s">
        <v>3406</v>
      </c>
      <c r="T107">
        <v>6.6843700000000004</v>
      </c>
      <c r="U107">
        <v>1.5127999999999999</v>
      </c>
      <c r="V107">
        <v>2551</v>
      </c>
      <c r="W107">
        <v>2477</v>
      </c>
      <c r="X107">
        <v>8</v>
      </c>
      <c r="Y107" t="b">
        <v>0</v>
      </c>
      <c r="Z107" t="b">
        <v>0</v>
      </c>
      <c r="AA107" t="s">
        <v>180</v>
      </c>
      <c r="AB107">
        <f>COUNTIF(OWNED[bgg_id],library_data[[#This Row],[bgg_id]])</f>
        <v>1</v>
      </c>
    </row>
    <row r="108" spans="1:28" x14ac:dyDescent="0.25">
      <c r="A108">
        <v>107</v>
      </c>
      <c r="B108" t="s">
        <v>87</v>
      </c>
      <c r="C108" t="s">
        <v>3407</v>
      </c>
      <c r="D108">
        <v>2012</v>
      </c>
      <c r="E108">
        <v>2</v>
      </c>
      <c r="F108">
        <v>4</v>
      </c>
      <c r="G108">
        <v>45</v>
      </c>
      <c r="H108">
        <v>45</v>
      </c>
      <c r="I108" t="s">
        <v>3408</v>
      </c>
      <c r="J108" t="s">
        <v>929</v>
      </c>
      <c r="K108" t="s">
        <v>3409</v>
      </c>
      <c r="L108">
        <v>124992</v>
      </c>
      <c r="M108" t="s">
        <v>3410</v>
      </c>
      <c r="N108" t="s">
        <v>2471</v>
      </c>
      <c r="O108" t="s">
        <v>3411</v>
      </c>
      <c r="P108" t="s">
        <v>2982</v>
      </c>
      <c r="Q108" t="s">
        <v>3412</v>
      </c>
      <c r="R108" t="s">
        <v>3413</v>
      </c>
      <c r="S108" t="s">
        <v>3414</v>
      </c>
      <c r="T108">
        <v>6.5065200000000001</v>
      </c>
      <c r="U108">
        <v>2.3332999999999999</v>
      </c>
      <c r="V108">
        <v>19641</v>
      </c>
      <c r="W108">
        <v>46</v>
      </c>
      <c r="X108">
        <v>8</v>
      </c>
      <c r="Y108" t="b">
        <v>1</v>
      </c>
      <c r="Z108" t="b">
        <v>1</v>
      </c>
      <c r="AA108" t="s">
        <v>310</v>
      </c>
      <c r="AB108">
        <f>COUNTIF(OWNED[bgg_id],library_data[[#This Row],[bgg_id]])</f>
        <v>1</v>
      </c>
    </row>
    <row r="109" spans="1:28" x14ac:dyDescent="0.25">
      <c r="A109">
        <v>108</v>
      </c>
      <c r="B109" t="s">
        <v>158</v>
      </c>
      <c r="C109" t="s">
        <v>3415</v>
      </c>
      <c r="D109">
        <v>2015</v>
      </c>
      <c r="E109">
        <v>2</v>
      </c>
      <c r="F109">
        <v>4</v>
      </c>
      <c r="G109">
        <v>30</v>
      </c>
      <c r="H109">
        <v>30</v>
      </c>
      <c r="I109" t="s">
        <v>3416</v>
      </c>
      <c r="J109" t="s">
        <v>931</v>
      </c>
      <c r="K109" t="s">
        <v>3417</v>
      </c>
      <c r="L109">
        <v>160851</v>
      </c>
      <c r="M109" t="s">
        <v>3418</v>
      </c>
      <c r="N109" t="s">
        <v>2471</v>
      </c>
      <c r="O109" t="s">
        <v>3419</v>
      </c>
      <c r="P109" t="s">
        <v>3420</v>
      </c>
      <c r="Q109" t="s">
        <v>3421</v>
      </c>
      <c r="R109" t="s">
        <v>3422</v>
      </c>
      <c r="S109" t="s">
        <v>3423</v>
      </c>
      <c r="T109">
        <v>6.8606199999999999</v>
      </c>
      <c r="U109">
        <v>1.5435000000000001</v>
      </c>
      <c r="V109">
        <v>1056</v>
      </c>
      <c r="W109">
        <v>11818</v>
      </c>
      <c r="X109">
        <v>8</v>
      </c>
      <c r="Y109" t="b">
        <v>0</v>
      </c>
      <c r="Z109" t="b">
        <v>0</v>
      </c>
      <c r="AA109" t="s">
        <v>180</v>
      </c>
      <c r="AB109">
        <f>COUNTIF(OWNED[bgg_id],library_data[[#This Row],[bgg_id]])</f>
        <v>1</v>
      </c>
    </row>
    <row r="110" spans="1:28" x14ac:dyDescent="0.25">
      <c r="A110">
        <v>109</v>
      </c>
      <c r="B110" t="s">
        <v>88</v>
      </c>
      <c r="C110" t="s">
        <v>2892</v>
      </c>
      <c r="D110">
        <v>2023</v>
      </c>
      <c r="E110">
        <v>2</v>
      </c>
      <c r="F110">
        <v>2</v>
      </c>
      <c r="G110">
        <v>15</v>
      </c>
      <c r="H110">
        <v>30</v>
      </c>
      <c r="I110" t="s">
        <v>3424</v>
      </c>
      <c r="J110" t="s">
        <v>937</v>
      </c>
      <c r="K110" t="s">
        <v>3425</v>
      </c>
      <c r="L110">
        <v>367829</v>
      </c>
      <c r="M110" t="s">
        <v>3426</v>
      </c>
      <c r="N110" t="s">
        <v>2473</v>
      </c>
      <c r="O110" t="s">
        <v>3427</v>
      </c>
      <c r="P110" t="s">
        <v>3428</v>
      </c>
      <c r="Q110" t="s">
        <v>3429</v>
      </c>
      <c r="R110" t="s">
        <v>3430</v>
      </c>
      <c r="S110" t="s">
        <v>3431</v>
      </c>
      <c r="T110">
        <v>7.0382400000000001</v>
      </c>
      <c r="V110">
        <v>20408</v>
      </c>
      <c r="W110">
        <v>34</v>
      </c>
      <c r="X110">
        <v>10</v>
      </c>
      <c r="Y110" t="b">
        <v>1</v>
      </c>
      <c r="Z110" t="b">
        <v>1</v>
      </c>
      <c r="AA110" t="s">
        <v>183</v>
      </c>
      <c r="AB110">
        <f>COUNTIF(OWNED[bgg_id],library_data[[#This Row],[bgg_id]])</f>
        <v>1</v>
      </c>
    </row>
    <row r="111" spans="1:28" x14ac:dyDescent="0.25">
      <c r="A111">
        <v>110</v>
      </c>
      <c r="B111" t="s">
        <v>162</v>
      </c>
      <c r="C111" t="s">
        <v>3432</v>
      </c>
      <c r="D111">
        <v>2017</v>
      </c>
      <c r="E111">
        <v>2</v>
      </c>
      <c r="F111">
        <v>4</v>
      </c>
      <c r="G111">
        <v>30</v>
      </c>
      <c r="H111">
        <v>60</v>
      </c>
      <c r="I111" t="s">
        <v>3433</v>
      </c>
      <c r="J111" t="s">
        <v>939</v>
      </c>
      <c r="K111" t="s">
        <v>3434</v>
      </c>
      <c r="L111">
        <v>241266</v>
      </c>
      <c r="M111" t="s">
        <v>3435</v>
      </c>
      <c r="N111" t="s">
        <v>2471</v>
      </c>
      <c r="O111" t="s">
        <v>3436</v>
      </c>
      <c r="P111" t="s">
        <v>3437</v>
      </c>
      <c r="Q111" t="s">
        <v>3438</v>
      </c>
      <c r="R111" t="s">
        <v>3439</v>
      </c>
      <c r="S111" t="s">
        <v>3440</v>
      </c>
      <c r="T111">
        <v>7.1530699999999996</v>
      </c>
      <c r="U111">
        <v>1.9496</v>
      </c>
      <c r="V111">
        <v>1135</v>
      </c>
      <c r="W111">
        <v>4604</v>
      </c>
      <c r="X111">
        <v>10</v>
      </c>
      <c r="Y111" t="b">
        <v>0</v>
      </c>
      <c r="Z111" t="b">
        <v>0</v>
      </c>
      <c r="AA111" t="s">
        <v>180</v>
      </c>
      <c r="AB111">
        <f>COUNTIF(OWNED[bgg_id],library_data[[#This Row],[bgg_id]])</f>
        <v>1</v>
      </c>
    </row>
    <row r="112" spans="1:28" x14ac:dyDescent="0.25">
      <c r="A112">
        <v>111</v>
      </c>
      <c r="B112" t="s">
        <v>76</v>
      </c>
      <c r="C112" t="s">
        <v>3441</v>
      </c>
      <c r="D112">
        <v>2019</v>
      </c>
      <c r="E112">
        <v>2</v>
      </c>
      <c r="F112">
        <v>6</v>
      </c>
      <c r="G112">
        <v>20</v>
      </c>
      <c r="H112">
        <v>20</v>
      </c>
      <c r="I112" t="s">
        <v>3442</v>
      </c>
      <c r="J112" t="s">
        <v>941</v>
      </c>
      <c r="K112" t="s">
        <v>3443</v>
      </c>
      <c r="L112">
        <v>277085</v>
      </c>
      <c r="M112" t="s">
        <v>3444</v>
      </c>
      <c r="N112" t="s">
        <v>2473</v>
      </c>
      <c r="O112" t="s">
        <v>3445</v>
      </c>
      <c r="P112" t="s">
        <v>3446</v>
      </c>
      <c r="Q112" t="s">
        <v>3447</v>
      </c>
      <c r="R112" t="s">
        <v>3448</v>
      </c>
      <c r="S112" t="s">
        <v>3449</v>
      </c>
      <c r="T112">
        <v>7.5089600000000001</v>
      </c>
      <c r="U112">
        <v>1.1138999999999999</v>
      </c>
      <c r="V112">
        <v>327</v>
      </c>
      <c r="W112">
        <v>13852</v>
      </c>
      <c r="X112">
        <v>10</v>
      </c>
      <c r="Y112" t="b">
        <v>0</v>
      </c>
      <c r="Z112" t="b">
        <v>0</v>
      </c>
      <c r="AA112" t="s">
        <v>186</v>
      </c>
      <c r="AB112">
        <f>COUNTIF(OWNED[bgg_id],library_data[[#This Row],[bgg_id]])</f>
        <v>1</v>
      </c>
    </row>
    <row r="113" spans="1:28" x14ac:dyDescent="0.25">
      <c r="A113">
        <v>112</v>
      </c>
      <c r="B113" t="s">
        <v>69</v>
      </c>
      <c r="C113" t="s">
        <v>3450</v>
      </c>
      <c r="D113">
        <v>2011</v>
      </c>
      <c r="E113">
        <v>1</v>
      </c>
      <c r="F113">
        <v>4</v>
      </c>
      <c r="G113">
        <v>60</v>
      </c>
      <c r="H113">
        <v>240</v>
      </c>
      <c r="I113" t="s">
        <v>3451</v>
      </c>
      <c r="J113" t="s">
        <v>945</v>
      </c>
      <c r="K113" t="s">
        <v>3452</v>
      </c>
      <c r="L113">
        <v>96848</v>
      </c>
      <c r="M113" t="s">
        <v>3453</v>
      </c>
      <c r="N113" t="s">
        <v>2474</v>
      </c>
      <c r="O113" t="s">
        <v>3454</v>
      </c>
      <c r="P113" t="s">
        <v>2723</v>
      </c>
      <c r="Q113" t="s">
        <v>3455</v>
      </c>
      <c r="R113" t="s">
        <v>3456</v>
      </c>
      <c r="S113" t="s">
        <v>3457</v>
      </c>
      <c r="T113">
        <v>8.0790000000000006</v>
      </c>
      <c r="U113">
        <v>4.3733000000000004</v>
      </c>
      <c r="V113">
        <v>40</v>
      </c>
      <c r="W113">
        <v>34591</v>
      </c>
      <c r="X113">
        <v>14</v>
      </c>
      <c r="Y113" t="b">
        <v>1</v>
      </c>
      <c r="Z113" t="b">
        <v>0</v>
      </c>
      <c r="AA113" t="s">
        <v>281</v>
      </c>
      <c r="AB113">
        <f>COUNTIF(OWNED[bgg_id],library_data[[#This Row],[bgg_id]])</f>
        <v>1</v>
      </c>
    </row>
    <row r="114" spans="1:28" x14ac:dyDescent="0.25">
      <c r="A114">
        <v>113</v>
      </c>
      <c r="B114" t="s">
        <v>89</v>
      </c>
      <c r="C114" t="s">
        <v>3458</v>
      </c>
      <c r="D114">
        <v>2014</v>
      </c>
      <c r="E114">
        <v>2</v>
      </c>
      <c r="F114">
        <v>5</v>
      </c>
      <c r="G114">
        <v>45</v>
      </c>
      <c r="H114">
        <v>90</v>
      </c>
      <c r="I114" t="s">
        <v>3459</v>
      </c>
      <c r="J114" t="s">
        <v>947</v>
      </c>
      <c r="K114" t="s">
        <v>3460</v>
      </c>
      <c r="L114">
        <v>152471</v>
      </c>
      <c r="M114" t="s">
        <v>3461</v>
      </c>
      <c r="N114" t="s">
        <v>2474</v>
      </c>
      <c r="O114" t="s">
        <v>3462</v>
      </c>
      <c r="P114" t="s">
        <v>2982</v>
      </c>
      <c r="Q114" t="s">
        <v>3412</v>
      </c>
      <c r="R114" t="s">
        <v>3463</v>
      </c>
      <c r="S114" t="s">
        <v>3464</v>
      </c>
      <c r="T114">
        <v>6.4537199999999997</v>
      </c>
      <c r="U114">
        <v>2.8182</v>
      </c>
      <c r="V114">
        <v>13516</v>
      </c>
      <c r="W114">
        <v>121</v>
      </c>
      <c r="X114">
        <v>13</v>
      </c>
      <c r="Y114" t="b">
        <v>0</v>
      </c>
      <c r="Z114" t="b">
        <v>1</v>
      </c>
      <c r="AA114" t="s">
        <v>187</v>
      </c>
      <c r="AB114">
        <f>COUNTIF(OWNED[bgg_id],library_data[[#This Row],[bgg_id]])</f>
        <v>1</v>
      </c>
    </row>
    <row r="115" spans="1:28" x14ac:dyDescent="0.25">
      <c r="A115">
        <v>114</v>
      </c>
      <c r="B115" t="s">
        <v>626</v>
      </c>
      <c r="C115" t="s">
        <v>3465</v>
      </c>
      <c r="D115">
        <v>2021</v>
      </c>
      <c r="E115">
        <v>1</v>
      </c>
      <c r="F115">
        <v>4</v>
      </c>
      <c r="G115">
        <v>60</v>
      </c>
      <c r="H115">
        <v>90</v>
      </c>
      <c r="I115" t="s">
        <v>3466</v>
      </c>
      <c r="J115" t="s">
        <v>1243</v>
      </c>
      <c r="K115" t="s">
        <v>3467</v>
      </c>
      <c r="L115">
        <v>314491</v>
      </c>
      <c r="M115" t="s">
        <v>3468</v>
      </c>
      <c r="N115" t="s">
        <v>2471</v>
      </c>
      <c r="O115" t="s">
        <v>3469</v>
      </c>
      <c r="P115" t="s">
        <v>3470</v>
      </c>
      <c r="Q115" t="s">
        <v>3471</v>
      </c>
      <c r="R115" t="s">
        <v>3472</v>
      </c>
      <c r="S115" t="s">
        <v>3473</v>
      </c>
      <c r="T115">
        <v>7.7096099999999996</v>
      </c>
      <c r="U115">
        <v>2.2469000000000001</v>
      </c>
      <c r="V115">
        <v>212</v>
      </c>
      <c r="W115">
        <v>12868</v>
      </c>
      <c r="X115">
        <v>10</v>
      </c>
      <c r="Y115" t="b">
        <v>0</v>
      </c>
      <c r="Z115" t="b">
        <v>0</v>
      </c>
      <c r="AA115" t="s">
        <v>310</v>
      </c>
      <c r="AB115">
        <f>COUNTIF(OWNED[bgg_id],library_data[[#This Row],[bgg_id]])</f>
        <v>1</v>
      </c>
    </row>
    <row r="116" spans="1:28" x14ac:dyDescent="0.25">
      <c r="A116">
        <v>115</v>
      </c>
      <c r="B116" t="s">
        <v>211</v>
      </c>
      <c r="C116" t="s">
        <v>3474</v>
      </c>
      <c r="D116">
        <v>2017</v>
      </c>
      <c r="E116">
        <v>2</v>
      </c>
      <c r="F116">
        <v>5</v>
      </c>
      <c r="G116">
        <v>45</v>
      </c>
      <c r="H116">
        <v>45</v>
      </c>
      <c r="I116" t="s">
        <v>3475</v>
      </c>
      <c r="J116" t="s">
        <v>1247</v>
      </c>
      <c r="K116" t="s">
        <v>3476</v>
      </c>
      <c r="L116">
        <v>193214</v>
      </c>
      <c r="M116" t="s">
        <v>3477</v>
      </c>
      <c r="N116" t="s">
        <v>2472</v>
      </c>
      <c r="O116" t="s">
        <v>3478</v>
      </c>
      <c r="P116" t="s">
        <v>3479</v>
      </c>
      <c r="Q116" t="s">
        <v>3480</v>
      </c>
      <c r="R116" t="s">
        <v>3481</v>
      </c>
      <c r="S116" t="s">
        <v>3482</v>
      </c>
      <c r="T116">
        <v>7.0167200000000003</v>
      </c>
      <c r="U116">
        <v>1.4035</v>
      </c>
      <c r="V116">
        <v>1089</v>
      </c>
      <c r="W116">
        <v>6217</v>
      </c>
      <c r="X116">
        <v>8</v>
      </c>
      <c r="Y116" t="b">
        <v>0</v>
      </c>
      <c r="Z116" t="b">
        <v>0</v>
      </c>
      <c r="AA116" t="s">
        <v>180</v>
      </c>
      <c r="AB116">
        <f>COUNTIF(OWNED[bgg_id],library_data[[#This Row],[bgg_id]])</f>
        <v>1</v>
      </c>
    </row>
    <row r="117" spans="1:28" x14ac:dyDescent="0.25">
      <c r="A117">
        <v>116</v>
      </c>
      <c r="B117" t="s">
        <v>70</v>
      </c>
      <c r="C117" t="s">
        <v>3483</v>
      </c>
      <c r="D117">
        <v>2011</v>
      </c>
      <c r="E117">
        <v>2</v>
      </c>
      <c r="F117">
        <v>6</v>
      </c>
      <c r="G117">
        <v>15</v>
      </c>
      <c r="H117">
        <v>15</v>
      </c>
      <c r="I117" t="s">
        <v>3484</v>
      </c>
      <c r="J117" t="s">
        <v>951</v>
      </c>
      <c r="K117" t="s">
        <v>3485</v>
      </c>
      <c r="L117">
        <v>94486</v>
      </c>
      <c r="M117" t="s">
        <v>3486</v>
      </c>
      <c r="N117" t="s">
        <v>2472</v>
      </c>
      <c r="O117" t="s">
        <v>3487</v>
      </c>
      <c r="P117" t="s">
        <v>2609</v>
      </c>
      <c r="Q117" t="s">
        <v>3488</v>
      </c>
      <c r="R117" t="s">
        <v>3489</v>
      </c>
      <c r="S117" t="s">
        <v>3490</v>
      </c>
      <c r="T117">
        <v>5.0822399999999996</v>
      </c>
      <c r="U117">
        <v>1</v>
      </c>
      <c r="V117">
        <v>27790</v>
      </c>
      <c r="W117">
        <v>107</v>
      </c>
      <c r="X117">
        <v>5</v>
      </c>
      <c r="Y117" t="b">
        <v>1</v>
      </c>
      <c r="Z117" t="b">
        <v>0</v>
      </c>
      <c r="AA117" t="s">
        <v>180</v>
      </c>
      <c r="AB117">
        <f>COUNTIF(OWNED[bgg_id],library_data[[#This Row],[bgg_id]])</f>
        <v>1</v>
      </c>
    </row>
    <row r="118" spans="1:28" x14ac:dyDescent="0.25">
      <c r="A118">
        <v>117</v>
      </c>
      <c r="B118" t="s">
        <v>51</v>
      </c>
      <c r="C118" t="s">
        <v>2788</v>
      </c>
      <c r="D118">
        <v>1992</v>
      </c>
      <c r="E118">
        <v>3</v>
      </c>
      <c r="F118">
        <v>5</v>
      </c>
      <c r="G118">
        <v>45</v>
      </c>
      <c r="H118">
        <v>45</v>
      </c>
      <c r="I118" t="s">
        <v>3491</v>
      </c>
      <c r="J118" t="s">
        <v>955</v>
      </c>
      <c r="K118" t="s">
        <v>3492</v>
      </c>
      <c r="L118">
        <v>118</v>
      </c>
      <c r="M118" t="s">
        <v>3493</v>
      </c>
      <c r="N118" t="s">
        <v>2471</v>
      </c>
      <c r="O118" t="s">
        <v>3494</v>
      </c>
      <c r="P118" t="s">
        <v>2732</v>
      </c>
      <c r="Q118" t="s">
        <v>3495</v>
      </c>
      <c r="R118" t="s">
        <v>3496</v>
      </c>
      <c r="S118" t="s">
        <v>3497</v>
      </c>
      <c r="T118">
        <v>7.51884</v>
      </c>
      <c r="U118">
        <v>2.2845</v>
      </c>
      <c r="V118">
        <v>216</v>
      </c>
      <c r="W118">
        <v>24488</v>
      </c>
      <c r="X118">
        <v>10</v>
      </c>
      <c r="Y118" t="b">
        <v>0</v>
      </c>
      <c r="Z118" t="b">
        <v>0</v>
      </c>
      <c r="AA118" t="s">
        <v>187</v>
      </c>
      <c r="AB118">
        <f>COUNTIF(OWNED[bgg_id],library_data[[#This Row],[bgg_id]])</f>
        <v>1</v>
      </c>
    </row>
    <row r="119" spans="1:28" x14ac:dyDescent="0.25">
      <c r="A119">
        <v>118</v>
      </c>
      <c r="B119" t="s">
        <v>62</v>
      </c>
      <c r="C119" t="s">
        <v>3498</v>
      </c>
      <c r="D119">
        <v>2015</v>
      </c>
      <c r="E119">
        <v>3</v>
      </c>
      <c r="F119">
        <v>5</v>
      </c>
      <c r="G119">
        <v>30</v>
      </c>
      <c r="H119">
        <v>30</v>
      </c>
      <c r="I119" t="s">
        <v>3499</v>
      </c>
      <c r="J119" t="s">
        <v>959</v>
      </c>
      <c r="K119" t="s">
        <v>3500</v>
      </c>
      <c r="L119">
        <v>171419</v>
      </c>
      <c r="M119" t="s">
        <v>3501</v>
      </c>
      <c r="N119" t="s">
        <v>2472</v>
      </c>
      <c r="O119" t="s">
        <v>3502</v>
      </c>
      <c r="P119" t="s">
        <v>3503</v>
      </c>
      <c r="Q119" t="s">
        <v>3504</v>
      </c>
      <c r="R119" t="s">
        <v>3505</v>
      </c>
      <c r="S119" t="s">
        <v>3506</v>
      </c>
      <c r="T119">
        <v>6.6036400000000004</v>
      </c>
      <c r="U119">
        <v>1.3077000000000001</v>
      </c>
      <c r="V119">
        <v>8678</v>
      </c>
      <c r="W119">
        <v>246</v>
      </c>
      <c r="X119">
        <v>4</v>
      </c>
      <c r="Y119" t="b">
        <v>0</v>
      </c>
      <c r="Z119" t="b">
        <v>0</v>
      </c>
      <c r="AA119" t="s">
        <v>283</v>
      </c>
      <c r="AB119">
        <f>COUNTIF(OWNED[bgg_id],library_data[[#This Row],[bgg_id]])</f>
        <v>1</v>
      </c>
    </row>
    <row r="120" spans="1:28" x14ac:dyDescent="0.25">
      <c r="A120">
        <v>119</v>
      </c>
      <c r="B120" t="s">
        <v>15</v>
      </c>
      <c r="C120" t="s">
        <v>3507</v>
      </c>
      <c r="D120">
        <v>2019</v>
      </c>
      <c r="E120">
        <v>1</v>
      </c>
      <c r="F120">
        <v>4</v>
      </c>
      <c r="G120">
        <v>20</v>
      </c>
      <c r="H120">
        <v>20</v>
      </c>
      <c r="I120" t="s">
        <v>3508</v>
      </c>
      <c r="J120" t="s">
        <v>961</v>
      </c>
      <c r="K120" t="s">
        <v>3509</v>
      </c>
      <c r="L120">
        <v>267314</v>
      </c>
      <c r="M120" t="s">
        <v>3510</v>
      </c>
      <c r="N120" t="s">
        <v>2472</v>
      </c>
      <c r="O120" t="s">
        <v>3511</v>
      </c>
      <c r="P120" t="s">
        <v>3512</v>
      </c>
      <c r="Q120" t="s">
        <v>3513</v>
      </c>
      <c r="R120" t="s">
        <v>3514</v>
      </c>
      <c r="S120" t="s">
        <v>3515</v>
      </c>
      <c r="T120">
        <v>6.4111000000000002</v>
      </c>
      <c r="U120">
        <v>1.1143000000000001</v>
      </c>
      <c r="V120">
        <v>4798</v>
      </c>
      <c r="W120">
        <v>1220</v>
      </c>
      <c r="X120">
        <v>4</v>
      </c>
      <c r="Y120" t="b">
        <v>1</v>
      </c>
      <c r="Z120" t="b">
        <v>0</v>
      </c>
      <c r="AA120" t="s">
        <v>191</v>
      </c>
      <c r="AB120">
        <f>COUNTIF(OWNED[bgg_id],library_data[[#This Row],[bgg_id]])</f>
        <v>1</v>
      </c>
    </row>
    <row r="121" spans="1:28" x14ac:dyDescent="0.25">
      <c r="A121">
        <v>120</v>
      </c>
      <c r="B121" t="s">
        <v>64</v>
      </c>
      <c r="C121" t="s">
        <v>3516</v>
      </c>
      <c r="D121">
        <v>2016</v>
      </c>
      <c r="E121">
        <v>2</v>
      </c>
      <c r="F121">
        <v>4</v>
      </c>
      <c r="G121">
        <v>15</v>
      </c>
      <c r="H121">
        <v>15</v>
      </c>
      <c r="I121" t="s">
        <v>3517</v>
      </c>
      <c r="J121" t="s">
        <v>963</v>
      </c>
      <c r="K121" t="s">
        <v>3518</v>
      </c>
      <c r="L121">
        <v>191004</v>
      </c>
      <c r="M121" t="s">
        <v>3519</v>
      </c>
      <c r="N121" t="s">
        <v>2472</v>
      </c>
      <c r="O121" t="s">
        <v>3520</v>
      </c>
      <c r="P121" t="s">
        <v>3521</v>
      </c>
      <c r="Q121" t="s">
        <v>3522</v>
      </c>
      <c r="R121" t="s">
        <v>3523</v>
      </c>
      <c r="S121" t="s">
        <v>2908</v>
      </c>
      <c r="T121">
        <v>6.6124900000000002</v>
      </c>
      <c r="U121">
        <v>1.1286</v>
      </c>
      <c r="V121">
        <v>2590</v>
      </c>
      <c r="W121">
        <v>2915</v>
      </c>
      <c r="X121">
        <v>5</v>
      </c>
      <c r="Y121" t="b">
        <v>0</v>
      </c>
      <c r="Z121" t="b">
        <v>0</v>
      </c>
      <c r="AA121" t="s">
        <v>191</v>
      </c>
      <c r="AB121">
        <f>COUNTIF(OWNED[bgg_id],library_data[[#This Row],[bgg_id]])</f>
        <v>1</v>
      </c>
    </row>
    <row r="122" spans="1:28" x14ac:dyDescent="0.25">
      <c r="A122">
        <v>121</v>
      </c>
      <c r="B122" t="s">
        <v>67</v>
      </c>
      <c r="C122" t="s">
        <v>3524</v>
      </c>
      <c r="D122">
        <v>2020</v>
      </c>
      <c r="E122">
        <v>2</v>
      </c>
      <c r="F122">
        <v>6</v>
      </c>
      <c r="G122">
        <v>30</v>
      </c>
      <c r="H122">
        <v>45</v>
      </c>
      <c r="I122" t="s">
        <v>3525</v>
      </c>
      <c r="J122" t="s">
        <v>965</v>
      </c>
      <c r="K122" t="s">
        <v>3526</v>
      </c>
      <c r="L122">
        <v>301767</v>
      </c>
      <c r="M122" t="s">
        <v>3527</v>
      </c>
      <c r="N122" t="s">
        <v>2470</v>
      </c>
      <c r="O122" t="s">
        <v>3528</v>
      </c>
      <c r="P122" t="s">
        <v>3529</v>
      </c>
      <c r="Q122" t="s">
        <v>3530</v>
      </c>
      <c r="R122" t="s">
        <v>3531</v>
      </c>
      <c r="S122" t="s">
        <v>3532</v>
      </c>
      <c r="T122">
        <v>7.0168900000000001</v>
      </c>
      <c r="U122">
        <v>1.4316</v>
      </c>
      <c r="V122">
        <v>1243</v>
      </c>
      <c r="W122">
        <v>5281</v>
      </c>
      <c r="X122">
        <v>10</v>
      </c>
      <c r="Y122" t="b">
        <v>1</v>
      </c>
      <c r="Z122" t="b">
        <v>0</v>
      </c>
      <c r="AA122" t="s">
        <v>189</v>
      </c>
      <c r="AB122">
        <f>COUNTIF(OWNED[bgg_id],library_data[[#This Row],[bgg_id]])</f>
        <v>1</v>
      </c>
    </row>
    <row r="123" spans="1:28" x14ac:dyDescent="0.25">
      <c r="A123">
        <v>122</v>
      </c>
      <c r="B123" t="s">
        <v>288</v>
      </c>
      <c r="C123" t="s">
        <v>3533</v>
      </c>
      <c r="D123">
        <v>2019</v>
      </c>
      <c r="E123">
        <v>1</v>
      </c>
      <c r="F123">
        <v>4</v>
      </c>
      <c r="G123">
        <v>30</v>
      </c>
      <c r="H123">
        <v>30</v>
      </c>
      <c r="I123" t="s">
        <v>3534</v>
      </c>
      <c r="J123" t="s">
        <v>969</v>
      </c>
      <c r="K123" t="s">
        <v>3535</v>
      </c>
      <c r="L123">
        <v>285125</v>
      </c>
      <c r="M123" t="s">
        <v>3536</v>
      </c>
      <c r="N123" t="s">
        <v>2474</v>
      </c>
      <c r="O123" t="s">
        <v>3537</v>
      </c>
      <c r="P123" t="s">
        <v>3538</v>
      </c>
      <c r="Q123" t="s">
        <v>3539</v>
      </c>
      <c r="R123" t="s">
        <v>3540</v>
      </c>
      <c r="S123" t="s">
        <v>3541</v>
      </c>
      <c r="T123">
        <v>6.3881100000000002</v>
      </c>
      <c r="U123">
        <v>1.6</v>
      </c>
      <c r="V123">
        <v>12500</v>
      </c>
      <c r="W123">
        <v>206</v>
      </c>
      <c r="X123">
        <v>14</v>
      </c>
      <c r="Y123" t="b">
        <v>1</v>
      </c>
      <c r="Z123" t="b">
        <v>0</v>
      </c>
      <c r="AA123" t="s">
        <v>183</v>
      </c>
      <c r="AB123">
        <f>COUNTIF(OWNED[bgg_id],library_data[[#This Row],[bgg_id]])</f>
        <v>1</v>
      </c>
    </row>
    <row r="124" spans="1:28" x14ac:dyDescent="0.25">
      <c r="A124">
        <v>123</v>
      </c>
      <c r="B124" t="s">
        <v>71</v>
      </c>
      <c r="C124" t="s">
        <v>3542</v>
      </c>
      <c r="D124">
        <v>2020</v>
      </c>
      <c r="E124">
        <v>1</v>
      </c>
      <c r="F124">
        <v>6</v>
      </c>
      <c r="G124">
        <v>20</v>
      </c>
      <c r="I124" t="s">
        <v>3543</v>
      </c>
      <c r="J124" t="s">
        <v>971</v>
      </c>
      <c r="K124" t="s">
        <v>3544</v>
      </c>
      <c r="L124">
        <v>299574</v>
      </c>
      <c r="M124" t="s">
        <v>3545</v>
      </c>
      <c r="N124" t="s">
        <v>2472</v>
      </c>
      <c r="O124" t="s">
        <v>3546</v>
      </c>
      <c r="P124" t="s">
        <v>3547</v>
      </c>
      <c r="Q124" t="s">
        <v>3548</v>
      </c>
      <c r="R124" t="s">
        <v>3540</v>
      </c>
      <c r="S124" t="s">
        <v>3549</v>
      </c>
      <c r="T124">
        <v>6.5133299999999998</v>
      </c>
      <c r="U124">
        <v>1</v>
      </c>
      <c r="V124">
        <v>21035</v>
      </c>
      <c r="W124">
        <v>45</v>
      </c>
      <c r="X124">
        <v>4</v>
      </c>
      <c r="Y124" t="b">
        <v>1</v>
      </c>
      <c r="Z124" t="b">
        <v>0</v>
      </c>
      <c r="AA124" t="s">
        <v>179</v>
      </c>
      <c r="AB124">
        <f>COUNTIF(OWNED[bgg_id],library_data[[#This Row],[bgg_id]])</f>
        <v>1</v>
      </c>
    </row>
    <row r="125" spans="1:28" x14ac:dyDescent="0.25">
      <c r="A125">
        <v>124</v>
      </c>
      <c r="B125" t="s">
        <v>127</v>
      </c>
      <c r="C125" t="s">
        <v>2892</v>
      </c>
      <c r="D125">
        <v>2004</v>
      </c>
      <c r="E125">
        <v>3</v>
      </c>
      <c r="F125">
        <v>7</v>
      </c>
      <c r="G125">
        <v>20</v>
      </c>
      <c r="H125">
        <v>20</v>
      </c>
      <c r="I125" t="s">
        <v>3550</v>
      </c>
      <c r="J125" t="s">
        <v>973</v>
      </c>
      <c r="K125" t="s">
        <v>3551</v>
      </c>
      <c r="L125">
        <v>12942</v>
      </c>
      <c r="M125" t="s">
        <v>3552</v>
      </c>
      <c r="N125" t="s">
        <v>2473</v>
      </c>
      <c r="O125" t="s">
        <v>3553</v>
      </c>
      <c r="P125" t="s">
        <v>3554</v>
      </c>
      <c r="Q125" t="s">
        <v>3555</v>
      </c>
      <c r="R125" t="s">
        <v>3556</v>
      </c>
      <c r="S125" t="s">
        <v>3557</v>
      </c>
      <c r="T125">
        <v>7.0805100000000003</v>
      </c>
      <c r="U125">
        <v>1.1315</v>
      </c>
      <c r="V125">
        <v>543</v>
      </c>
      <c r="W125">
        <v>29493</v>
      </c>
      <c r="X125">
        <v>8</v>
      </c>
      <c r="Y125" t="b">
        <v>0</v>
      </c>
      <c r="Z125" t="b">
        <v>0</v>
      </c>
      <c r="AA125" t="s">
        <v>180</v>
      </c>
      <c r="AB125">
        <f>COUNTIF(OWNED[bgg_id],library_data[[#This Row],[bgg_id]])</f>
        <v>1</v>
      </c>
    </row>
    <row r="126" spans="1:28" x14ac:dyDescent="0.25">
      <c r="A126">
        <v>125</v>
      </c>
      <c r="B126" t="s">
        <v>210</v>
      </c>
      <c r="C126" t="s">
        <v>3558</v>
      </c>
      <c r="D126">
        <v>2023</v>
      </c>
      <c r="E126">
        <v>2</v>
      </c>
      <c r="F126">
        <v>4</v>
      </c>
      <c r="G126">
        <v>30</v>
      </c>
      <c r="H126">
        <v>45</v>
      </c>
      <c r="I126" t="s">
        <v>3559</v>
      </c>
      <c r="J126" t="s">
        <v>975</v>
      </c>
      <c r="K126" t="s">
        <v>3560</v>
      </c>
      <c r="L126">
        <v>383158</v>
      </c>
      <c r="M126" t="s">
        <v>3561</v>
      </c>
      <c r="N126" t="s">
        <v>2471</v>
      </c>
      <c r="O126" t="s">
        <v>3562</v>
      </c>
      <c r="P126" t="s">
        <v>3563</v>
      </c>
      <c r="Q126" t="s">
        <v>3564</v>
      </c>
      <c r="R126" t="s">
        <v>3565</v>
      </c>
      <c r="S126" t="s">
        <v>3566</v>
      </c>
      <c r="T126">
        <v>7.3036399999999997</v>
      </c>
      <c r="U126">
        <v>1.9564999999999999</v>
      </c>
      <c r="V126">
        <v>3212</v>
      </c>
      <c r="W126">
        <v>834</v>
      </c>
      <c r="X126">
        <v>10</v>
      </c>
      <c r="Y126" t="b">
        <v>0</v>
      </c>
      <c r="Z126" t="b">
        <v>0</v>
      </c>
      <c r="AA126" t="s">
        <v>180</v>
      </c>
      <c r="AB126">
        <f>COUNTIF(OWNED[bgg_id],library_data[[#This Row],[bgg_id]])</f>
        <v>1</v>
      </c>
    </row>
    <row r="127" spans="1:28" x14ac:dyDescent="0.25">
      <c r="A127">
        <v>126</v>
      </c>
      <c r="B127" t="s">
        <v>197</v>
      </c>
      <c r="C127" t="s">
        <v>3567</v>
      </c>
      <c r="D127">
        <v>2014</v>
      </c>
      <c r="E127">
        <v>2</v>
      </c>
      <c r="F127">
        <v>4</v>
      </c>
      <c r="G127">
        <v>20</v>
      </c>
      <c r="H127">
        <v>20</v>
      </c>
      <c r="I127" t="s">
        <v>3568</v>
      </c>
      <c r="J127" t="s">
        <v>979</v>
      </c>
      <c r="K127" t="s">
        <v>3569</v>
      </c>
      <c r="L127">
        <v>172931</v>
      </c>
      <c r="M127" t="s">
        <v>3570</v>
      </c>
      <c r="N127" t="s">
        <v>2472</v>
      </c>
      <c r="O127" t="s">
        <v>3571</v>
      </c>
      <c r="P127" t="s">
        <v>3572</v>
      </c>
      <c r="Q127" t="s">
        <v>3573</v>
      </c>
      <c r="R127" t="s">
        <v>3574</v>
      </c>
      <c r="S127" t="s">
        <v>3575</v>
      </c>
      <c r="T127">
        <v>7.1405799999999999</v>
      </c>
      <c r="U127">
        <v>1.1042000000000001</v>
      </c>
      <c r="V127">
        <v>1082</v>
      </c>
      <c r="W127">
        <v>5236</v>
      </c>
      <c r="X127">
        <v>5</v>
      </c>
      <c r="Y127" t="b">
        <v>1</v>
      </c>
      <c r="Z127" t="b">
        <v>0</v>
      </c>
      <c r="AA127" t="s">
        <v>191</v>
      </c>
      <c r="AB127">
        <f>COUNTIF(OWNED[bgg_id],library_data[[#This Row],[bgg_id]])</f>
        <v>1</v>
      </c>
    </row>
    <row r="128" spans="1:28" x14ac:dyDescent="0.25">
      <c r="A128">
        <v>127</v>
      </c>
      <c r="B128" t="s">
        <v>90</v>
      </c>
      <c r="C128" t="s">
        <v>3576</v>
      </c>
      <c r="D128">
        <v>2024</v>
      </c>
      <c r="E128">
        <v>1</v>
      </c>
      <c r="F128">
        <v>4</v>
      </c>
      <c r="G128">
        <v>40</v>
      </c>
      <c r="H128">
        <v>60</v>
      </c>
      <c r="I128" t="s">
        <v>3577</v>
      </c>
      <c r="J128" t="s">
        <v>981</v>
      </c>
      <c r="K128" t="s">
        <v>3578</v>
      </c>
      <c r="L128">
        <v>326264</v>
      </c>
      <c r="M128" t="s">
        <v>3579</v>
      </c>
      <c r="N128" t="s">
        <v>2471</v>
      </c>
      <c r="O128" t="s">
        <v>3580</v>
      </c>
      <c r="P128" t="s">
        <v>3581</v>
      </c>
      <c r="Q128" t="s">
        <v>3582</v>
      </c>
      <c r="R128" t="s">
        <v>3583</v>
      </c>
      <c r="S128" t="s">
        <v>3584</v>
      </c>
      <c r="T128">
        <v>7.39316</v>
      </c>
      <c r="U128">
        <v>2.2222</v>
      </c>
      <c r="V128">
        <v>7743</v>
      </c>
      <c r="W128">
        <v>179</v>
      </c>
      <c r="X128">
        <v>10</v>
      </c>
      <c r="Y128" t="b">
        <v>0</v>
      </c>
      <c r="Z128" t="b">
        <v>0</v>
      </c>
      <c r="AA128" t="s">
        <v>188</v>
      </c>
      <c r="AB128">
        <f>COUNTIF(OWNED[bgg_id],library_data[[#This Row],[bgg_id]])</f>
        <v>1</v>
      </c>
    </row>
    <row r="129" spans="1:28" x14ac:dyDescent="0.25">
      <c r="A129">
        <v>128</v>
      </c>
      <c r="B129" t="s">
        <v>98</v>
      </c>
      <c r="C129" t="s">
        <v>3585</v>
      </c>
      <c r="D129">
        <v>2008</v>
      </c>
      <c r="E129">
        <v>2</v>
      </c>
      <c r="F129">
        <v>4</v>
      </c>
      <c r="G129">
        <v>45</v>
      </c>
      <c r="H129">
        <v>45</v>
      </c>
      <c r="I129" t="s">
        <v>3586</v>
      </c>
      <c r="J129" t="s">
        <v>985</v>
      </c>
      <c r="K129" t="s">
        <v>3587</v>
      </c>
      <c r="L129">
        <v>30549</v>
      </c>
      <c r="M129" t="s">
        <v>3588</v>
      </c>
      <c r="N129" t="s">
        <v>2470</v>
      </c>
      <c r="O129" t="s">
        <v>3589</v>
      </c>
      <c r="P129" t="s">
        <v>3288</v>
      </c>
      <c r="Q129" t="s">
        <v>3590</v>
      </c>
      <c r="R129" t="s">
        <v>3591</v>
      </c>
      <c r="S129" t="s">
        <v>3592</v>
      </c>
      <c r="T129">
        <v>7.5207199999999998</v>
      </c>
      <c r="U129">
        <v>2.3957000000000002</v>
      </c>
      <c r="V129">
        <v>166</v>
      </c>
      <c r="W129">
        <v>132086</v>
      </c>
      <c r="X129">
        <v>8</v>
      </c>
      <c r="Y129" t="b">
        <v>1</v>
      </c>
      <c r="Z129" t="b">
        <v>0</v>
      </c>
      <c r="AA129" t="s">
        <v>310</v>
      </c>
      <c r="AB129">
        <f>COUNTIF(OWNED[bgg_id],library_data[[#This Row],[bgg_id]])</f>
        <v>1</v>
      </c>
    </row>
    <row r="130" spans="1:28" x14ac:dyDescent="0.25">
      <c r="A130">
        <v>129</v>
      </c>
      <c r="B130" t="s">
        <v>10</v>
      </c>
      <c r="C130" t="s">
        <v>3593</v>
      </c>
      <c r="D130">
        <v>2014</v>
      </c>
      <c r="E130">
        <v>2</v>
      </c>
      <c r="F130">
        <v>2</v>
      </c>
      <c r="G130">
        <v>15</v>
      </c>
      <c r="H130">
        <v>30</v>
      </c>
      <c r="I130" t="s">
        <v>3594</v>
      </c>
      <c r="J130" t="s">
        <v>987</v>
      </c>
      <c r="K130" t="s">
        <v>3595</v>
      </c>
      <c r="L130">
        <v>163412</v>
      </c>
      <c r="M130" t="s">
        <v>3596</v>
      </c>
      <c r="N130" t="s">
        <v>2471</v>
      </c>
      <c r="O130" t="s">
        <v>3597</v>
      </c>
      <c r="P130" t="s">
        <v>2547</v>
      </c>
      <c r="Q130" t="s">
        <v>3598</v>
      </c>
      <c r="R130" t="s">
        <v>3599</v>
      </c>
      <c r="S130" t="s">
        <v>4131</v>
      </c>
      <c r="T130">
        <v>7.58392</v>
      </c>
      <c r="U130">
        <v>1.5995999999999999</v>
      </c>
      <c r="V130">
        <v>140</v>
      </c>
      <c r="W130">
        <v>71641</v>
      </c>
      <c r="X130">
        <v>8</v>
      </c>
      <c r="Y130" t="b">
        <v>0</v>
      </c>
      <c r="Z130" t="b">
        <v>0</v>
      </c>
      <c r="AA130" t="s">
        <v>177</v>
      </c>
      <c r="AB130">
        <f>COUNTIF(OWNED[bgg_id],library_data[[#This Row],[bgg_id]])</f>
        <v>1</v>
      </c>
    </row>
    <row r="131" spans="1:28" x14ac:dyDescent="0.25">
      <c r="A131">
        <v>130</v>
      </c>
      <c r="B131" t="s">
        <v>371</v>
      </c>
      <c r="C131" t="s">
        <v>3147</v>
      </c>
      <c r="D131">
        <v>2019</v>
      </c>
      <c r="E131">
        <v>3</v>
      </c>
      <c r="F131">
        <v>12</v>
      </c>
      <c r="G131">
        <v>15</v>
      </c>
      <c r="H131">
        <v>60</v>
      </c>
      <c r="I131" t="s">
        <v>3600</v>
      </c>
      <c r="J131" t="s">
        <v>1269</v>
      </c>
      <c r="K131" t="s">
        <v>3601</v>
      </c>
      <c r="L131">
        <v>272889</v>
      </c>
      <c r="M131" t="s">
        <v>3602</v>
      </c>
      <c r="N131" t="s">
        <v>2473</v>
      </c>
      <c r="O131" t="s">
        <v>3603</v>
      </c>
      <c r="P131" t="s">
        <v>3604</v>
      </c>
      <c r="Q131" t="s">
        <v>3120</v>
      </c>
      <c r="R131" t="s">
        <v>3605</v>
      </c>
      <c r="S131" t="s">
        <v>2609</v>
      </c>
      <c r="T131">
        <v>5.79467</v>
      </c>
      <c r="U131">
        <v>1</v>
      </c>
      <c r="V131">
        <v>15006</v>
      </c>
      <c r="W131">
        <v>528</v>
      </c>
      <c r="X131">
        <v>10</v>
      </c>
      <c r="Y131" t="b">
        <v>1</v>
      </c>
      <c r="Z131" t="b">
        <v>0</v>
      </c>
      <c r="AA131" t="s">
        <v>179</v>
      </c>
      <c r="AB131">
        <f>COUNTIF(OWNED[bgg_id],library_data[[#This Row],[bgg_id]])</f>
        <v>1</v>
      </c>
    </row>
    <row r="132" spans="1:28" x14ac:dyDescent="0.25">
      <c r="A132">
        <v>131</v>
      </c>
      <c r="B132" t="s">
        <v>196</v>
      </c>
      <c r="C132" t="s">
        <v>3606</v>
      </c>
      <c r="D132">
        <v>2022</v>
      </c>
      <c r="E132">
        <v>2</v>
      </c>
      <c r="F132">
        <v>5</v>
      </c>
      <c r="G132">
        <v>20</v>
      </c>
      <c r="H132">
        <v>30</v>
      </c>
      <c r="I132" t="s">
        <v>3607</v>
      </c>
      <c r="J132" t="s">
        <v>989</v>
      </c>
      <c r="K132" t="s">
        <v>3608</v>
      </c>
      <c r="L132">
        <v>365104</v>
      </c>
      <c r="M132" t="s">
        <v>3609</v>
      </c>
      <c r="N132" t="s">
        <v>2471</v>
      </c>
      <c r="O132" t="s">
        <v>3610</v>
      </c>
      <c r="P132" t="s">
        <v>3611</v>
      </c>
      <c r="Q132" t="s">
        <v>3612</v>
      </c>
      <c r="R132" t="s">
        <v>3613</v>
      </c>
      <c r="S132" t="s">
        <v>3614</v>
      </c>
      <c r="T132">
        <v>7.25746</v>
      </c>
      <c r="U132">
        <v>1.6841999999999999</v>
      </c>
      <c r="V132">
        <v>1411</v>
      </c>
      <c r="W132">
        <v>2953</v>
      </c>
      <c r="X132">
        <v>10</v>
      </c>
      <c r="Y132" t="b">
        <v>0</v>
      </c>
      <c r="Z132" t="b">
        <v>0</v>
      </c>
      <c r="AA132" t="s">
        <v>180</v>
      </c>
      <c r="AB132">
        <f>COUNTIF(OWNED[bgg_id],library_data[[#This Row],[bgg_id]])</f>
        <v>1</v>
      </c>
    </row>
    <row r="133" spans="1:28" x14ac:dyDescent="0.25">
      <c r="A133">
        <v>132</v>
      </c>
      <c r="B133" t="s">
        <v>105</v>
      </c>
      <c r="C133" t="s">
        <v>2892</v>
      </c>
      <c r="D133">
        <v>2019</v>
      </c>
      <c r="E133">
        <v>2</v>
      </c>
      <c r="F133">
        <v>6</v>
      </c>
      <c r="G133">
        <v>15</v>
      </c>
      <c r="H133">
        <v>30</v>
      </c>
      <c r="I133" t="s">
        <v>3615</v>
      </c>
      <c r="J133" t="s">
        <v>991</v>
      </c>
      <c r="K133" t="s">
        <v>3616</v>
      </c>
      <c r="L133">
        <v>274960</v>
      </c>
      <c r="M133" t="s">
        <v>3617</v>
      </c>
      <c r="N133" t="s">
        <v>2473</v>
      </c>
      <c r="O133" t="s">
        <v>3618</v>
      </c>
      <c r="P133" t="s">
        <v>3619</v>
      </c>
      <c r="Q133" t="s">
        <v>3620</v>
      </c>
      <c r="R133" t="s">
        <v>3621</v>
      </c>
      <c r="S133" t="s">
        <v>3622</v>
      </c>
      <c r="T133">
        <v>7.1093500000000001</v>
      </c>
      <c r="U133">
        <v>1.153</v>
      </c>
      <c r="V133">
        <v>574</v>
      </c>
      <c r="W133">
        <v>22077</v>
      </c>
      <c r="X133">
        <v>10</v>
      </c>
      <c r="Y133" t="b">
        <v>0</v>
      </c>
      <c r="Z133" t="b">
        <v>0</v>
      </c>
      <c r="AA133" t="s">
        <v>180</v>
      </c>
      <c r="AB133">
        <f>COUNTIF(OWNED[bgg_id],library_data[[#This Row],[bgg_id]])</f>
        <v>1</v>
      </c>
    </row>
    <row r="134" spans="1:28" x14ac:dyDescent="0.25">
      <c r="A134">
        <v>133</v>
      </c>
      <c r="B134" t="s">
        <v>258</v>
      </c>
      <c r="C134" t="s">
        <v>3415</v>
      </c>
      <c r="D134">
        <v>1993</v>
      </c>
      <c r="E134">
        <v>2</v>
      </c>
      <c r="F134">
        <v>2</v>
      </c>
      <c r="G134">
        <v>10</v>
      </c>
      <c r="H134">
        <v>10</v>
      </c>
      <c r="I134" t="s">
        <v>3623</v>
      </c>
      <c r="J134" t="s">
        <v>995</v>
      </c>
      <c r="K134" t="s">
        <v>3624</v>
      </c>
      <c r="L134">
        <v>1419</v>
      </c>
      <c r="M134" t="s">
        <v>3625</v>
      </c>
      <c r="N134" t="s">
        <v>2474</v>
      </c>
      <c r="O134" t="s">
        <v>3626</v>
      </c>
      <c r="P134" t="s">
        <v>3627</v>
      </c>
      <c r="Q134" t="s">
        <v>3628</v>
      </c>
      <c r="R134" t="s">
        <v>3629</v>
      </c>
      <c r="S134" t="s">
        <v>2836</v>
      </c>
      <c r="T134">
        <v>6.3033200000000003</v>
      </c>
      <c r="U134">
        <v>1.9187000000000001</v>
      </c>
      <c r="V134">
        <v>4036</v>
      </c>
      <c r="W134">
        <v>2246</v>
      </c>
      <c r="X134">
        <v>8</v>
      </c>
      <c r="Y134" t="b">
        <v>0</v>
      </c>
      <c r="Z134" t="b">
        <v>0</v>
      </c>
      <c r="AA134" t="s">
        <v>192</v>
      </c>
      <c r="AB134">
        <f>COUNTIF(OWNED[bgg_id],library_data[[#This Row],[bgg_id]])</f>
        <v>1</v>
      </c>
    </row>
    <row r="135" spans="1:28" x14ac:dyDescent="0.25">
      <c r="A135">
        <v>134</v>
      </c>
      <c r="B135" t="s">
        <v>2</v>
      </c>
      <c r="C135" t="s">
        <v>3630</v>
      </c>
      <c r="D135">
        <v>2018</v>
      </c>
      <c r="E135">
        <v>2</v>
      </c>
      <c r="F135">
        <v>5</v>
      </c>
      <c r="G135">
        <v>60</v>
      </c>
      <c r="H135">
        <v>90</v>
      </c>
      <c r="I135" t="s">
        <v>3631</v>
      </c>
      <c r="J135" t="s">
        <v>997</v>
      </c>
      <c r="K135" t="s">
        <v>3632</v>
      </c>
      <c r="L135">
        <v>254386</v>
      </c>
      <c r="M135" t="s">
        <v>3633</v>
      </c>
      <c r="N135" t="s">
        <v>2471</v>
      </c>
      <c r="O135" t="s">
        <v>3634</v>
      </c>
      <c r="P135" t="s">
        <v>3635</v>
      </c>
      <c r="Q135" t="s">
        <v>3636</v>
      </c>
      <c r="R135" t="s">
        <v>3637</v>
      </c>
      <c r="S135" t="s">
        <v>3638</v>
      </c>
      <c r="T135">
        <v>7.2297000000000002</v>
      </c>
      <c r="U135">
        <v>2.1667000000000001</v>
      </c>
      <c r="V135">
        <v>921</v>
      </c>
      <c r="W135">
        <v>5409</v>
      </c>
      <c r="X135">
        <v>8</v>
      </c>
      <c r="Y135" t="b">
        <v>0</v>
      </c>
      <c r="Z135" t="b">
        <v>0</v>
      </c>
      <c r="AA135" t="s">
        <v>310</v>
      </c>
      <c r="AB135">
        <f>COUNTIF(OWNED[bgg_id],library_data[[#This Row],[bgg_id]])</f>
        <v>1</v>
      </c>
    </row>
    <row r="136" spans="1:28" x14ac:dyDescent="0.25">
      <c r="A136">
        <v>135</v>
      </c>
      <c r="B136" t="s">
        <v>56</v>
      </c>
      <c r="C136" t="s">
        <v>3639</v>
      </c>
      <c r="D136">
        <v>2022</v>
      </c>
      <c r="E136">
        <v>2</v>
      </c>
      <c r="F136">
        <v>9</v>
      </c>
      <c r="G136">
        <v>45</v>
      </c>
      <c r="H136">
        <v>60</v>
      </c>
      <c r="I136" t="s">
        <v>3640</v>
      </c>
      <c r="J136" t="s">
        <v>1003</v>
      </c>
      <c r="K136" t="s">
        <v>3641</v>
      </c>
      <c r="L136">
        <v>351040</v>
      </c>
      <c r="M136" t="s">
        <v>3642</v>
      </c>
      <c r="N136" t="s">
        <v>2473</v>
      </c>
      <c r="O136" t="s">
        <v>3643</v>
      </c>
      <c r="P136" t="s">
        <v>3644</v>
      </c>
      <c r="Q136" t="s">
        <v>3645</v>
      </c>
      <c r="R136" t="s">
        <v>3646</v>
      </c>
      <c r="S136" t="s">
        <v>3647</v>
      </c>
      <c r="T136">
        <v>7.5338700000000003</v>
      </c>
      <c r="U136">
        <v>1.3050999999999999</v>
      </c>
      <c r="V136">
        <v>432</v>
      </c>
      <c r="W136">
        <v>7753</v>
      </c>
      <c r="X136">
        <v>10</v>
      </c>
      <c r="Y136" t="b">
        <v>0</v>
      </c>
      <c r="Z136" t="b">
        <v>0</v>
      </c>
      <c r="AA136" t="s">
        <v>179</v>
      </c>
      <c r="AB136">
        <f>COUNTIF(OWNED[bgg_id],library_data[[#This Row],[bgg_id]])</f>
        <v>1</v>
      </c>
    </row>
    <row r="137" spans="1:28" x14ac:dyDescent="0.25">
      <c r="A137">
        <v>136</v>
      </c>
      <c r="B137" t="s">
        <v>477</v>
      </c>
      <c r="C137" t="s">
        <v>3648</v>
      </c>
      <c r="D137">
        <v>2020</v>
      </c>
      <c r="E137">
        <v>1</v>
      </c>
      <c r="F137">
        <v>4</v>
      </c>
      <c r="G137">
        <v>10</v>
      </c>
      <c r="H137">
        <v>30</v>
      </c>
      <c r="I137" t="s">
        <v>3649</v>
      </c>
      <c r="J137" t="s">
        <v>1103</v>
      </c>
      <c r="K137" t="s">
        <v>3650</v>
      </c>
      <c r="L137">
        <v>307002</v>
      </c>
      <c r="M137" t="s">
        <v>3651</v>
      </c>
      <c r="N137" t="s">
        <v>2470</v>
      </c>
      <c r="O137" t="s">
        <v>3652</v>
      </c>
      <c r="P137" t="s">
        <v>3653</v>
      </c>
      <c r="Q137" t="s">
        <v>3654</v>
      </c>
      <c r="R137" t="s">
        <v>3655</v>
      </c>
      <c r="S137" t="s">
        <v>3656</v>
      </c>
      <c r="T137">
        <v>7.4071100000000003</v>
      </c>
      <c r="U137">
        <v>1.9577</v>
      </c>
      <c r="V137">
        <v>577</v>
      </c>
      <c r="W137">
        <v>7620</v>
      </c>
      <c r="X137">
        <v>10</v>
      </c>
      <c r="Y137" t="b">
        <v>1</v>
      </c>
      <c r="Z137" t="b">
        <v>1</v>
      </c>
      <c r="AA137" t="s">
        <v>310</v>
      </c>
      <c r="AB137">
        <f>COUNTIF(OWNED[bgg_id],library_data[[#This Row],[bgg_id]])</f>
        <v>1</v>
      </c>
    </row>
    <row r="138" spans="1:28" x14ac:dyDescent="0.25">
      <c r="A138">
        <v>137</v>
      </c>
      <c r="B138" t="s">
        <v>41</v>
      </c>
      <c r="C138" t="s">
        <v>3657</v>
      </c>
      <c r="D138">
        <v>2010</v>
      </c>
      <c r="E138">
        <v>2</v>
      </c>
      <c r="F138">
        <v>2</v>
      </c>
      <c r="G138">
        <v>45</v>
      </c>
      <c r="H138">
        <v>60</v>
      </c>
      <c r="I138" t="s">
        <v>3658</v>
      </c>
      <c r="J138" t="s">
        <v>1007</v>
      </c>
      <c r="K138" t="s">
        <v>3659</v>
      </c>
      <c r="L138">
        <v>66056</v>
      </c>
      <c r="M138" t="s">
        <v>3660</v>
      </c>
      <c r="N138" t="s">
        <v>2471</v>
      </c>
      <c r="O138" t="s">
        <v>3661</v>
      </c>
      <c r="P138" t="s">
        <v>2661</v>
      </c>
      <c r="Q138" t="s">
        <v>3662</v>
      </c>
      <c r="R138" t="s">
        <v>3663</v>
      </c>
      <c r="S138" t="s">
        <v>2908</v>
      </c>
      <c r="T138">
        <v>6.9351200000000004</v>
      </c>
      <c r="U138">
        <v>2.3222</v>
      </c>
      <c r="V138">
        <v>1147</v>
      </c>
      <c r="W138">
        <v>8211</v>
      </c>
      <c r="X138">
        <v>10</v>
      </c>
      <c r="Y138" t="b">
        <v>0</v>
      </c>
      <c r="Z138" t="b">
        <v>0</v>
      </c>
      <c r="AA138" t="s">
        <v>187</v>
      </c>
      <c r="AB138">
        <f>COUNTIF(OWNED[bgg_id],library_data[[#This Row],[bgg_id]])</f>
        <v>1</v>
      </c>
    </row>
    <row r="139" spans="1:28" x14ac:dyDescent="0.25">
      <c r="A139">
        <v>138</v>
      </c>
      <c r="B139" t="s">
        <v>13</v>
      </c>
      <c r="C139" t="s">
        <v>3415</v>
      </c>
      <c r="D139">
        <v>2000</v>
      </c>
      <c r="E139">
        <v>2</v>
      </c>
      <c r="F139">
        <v>6</v>
      </c>
      <c r="G139">
        <v>30</v>
      </c>
      <c r="H139">
        <v>30</v>
      </c>
      <c r="I139" t="s">
        <v>3664</v>
      </c>
      <c r="J139" t="s">
        <v>1009</v>
      </c>
      <c r="K139" t="s">
        <v>3665</v>
      </c>
      <c r="L139">
        <v>634</v>
      </c>
      <c r="M139" t="s">
        <v>3666</v>
      </c>
      <c r="N139" t="s">
        <v>2471</v>
      </c>
      <c r="O139" t="s">
        <v>3667</v>
      </c>
      <c r="P139" t="s">
        <v>3668</v>
      </c>
      <c r="Q139" t="s">
        <v>3669</v>
      </c>
      <c r="R139" t="s">
        <v>3670</v>
      </c>
      <c r="S139" t="s">
        <v>3671</v>
      </c>
      <c r="T139">
        <v>6.4922899999999997</v>
      </c>
      <c r="U139">
        <v>1.7156</v>
      </c>
      <c r="V139">
        <v>2607</v>
      </c>
      <c r="W139">
        <v>3744</v>
      </c>
      <c r="X139">
        <v>8</v>
      </c>
      <c r="Y139" t="b">
        <v>0</v>
      </c>
      <c r="Z139" t="b">
        <v>0</v>
      </c>
      <c r="AA139" t="s">
        <v>180</v>
      </c>
      <c r="AB139">
        <f>COUNTIF(OWNED[bgg_id],library_data[[#This Row],[bgg_id]])</f>
        <v>1</v>
      </c>
    </row>
    <row r="140" spans="1:28" x14ac:dyDescent="0.25">
      <c r="A140">
        <v>139</v>
      </c>
      <c r="B140" t="s">
        <v>274</v>
      </c>
      <c r="C140" t="s">
        <v>2866</v>
      </c>
      <c r="D140">
        <v>2023</v>
      </c>
      <c r="E140">
        <v>2</v>
      </c>
      <c r="F140">
        <v>4</v>
      </c>
      <c r="G140">
        <v>15</v>
      </c>
      <c r="H140">
        <v>30</v>
      </c>
      <c r="I140" t="s">
        <v>3672</v>
      </c>
      <c r="J140" t="s">
        <v>1013</v>
      </c>
      <c r="K140" t="s">
        <v>3673</v>
      </c>
      <c r="L140">
        <v>379644</v>
      </c>
      <c r="M140" t="s">
        <v>3674</v>
      </c>
      <c r="N140" t="s">
        <v>2471</v>
      </c>
      <c r="O140" t="s">
        <v>3675</v>
      </c>
      <c r="P140" t="s">
        <v>3676</v>
      </c>
      <c r="Q140" t="s">
        <v>3677</v>
      </c>
      <c r="R140" t="s">
        <v>3678</v>
      </c>
      <c r="S140" t="s">
        <v>3679</v>
      </c>
      <c r="T140">
        <v>4.0523499999999997</v>
      </c>
      <c r="U140">
        <v>1.5</v>
      </c>
      <c r="V140">
        <v>28821</v>
      </c>
      <c r="W140">
        <v>127</v>
      </c>
      <c r="X140">
        <v>8</v>
      </c>
      <c r="Y140" t="b">
        <v>0</v>
      </c>
      <c r="Z140" t="b">
        <v>0</v>
      </c>
      <c r="AA140" t="s">
        <v>182</v>
      </c>
      <c r="AB140">
        <f>COUNTIF(OWNED[bgg_id],library_data[[#This Row],[bgg_id]])</f>
        <v>1</v>
      </c>
    </row>
    <row r="141" spans="1:28" x14ac:dyDescent="0.25">
      <c r="A141">
        <v>140</v>
      </c>
      <c r="B141" t="s">
        <v>53</v>
      </c>
      <c r="C141" t="s">
        <v>3680</v>
      </c>
      <c r="D141">
        <v>1977</v>
      </c>
      <c r="E141">
        <v>2</v>
      </c>
      <c r="F141">
        <v>4</v>
      </c>
      <c r="G141">
        <v>60</v>
      </c>
      <c r="H141">
        <v>60</v>
      </c>
      <c r="I141" t="s">
        <v>3681</v>
      </c>
      <c r="J141" t="s">
        <v>1015</v>
      </c>
      <c r="K141" t="s">
        <v>3682</v>
      </c>
      <c r="L141">
        <v>811</v>
      </c>
      <c r="M141" t="s">
        <v>3683</v>
      </c>
      <c r="N141" t="s">
        <v>2471</v>
      </c>
      <c r="O141" t="s">
        <v>3684</v>
      </c>
      <c r="P141" t="s">
        <v>3685</v>
      </c>
      <c r="Q141" t="s">
        <v>3686</v>
      </c>
      <c r="R141" t="s">
        <v>3687</v>
      </c>
      <c r="S141" t="s">
        <v>3688</v>
      </c>
      <c r="T141">
        <v>6.5078399999999998</v>
      </c>
      <c r="U141">
        <v>1.7113</v>
      </c>
      <c r="V141">
        <v>1751</v>
      </c>
      <c r="W141">
        <v>20795</v>
      </c>
      <c r="X141">
        <v>8</v>
      </c>
      <c r="Y141" t="b">
        <v>0</v>
      </c>
      <c r="Z141" t="b">
        <v>0</v>
      </c>
      <c r="AA141" t="s">
        <v>180</v>
      </c>
      <c r="AB141">
        <f>COUNTIF(OWNED[bgg_id],library_data[[#This Row],[bgg_id]])</f>
        <v>1</v>
      </c>
    </row>
    <row r="142" spans="1:28" x14ac:dyDescent="0.25">
      <c r="A142">
        <v>141</v>
      </c>
      <c r="B142" t="s">
        <v>253</v>
      </c>
      <c r="C142" t="s">
        <v>3689</v>
      </c>
      <c r="D142">
        <v>2004</v>
      </c>
      <c r="E142">
        <v>3</v>
      </c>
      <c r="F142">
        <v>10</v>
      </c>
      <c r="G142">
        <v>30</v>
      </c>
      <c r="H142">
        <v>30</v>
      </c>
      <c r="I142" t="s">
        <v>3690</v>
      </c>
      <c r="J142" t="s">
        <v>1017</v>
      </c>
      <c r="K142" t="s">
        <v>3691</v>
      </c>
      <c r="L142">
        <v>9220</v>
      </c>
      <c r="M142" t="s">
        <v>3692</v>
      </c>
      <c r="N142" t="s">
        <v>2471</v>
      </c>
      <c r="O142" t="s">
        <v>3693</v>
      </c>
      <c r="P142" t="s">
        <v>3694</v>
      </c>
      <c r="Q142" t="s">
        <v>3695</v>
      </c>
      <c r="R142" t="s">
        <v>3696</v>
      </c>
      <c r="S142" t="s">
        <v>3697</v>
      </c>
      <c r="T142">
        <v>6.5408900000000001</v>
      </c>
      <c r="U142">
        <v>1.319</v>
      </c>
      <c r="V142">
        <v>1504</v>
      </c>
      <c r="W142">
        <v>35198</v>
      </c>
      <c r="X142">
        <v>8</v>
      </c>
      <c r="Y142" t="b">
        <v>0</v>
      </c>
      <c r="Z142" t="b">
        <v>0</v>
      </c>
      <c r="AA142" t="s">
        <v>186</v>
      </c>
      <c r="AB142">
        <f>COUNTIF(OWNED[bgg_id],library_data[[#This Row],[bgg_id]])</f>
        <v>1</v>
      </c>
    </row>
    <row r="143" spans="1:28" x14ac:dyDescent="0.25">
      <c r="A143">
        <v>142</v>
      </c>
      <c r="B143" t="s">
        <v>7</v>
      </c>
      <c r="C143" t="s">
        <v>3698</v>
      </c>
      <c r="D143">
        <v>2016</v>
      </c>
      <c r="E143">
        <v>1</v>
      </c>
      <c r="F143">
        <v>5</v>
      </c>
      <c r="G143">
        <v>115</v>
      </c>
      <c r="H143">
        <v>115</v>
      </c>
      <c r="I143" t="s">
        <v>3699</v>
      </c>
      <c r="J143" t="s">
        <v>1019</v>
      </c>
      <c r="K143" t="s">
        <v>3700</v>
      </c>
      <c r="L143">
        <v>169786</v>
      </c>
      <c r="M143" t="s">
        <v>3701</v>
      </c>
      <c r="N143" t="s">
        <v>2474</v>
      </c>
      <c r="O143" t="s">
        <v>3702</v>
      </c>
      <c r="P143" t="s">
        <v>3703</v>
      </c>
      <c r="Q143" t="s">
        <v>3704</v>
      </c>
      <c r="R143" t="s">
        <v>3705</v>
      </c>
      <c r="S143" t="s">
        <v>3706</v>
      </c>
      <c r="T143">
        <v>8.1120000000000001</v>
      </c>
      <c r="U143">
        <v>3.4512</v>
      </c>
      <c r="V143">
        <v>20</v>
      </c>
      <c r="W143">
        <v>90251</v>
      </c>
      <c r="X143">
        <v>14</v>
      </c>
      <c r="Y143" t="b">
        <v>0</v>
      </c>
      <c r="Z143" t="b">
        <v>0</v>
      </c>
      <c r="AA143" t="s">
        <v>187</v>
      </c>
      <c r="AB143">
        <f>COUNTIF(OWNED[bgg_id],library_data[[#This Row],[bgg_id]])</f>
        <v>1</v>
      </c>
    </row>
    <row r="144" spans="1:28" x14ac:dyDescent="0.25">
      <c r="A144">
        <v>143</v>
      </c>
      <c r="B144" t="s">
        <v>108</v>
      </c>
      <c r="C144" t="s">
        <v>2959</v>
      </c>
      <c r="D144">
        <v>2022</v>
      </c>
      <c r="E144">
        <v>2</v>
      </c>
      <c r="F144">
        <v>4</v>
      </c>
      <c r="G144">
        <v>30</v>
      </c>
      <c r="H144">
        <v>45</v>
      </c>
      <c r="I144" t="s">
        <v>3707</v>
      </c>
      <c r="J144" t="s">
        <v>1021</v>
      </c>
      <c r="K144" t="s">
        <v>3708</v>
      </c>
      <c r="L144">
        <v>367220</v>
      </c>
      <c r="M144" t="s">
        <v>3709</v>
      </c>
      <c r="N144" t="s">
        <v>2473</v>
      </c>
      <c r="O144" t="s">
        <v>3710</v>
      </c>
      <c r="P144" t="s">
        <v>3711</v>
      </c>
      <c r="Q144" t="s">
        <v>3712</v>
      </c>
      <c r="R144" t="s">
        <v>3713</v>
      </c>
      <c r="S144" t="s">
        <v>3714</v>
      </c>
      <c r="T144">
        <v>7.5009600000000001</v>
      </c>
      <c r="U144">
        <v>1.4725999999999999</v>
      </c>
      <c r="V144">
        <v>278</v>
      </c>
      <c r="W144">
        <v>18300</v>
      </c>
      <c r="X144">
        <v>8</v>
      </c>
      <c r="Y144" t="b">
        <v>0</v>
      </c>
      <c r="Z144" t="b">
        <v>0</v>
      </c>
      <c r="AA144" t="s">
        <v>180</v>
      </c>
      <c r="AB144">
        <f>COUNTIF(OWNED[bgg_id],library_data[[#This Row],[bgg_id]])</f>
        <v>1</v>
      </c>
    </row>
    <row r="145" spans="1:28" x14ac:dyDescent="0.25">
      <c r="A145">
        <v>144</v>
      </c>
      <c r="B145" t="s">
        <v>29</v>
      </c>
      <c r="C145" t="s">
        <v>3715</v>
      </c>
      <c r="D145">
        <v>1982</v>
      </c>
      <c r="E145">
        <v>2</v>
      </c>
      <c r="F145">
        <v>12</v>
      </c>
      <c r="G145">
        <v>10</v>
      </c>
      <c r="H145">
        <v>30</v>
      </c>
      <c r="I145" t="s">
        <v>3716</v>
      </c>
      <c r="J145" t="s">
        <v>1023</v>
      </c>
      <c r="K145" t="s">
        <v>3717</v>
      </c>
      <c r="L145">
        <v>2375</v>
      </c>
      <c r="M145" t="s">
        <v>3718</v>
      </c>
      <c r="N145" t="s">
        <v>2473</v>
      </c>
      <c r="O145" t="s">
        <v>3719</v>
      </c>
      <c r="P145" t="s">
        <v>3720</v>
      </c>
      <c r="Q145" t="s">
        <v>3721</v>
      </c>
      <c r="R145" t="s">
        <v>3722</v>
      </c>
      <c r="S145" t="s">
        <v>3723</v>
      </c>
      <c r="T145">
        <v>6.16181</v>
      </c>
      <c r="U145">
        <v>1.3176000000000001</v>
      </c>
      <c r="V145">
        <v>3360</v>
      </c>
      <c r="W145">
        <v>11738</v>
      </c>
      <c r="X145">
        <v>7</v>
      </c>
      <c r="Y145" t="b">
        <v>0</v>
      </c>
      <c r="Z145" t="b">
        <v>0</v>
      </c>
      <c r="AA145" t="s">
        <v>180</v>
      </c>
      <c r="AB145">
        <f>COUNTIF(OWNED[bgg_id],library_data[[#This Row],[bgg_id]])</f>
        <v>1</v>
      </c>
    </row>
    <row r="146" spans="1:28" x14ac:dyDescent="0.25">
      <c r="A146">
        <v>145</v>
      </c>
      <c r="B146" t="s">
        <v>264</v>
      </c>
      <c r="C146" t="s">
        <v>3724</v>
      </c>
      <c r="D146">
        <v>2020</v>
      </c>
      <c r="E146">
        <v>3</v>
      </c>
      <c r="F146">
        <v>6</v>
      </c>
      <c r="G146">
        <v>60</v>
      </c>
      <c r="H146">
        <v>60</v>
      </c>
      <c r="I146" t="s">
        <v>3725</v>
      </c>
      <c r="J146" t="s">
        <v>1025</v>
      </c>
      <c r="K146" t="s">
        <v>3726</v>
      </c>
      <c r="L146">
        <v>298638</v>
      </c>
      <c r="M146" t="s">
        <v>3727</v>
      </c>
      <c r="N146" t="s">
        <v>2473</v>
      </c>
      <c r="O146" t="s">
        <v>3728</v>
      </c>
      <c r="P146" t="s">
        <v>3729</v>
      </c>
      <c r="Q146" t="s">
        <v>3730</v>
      </c>
      <c r="R146" t="s">
        <v>3731</v>
      </c>
      <c r="S146" t="s">
        <v>3732</v>
      </c>
      <c r="T146">
        <v>7.22492</v>
      </c>
      <c r="U146">
        <v>1.6882999999999999</v>
      </c>
      <c r="V146">
        <v>1276</v>
      </c>
      <c r="W146">
        <v>3679</v>
      </c>
      <c r="X146">
        <v>14</v>
      </c>
      <c r="Y146" t="b">
        <v>0</v>
      </c>
      <c r="Z146" t="b">
        <v>0</v>
      </c>
      <c r="AA146" t="s">
        <v>186</v>
      </c>
      <c r="AB146">
        <f>COUNTIF(OWNED[bgg_id],library_data[[#This Row],[bgg_id]])</f>
        <v>1</v>
      </c>
    </row>
    <row r="147" spans="1:28" x14ac:dyDescent="0.25">
      <c r="A147">
        <v>146</v>
      </c>
      <c r="B147" t="s">
        <v>120</v>
      </c>
      <c r="C147" t="s">
        <v>3733</v>
      </c>
      <c r="D147">
        <v>2011</v>
      </c>
      <c r="E147">
        <v>3</v>
      </c>
      <c r="F147">
        <v>6</v>
      </c>
      <c r="G147">
        <v>15</v>
      </c>
      <c r="H147">
        <v>45</v>
      </c>
      <c r="I147" t="s">
        <v>3734</v>
      </c>
      <c r="J147" t="s">
        <v>1027</v>
      </c>
      <c r="K147" t="s">
        <v>3735</v>
      </c>
      <c r="L147">
        <v>92415</v>
      </c>
      <c r="M147" t="s">
        <v>3736</v>
      </c>
      <c r="N147" t="s">
        <v>2473</v>
      </c>
      <c r="O147" t="s">
        <v>3737</v>
      </c>
      <c r="P147" t="s">
        <v>3738</v>
      </c>
      <c r="Q147" t="s">
        <v>3739</v>
      </c>
      <c r="R147" t="s">
        <v>3740</v>
      </c>
      <c r="S147" t="s">
        <v>3741</v>
      </c>
      <c r="T147">
        <v>7.1785600000000001</v>
      </c>
      <c r="U147">
        <v>1.1184000000000001</v>
      </c>
      <c r="V147">
        <v>469</v>
      </c>
      <c r="W147">
        <v>27032</v>
      </c>
      <c r="X147">
        <v>10</v>
      </c>
      <c r="Y147" t="b">
        <v>0</v>
      </c>
      <c r="Z147" t="b">
        <v>0</v>
      </c>
      <c r="AA147" t="s">
        <v>179</v>
      </c>
      <c r="AB147">
        <f>COUNTIF(OWNED[bgg_id],library_data[[#This Row],[bgg_id]])</f>
        <v>1</v>
      </c>
    </row>
    <row r="148" spans="1:28" x14ac:dyDescent="0.25">
      <c r="A148">
        <v>147</v>
      </c>
      <c r="B148" t="s">
        <v>75</v>
      </c>
      <c r="C148" t="s">
        <v>3742</v>
      </c>
      <c r="D148">
        <v>2023</v>
      </c>
      <c r="E148">
        <v>2</v>
      </c>
      <c r="F148">
        <v>2</v>
      </c>
      <c r="G148">
        <v>20</v>
      </c>
      <c r="H148">
        <v>20</v>
      </c>
      <c r="I148" t="s">
        <v>3743</v>
      </c>
      <c r="J148" t="s">
        <v>1029</v>
      </c>
      <c r="K148" t="s">
        <v>3744</v>
      </c>
      <c r="L148">
        <v>373106</v>
      </c>
      <c r="M148" t="s">
        <v>3745</v>
      </c>
      <c r="N148" t="s">
        <v>2470</v>
      </c>
      <c r="O148" t="s">
        <v>3746</v>
      </c>
      <c r="P148" t="s">
        <v>3747</v>
      </c>
      <c r="Q148" t="s">
        <v>3748</v>
      </c>
      <c r="R148" t="s">
        <v>3749</v>
      </c>
      <c r="S148" t="s">
        <v>3750</v>
      </c>
      <c r="T148">
        <v>8.1499100000000002</v>
      </c>
      <c r="U148">
        <v>2.0371999999999999</v>
      </c>
      <c r="V148">
        <v>35</v>
      </c>
      <c r="W148">
        <v>24672</v>
      </c>
      <c r="X148">
        <v>10</v>
      </c>
      <c r="Y148" t="b">
        <v>1</v>
      </c>
      <c r="Z148" t="b">
        <v>0</v>
      </c>
      <c r="AA148" t="s">
        <v>309</v>
      </c>
      <c r="AB148">
        <f>COUNTIF(OWNED[bgg_id],library_data[[#This Row],[bgg_id]])</f>
        <v>1</v>
      </c>
    </row>
    <row r="149" spans="1:28" x14ac:dyDescent="0.25">
      <c r="A149">
        <v>148</v>
      </c>
      <c r="B149" t="s">
        <v>78</v>
      </c>
      <c r="C149" t="s">
        <v>3751</v>
      </c>
      <c r="D149">
        <v>2024</v>
      </c>
      <c r="E149">
        <v>1</v>
      </c>
      <c r="F149">
        <v>4</v>
      </c>
      <c r="G149">
        <v>30</v>
      </c>
      <c r="H149">
        <v>150</v>
      </c>
      <c r="I149" t="s">
        <v>3752</v>
      </c>
      <c r="J149" t="s">
        <v>1031</v>
      </c>
      <c r="K149" t="s">
        <v>3753</v>
      </c>
      <c r="L149">
        <v>338960</v>
      </c>
      <c r="M149" t="s">
        <v>3754</v>
      </c>
      <c r="N149" t="s">
        <v>2470</v>
      </c>
      <c r="O149" t="s">
        <v>3755</v>
      </c>
      <c r="P149" t="s">
        <v>3756</v>
      </c>
      <c r="Q149" t="s">
        <v>3757</v>
      </c>
      <c r="R149" t="s">
        <v>3758</v>
      </c>
      <c r="S149" t="s">
        <v>3759</v>
      </c>
      <c r="T149">
        <v>8.6839999999999993</v>
      </c>
      <c r="U149">
        <v>2.9197000000000002</v>
      </c>
      <c r="V149">
        <v>31</v>
      </c>
      <c r="W149">
        <v>8656</v>
      </c>
      <c r="X149">
        <v>12</v>
      </c>
      <c r="Y149" t="b">
        <v>1</v>
      </c>
      <c r="Z149" t="b">
        <v>0</v>
      </c>
      <c r="AA149" t="s">
        <v>187</v>
      </c>
      <c r="AB149">
        <f>COUNTIF(OWNED[bgg_id],library_data[[#This Row],[bgg_id]])</f>
        <v>1</v>
      </c>
    </row>
    <row r="150" spans="1:28" x14ac:dyDescent="0.25">
      <c r="A150">
        <v>149</v>
      </c>
      <c r="B150" t="s">
        <v>286</v>
      </c>
      <c r="C150" t="s">
        <v>3760</v>
      </c>
      <c r="D150">
        <v>2009</v>
      </c>
      <c r="E150">
        <v>2</v>
      </c>
      <c r="F150">
        <v>8</v>
      </c>
      <c r="G150">
        <v>15</v>
      </c>
      <c r="H150">
        <v>15</v>
      </c>
      <c r="I150" t="s">
        <v>3761</v>
      </c>
      <c r="J150" t="s">
        <v>1035</v>
      </c>
      <c r="K150" t="s">
        <v>3762</v>
      </c>
      <c r="L150">
        <v>63268</v>
      </c>
      <c r="M150" t="s">
        <v>3763</v>
      </c>
      <c r="N150" t="s">
        <v>2472</v>
      </c>
      <c r="O150" t="s">
        <v>3764</v>
      </c>
      <c r="P150" t="s">
        <v>3765</v>
      </c>
      <c r="Q150" t="s">
        <v>3766</v>
      </c>
      <c r="R150" t="s">
        <v>3767</v>
      </c>
      <c r="S150" t="s">
        <v>3768</v>
      </c>
      <c r="T150">
        <v>6.5363199999999999</v>
      </c>
      <c r="U150">
        <v>1.0387999999999999</v>
      </c>
      <c r="V150">
        <v>1616</v>
      </c>
      <c r="W150">
        <v>21071</v>
      </c>
      <c r="X150">
        <v>6</v>
      </c>
      <c r="Y150" t="b">
        <v>0</v>
      </c>
      <c r="Z150" t="b">
        <v>0</v>
      </c>
      <c r="AA150" t="s">
        <v>179</v>
      </c>
      <c r="AB150">
        <f>COUNTIF(OWNED[bgg_id],library_data[[#This Row],[bgg_id]])</f>
        <v>1</v>
      </c>
    </row>
    <row r="151" spans="1:28" x14ac:dyDescent="0.25">
      <c r="A151">
        <v>150</v>
      </c>
      <c r="B151" t="s">
        <v>26</v>
      </c>
      <c r="C151" t="s">
        <v>3073</v>
      </c>
      <c r="D151">
        <v>2016</v>
      </c>
      <c r="E151">
        <v>2</v>
      </c>
      <c r="F151">
        <v>8</v>
      </c>
      <c r="G151">
        <v>20</v>
      </c>
      <c r="H151">
        <v>20</v>
      </c>
      <c r="I151" t="s">
        <v>3769</v>
      </c>
      <c r="J151" t="s">
        <v>1037</v>
      </c>
      <c r="K151" t="s">
        <v>3770</v>
      </c>
      <c r="L151">
        <v>192291</v>
      </c>
      <c r="M151" t="s">
        <v>3771</v>
      </c>
      <c r="N151" t="s">
        <v>2473</v>
      </c>
      <c r="O151" t="s">
        <v>3772</v>
      </c>
      <c r="P151" t="s">
        <v>3611</v>
      </c>
      <c r="Q151" t="s">
        <v>3773</v>
      </c>
      <c r="R151" t="s">
        <v>3774</v>
      </c>
      <c r="S151" t="s">
        <v>3775</v>
      </c>
      <c r="T151">
        <v>7.3777299999999997</v>
      </c>
      <c r="U151">
        <v>1.3184</v>
      </c>
      <c r="V151">
        <v>275</v>
      </c>
      <c r="W151">
        <v>38597</v>
      </c>
      <c r="X151">
        <v>8</v>
      </c>
      <c r="Y151" t="b">
        <v>0</v>
      </c>
      <c r="Z151" t="b">
        <v>0</v>
      </c>
      <c r="AA151" t="s">
        <v>180</v>
      </c>
      <c r="AB151">
        <f>COUNTIF(OWNED[bgg_id],library_data[[#This Row],[bgg_id]])</f>
        <v>1</v>
      </c>
    </row>
    <row r="152" spans="1:28" x14ac:dyDescent="0.25">
      <c r="A152">
        <v>151</v>
      </c>
      <c r="B152" t="s">
        <v>311</v>
      </c>
      <c r="C152" t="s">
        <v>3776</v>
      </c>
      <c r="D152">
        <v>2020</v>
      </c>
      <c r="E152">
        <v>4</v>
      </c>
      <c r="F152">
        <v>12</v>
      </c>
      <c r="G152">
        <v>20</v>
      </c>
      <c r="H152">
        <v>20</v>
      </c>
      <c r="I152" t="s">
        <v>3777</v>
      </c>
      <c r="J152" t="s">
        <v>1039</v>
      </c>
      <c r="K152" t="s">
        <v>3778</v>
      </c>
      <c r="L152">
        <v>302463</v>
      </c>
      <c r="M152" t="s">
        <v>3779</v>
      </c>
      <c r="N152" t="s">
        <v>2473</v>
      </c>
      <c r="O152" t="s">
        <v>3780</v>
      </c>
      <c r="P152" t="s">
        <v>3563</v>
      </c>
      <c r="Q152" t="s">
        <v>3781</v>
      </c>
      <c r="R152" t="s">
        <v>3782</v>
      </c>
      <c r="S152" t="s">
        <v>2609</v>
      </c>
      <c r="T152">
        <v>6.0354400000000004</v>
      </c>
      <c r="U152">
        <v>1</v>
      </c>
      <c r="V152">
        <v>19735</v>
      </c>
      <c r="W152">
        <v>103</v>
      </c>
      <c r="X152">
        <v>12</v>
      </c>
      <c r="Y152" t="b">
        <v>0</v>
      </c>
      <c r="Z152" t="b">
        <v>0</v>
      </c>
      <c r="AA152" t="s">
        <v>179</v>
      </c>
      <c r="AB152">
        <f>COUNTIF(OWNED[bgg_id],library_data[[#This Row],[bgg_id]])</f>
        <v>1</v>
      </c>
    </row>
    <row r="153" spans="1:28" x14ac:dyDescent="0.25">
      <c r="A153">
        <v>152</v>
      </c>
      <c r="B153" t="s">
        <v>38</v>
      </c>
      <c r="C153" t="s">
        <v>3783</v>
      </c>
      <c r="D153">
        <v>2018</v>
      </c>
      <c r="E153">
        <v>1</v>
      </c>
      <c r="F153">
        <v>4</v>
      </c>
      <c r="G153">
        <v>30</v>
      </c>
      <c r="H153">
        <v>30</v>
      </c>
      <c r="I153" t="s">
        <v>3784</v>
      </c>
      <c r="J153" t="s">
        <v>1041</v>
      </c>
      <c r="K153" t="s">
        <v>3785</v>
      </c>
      <c r="L153">
        <v>244522</v>
      </c>
      <c r="M153" t="s">
        <v>3786</v>
      </c>
      <c r="N153" t="s">
        <v>2473</v>
      </c>
      <c r="O153" t="s">
        <v>3787</v>
      </c>
      <c r="P153" t="s">
        <v>3788</v>
      </c>
      <c r="Q153" t="s">
        <v>3789</v>
      </c>
      <c r="R153" t="s">
        <v>3790</v>
      </c>
      <c r="S153" t="s">
        <v>3791</v>
      </c>
      <c r="T153">
        <v>7.5579000000000001</v>
      </c>
      <c r="U153">
        <v>1.8581000000000001</v>
      </c>
      <c r="V153">
        <v>196</v>
      </c>
      <c r="W153">
        <v>26800</v>
      </c>
      <c r="X153">
        <v>8</v>
      </c>
      <c r="Y153" t="b">
        <v>0</v>
      </c>
      <c r="Z153" t="b">
        <v>0</v>
      </c>
      <c r="AA153" t="s">
        <v>180</v>
      </c>
      <c r="AB153">
        <f>COUNTIF(OWNED[bgg_id],library_data[[#This Row],[bgg_id]])</f>
        <v>1</v>
      </c>
    </row>
    <row r="154" spans="1:28" x14ac:dyDescent="0.25">
      <c r="A154">
        <v>153</v>
      </c>
      <c r="B154" t="s">
        <v>33</v>
      </c>
      <c r="C154" t="s">
        <v>3792</v>
      </c>
      <c r="D154">
        <v>2024</v>
      </c>
      <c r="E154">
        <v>1</v>
      </c>
      <c r="F154">
        <v>4</v>
      </c>
      <c r="G154">
        <v>5</v>
      </c>
      <c r="H154">
        <v>1000</v>
      </c>
      <c r="I154" t="s">
        <v>3793</v>
      </c>
      <c r="J154" t="s">
        <v>1043</v>
      </c>
      <c r="K154" t="s">
        <v>3794</v>
      </c>
      <c r="L154">
        <v>286063</v>
      </c>
      <c r="M154" t="s">
        <v>3795</v>
      </c>
      <c r="N154" t="s">
        <v>2470</v>
      </c>
      <c r="O154" t="s">
        <v>3796</v>
      </c>
      <c r="P154" t="s">
        <v>3378</v>
      </c>
      <c r="Q154" t="s">
        <v>3797</v>
      </c>
      <c r="R154" t="s">
        <v>3798</v>
      </c>
      <c r="S154" t="s">
        <v>3799</v>
      </c>
      <c r="T154">
        <v>8.4242899999999992</v>
      </c>
      <c r="U154">
        <v>2.9756</v>
      </c>
      <c r="V154">
        <v>749</v>
      </c>
      <c r="W154">
        <v>2180</v>
      </c>
      <c r="X154">
        <v>14</v>
      </c>
      <c r="Y154" t="b">
        <v>1</v>
      </c>
      <c r="Z154" t="b">
        <v>0</v>
      </c>
      <c r="AA154" t="s">
        <v>193</v>
      </c>
      <c r="AB154">
        <f>COUNTIF(OWNED[bgg_id],library_data[[#This Row],[bgg_id]])</f>
        <v>1</v>
      </c>
    </row>
    <row r="155" spans="1:28" x14ac:dyDescent="0.25">
      <c r="A155">
        <v>154</v>
      </c>
      <c r="B155" t="s">
        <v>32</v>
      </c>
      <c r="C155" t="s">
        <v>3800</v>
      </c>
      <c r="D155">
        <v>2017</v>
      </c>
      <c r="E155">
        <v>1</v>
      </c>
      <c r="F155">
        <v>4</v>
      </c>
      <c r="G155">
        <v>5</v>
      </c>
      <c r="H155">
        <v>1000</v>
      </c>
      <c r="I155" t="s">
        <v>3801</v>
      </c>
      <c r="J155" t="s">
        <v>1045</v>
      </c>
      <c r="K155" t="s">
        <v>3802</v>
      </c>
      <c r="L155">
        <v>180263</v>
      </c>
      <c r="M155" t="s">
        <v>3803</v>
      </c>
      <c r="N155" t="s">
        <v>2470</v>
      </c>
      <c r="O155" t="s">
        <v>3804</v>
      </c>
      <c r="P155" t="s">
        <v>3378</v>
      </c>
      <c r="Q155" t="s">
        <v>3797</v>
      </c>
      <c r="R155" t="s">
        <v>3805</v>
      </c>
      <c r="S155" t="s">
        <v>3799</v>
      </c>
      <c r="T155">
        <v>7.7496600000000004</v>
      </c>
      <c r="U155">
        <v>2.9005000000000001</v>
      </c>
      <c r="V155">
        <v>153</v>
      </c>
      <c r="W155">
        <v>22955</v>
      </c>
      <c r="X155">
        <v>14</v>
      </c>
      <c r="Y155" t="b">
        <v>1</v>
      </c>
      <c r="Z155" t="b">
        <v>0</v>
      </c>
      <c r="AA155" t="s">
        <v>193</v>
      </c>
      <c r="AB155">
        <f>COUNTIF(OWNED[bgg_id],library_data[[#This Row],[bgg_id]])</f>
        <v>1</v>
      </c>
    </row>
    <row r="156" spans="1:28" x14ac:dyDescent="0.25">
      <c r="A156">
        <v>155</v>
      </c>
      <c r="B156" t="s">
        <v>743</v>
      </c>
      <c r="C156" t="s">
        <v>3806</v>
      </c>
      <c r="D156">
        <v>2024</v>
      </c>
      <c r="E156">
        <v>1</v>
      </c>
      <c r="F156">
        <v>4</v>
      </c>
      <c r="G156">
        <v>20</v>
      </c>
      <c r="H156">
        <v>20</v>
      </c>
      <c r="I156" t="s">
        <v>3807</v>
      </c>
      <c r="J156" t="s">
        <v>1107</v>
      </c>
      <c r="K156" t="s">
        <v>3808</v>
      </c>
      <c r="L156">
        <v>429293</v>
      </c>
      <c r="M156" t="s">
        <v>3809</v>
      </c>
      <c r="N156" t="s">
        <v>2470</v>
      </c>
      <c r="O156" t="s">
        <v>3810</v>
      </c>
      <c r="P156" t="s">
        <v>3811</v>
      </c>
      <c r="Q156" t="s">
        <v>3812</v>
      </c>
      <c r="R156" t="s">
        <v>3813</v>
      </c>
      <c r="S156" t="s">
        <v>3814</v>
      </c>
      <c r="T156">
        <v>7.9648500000000002</v>
      </c>
      <c r="U156">
        <v>1.9515</v>
      </c>
      <c r="V156">
        <v>282</v>
      </c>
      <c r="W156">
        <v>5516</v>
      </c>
      <c r="X156">
        <v>10</v>
      </c>
      <c r="Y156" t="b">
        <v>1</v>
      </c>
      <c r="Z156" t="b">
        <v>0</v>
      </c>
      <c r="AA156" t="s">
        <v>180</v>
      </c>
      <c r="AB156">
        <f>COUNTIF(OWNED[bgg_id],library_data[[#This Row],[bgg_id]])</f>
        <v>1</v>
      </c>
    </row>
    <row r="157" spans="1:28" x14ac:dyDescent="0.25">
      <c r="A157">
        <v>156</v>
      </c>
      <c r="B157" t="s">
        <v>257</v>
      </c>
      <c r="C157" t="s">
        <v>3064</v>
      </c>
      <c r="D157">
        <v>2020</v>
      </c>
      <c r="E157">
        <v>2</v>
      </c>
      <c r="F157">
        <v>2</v>
      </c>
      <c r="G157">
        <v>30</v>
      </c>
      <c r="H157">
        <v>30</v>
      </c>
      <c r="I157" t="s">
        <v>3815</v>
      </c>
      <c r="J157" t="s">
        <v>1051</v>
      </c>
      <c r="K157" t="s">
        <v>3816</v>
      </c>
      <c r="L157">
        <v>288169</v>
      </c>
      <c r="M157" t="s">
        <v>3817</v>
      </c>
      <c r="N157" t="s">
        <v>2470</v>
      </c>
      <c r="O157" t="s">
        <v>3818</v>
      </c>
      <c r="P157" t="s">
        <v>2609</v>
      </c>
      <c r="Q157" t="s">
        <v>3819</v>
      </c>
      <c r="R157" t="s">
        <v>3820</v>
      </c>
      <c r="S157" t="s">
        <v>3821</v>
      </c>
      <c r="T157">
        <v>6.9772400000000001</v>
      </c>
      <c r="U157">
        <v>1.7585999999999999</v>
      </c>
      <c r="V157">
        <v>1440</v>
      </c>
      <c r="W157">
        <v>4131</v>
      </c>
      <c r="X157">
        <v>10</v>
      </c>
      <c r="Y157" t="b">
        <v>1</v>
      </c>
      <c r="Z157" t="b">
        <v>0</v>
      </c>
      <c r="AA157" t="s">
        <v>180</v>
      </c>
      <c r="AB157">
        <f>COUNTIF(OWNED[bgg_id],library_data[[#This Row],[bgg_id]])</f>
        <v>1</v>
      </c>
    </row>
    <row r="158" spans="1:28" x14ac:dyDescent="0.25">
      <c r="A158">
        <v>157</v>
      </c>
      <c r="B158" t="s">
        <v>72</v>
      </c>
      <c r="C158" t="s">
        <v>3822</v>
      </c>
      <c r="D158">
        <v>2013</v>
      </c>
      <c r="E158">
        <v>2</v>
      </c>
      <c r="F158">
        <v>4</v>
      </c>
      <c r="G158">
        <v>60</v>
      </c>
      <c r="H158">
        <v>60</v>
      </c>
      <c r="I158" t="s">
        <v>3823</v>
      </c>
      <c r="J158" t="s">
        <v>1053</v>
      </c>
      <c r="K158" t="s">
        <v>3824</v>
      </c>
      <c r="L158">
        <v>172307</v>
      </c>
      <c r="M158" t="s">
        <v>3825</v>
      </c>
      <c r="N158" t="s">
        <v>2472</v>
      </c>
      <c r="O158" t="s">
        <v>3826</v>
      </c>
      <c r="P158" t="s">
        <v>2609</v>
      </c>
      <c r="Q158" t="s">
        <v>3827</v>
      </c>
      <c r="R158" t="s">
        <v>3828</v>
      </c>
      <c r="S158" t="s">
        <v>2609</v>
      </c>
      <c r="T158">
        <v>4.9655399999999998</v>
      </c>
      <c r="U158">
        <v>1.1818</v>
      </c>
      <c r="V158">
        <v>29017</v>
      </c>
      <c r="W158">
        <v>709</v>
      </c>
      <c r="X158">
        <v>8</v>
      </c>
      <c r="Y158" t="b">
        <v>0</v>
      </c>
      <c r="Z158" t="b">
        <v>0</v>
      </c>
      <c r="AA158" t="s">
        <v>180</v>
      </c>
      <c r="AB158">
        <f>COUNTIF(OWNED[bgg_id],library_data[[#This Row],[bgg_id]])</f>
        <v>1</v>
      </c>
    </row>
    <row r="159" spans="1:28" x14ac:dyDescent="0.25">
      <c r="A159">
        <v>158</v>
      </c>
      <c r="B159" t="s">
        <v>289</v>
      </c>
      <c r="C159" t="s">
        <v>3829</v>
      </c>
      <c r="D159">
        <v>2020</v>
      </c>
      <c r="E159">
        <v>2</v>
      </c>
      <c r="F159">
        <v>4</v>
      </c>
      <c r="G159">
        <v>40</v>
      </c>
      <c r="H159">
        <v>60</v>
      </c>
      <c r="I159" t="s">
        <v>3830</v>
      </c>
      <c r="J159" t="s">
        <v>1057</v>
      </c>
      <c r="K159" t="s">
        <v>3831</v>
      </c>
      <c r="L159">
        <v>287174</v>
      </c>
      <c r="M159" t="s">
        <v>3832</v>
      </c>
      <c r="N159" t="s">
        <v>2470</v>
      </c>
      <c r="O159" t="s">
        <v>3833</v>
      </c>
      <c r="P159" t="s">
        <v>3834</v>
      </c>
      <c r="Q159" t="s">
        <v>3835</v>
      </c>
      <c r="R159" t="s">
        <v>3836</v>
      </c>
      <c r="S159" t="s">
        <v>3837</v>
      </c>
      <c r="T159">
        <v>6.9297700000000004</v>
      </c>
      <c r="U159">
        <v>2.2000000000000002</v>
      </c>
      <c r="V159">
        <v>10660</v>
      </c>
      <c r="W159">
        <v>131</v>
      </c>
      <c r="X159">
        <v>10</v>
      </c>
      <c r="Y159" t="b">
        <v>0</v>
      </c>
      <c r="Z159" t="b">
        <v>1</v>
      </c>
      <c r="AA159" t="s">
        <v>290</v>
      </c>
      <c r="AB159">
        <f>COUNTIF(OWNED[bgg_id],library_data[[#This Row],[bgg_id]])</f>
        <v>1</v>
      </c>
    </row>
    <row r="160" spans="1:28" x14ac:dyDescent="0.25">
      <c r="A160">
        <v>159</v>
      </c>
      <c r="B160" t="s">
        <v>128</v>
      </c>
      <c r="C160" t="s">
        <v>3838</v>
      </c>
      <c r="D160">
        <v>2018</v>
      </c>
      <c r="E160">
        <v>2</v>
      </c>
      <c r="F160">
        <v>4</v>
      </c>
      <c r="G160">
        <v>20</v>
      </c>
      <c r="H160">
        <v>20</v>
      </c>
      <c r="I160" t="s">
        <v>3839</v>
      </c>
      <c r="J160" t="s">
        <v>1059</v>
      </c>
      <c r="K160" t="s">
        <v>3840</v>
      </c>
      <c r="L160">
        <v>244992</v>
      </c>
      <c r="M160" t="s">
        <v>3841</v>
      </c>
      <c r="N160" t="s">
        <v>2473</v>
      </c>
      <c r="O160" t="s">
        <v>3842</v>
      </c>
      <c r="P160" t="s">
        <v>3788</v>
      </c>
      <c r="Q160" t="s">
        <v>3843</v>
      </c>
      <c r="R160" t="s">
        <v>3844</v>
      </c>
      <c r="S160" t="s">
        <v>3845</v>
      </c>
      <c r="T160">
        <v>6.7320000000000002</v>
      </c>
      <c r="U160">
        <v>1.0758000000000001</v>
      </c>
      <c r="V160">
        <v>1053</v>
      </c>
      <c r="W160">
        <v>35479</v>
      </c>
      <c r="X160">
        <v>8</v>
      </c>
      <c r="Y160" t="b">
        <v>1</v>
      </c>
      <c r="Z160" t="b">
        <v>0</v>
      </c>
      <c r="AA160" t="s">
        <v>186</v>
      </c>
      <c r="AB160">
        <f>COUNTIF(OWNED[bgg_id],library_data[[#This Row],[bgg_id]])</f>
        <v>1</v>
      </c>
    </row>
    <row r="161" spans="1:28" x14ac:dyDescent="0.25">
      <c r="A161">
        <v>160</v>
      </c>
      <c r="B161" t="s">
        <v>68</v>
      </c>
      <c r="C161" t="s">
        <v>3415</v>
      </c>
      <c r="D161">
        <v>0</v>
      </c>
      <c r="E161">
        <v>2</v>
      </c>
      <c r="F161">
        <v>4</v>
      </c>
      <c r="G161">
        <v>30</v>
      </c>
      <c r="H161">
        <v>60</v>
      </c>
      <c r="I161" t="s">
        <v>3846</v>
      </c>
      <c r="J161" t="s">
        <v>1063</v>
      </c>
      <c r="K161" t="s">
        <v>3847</v>
      </c>
      <c r="L161">
        <v>423789</v>
      </c>
      <c r="M161" t="s">
        <v>3848</v>
      </c>
      <c r="N161" t="s">
        <v>2473</v>
      </c>
      <c r="O161" t="s">
        <v>3849</v>
      </c>
      <c r="P161" t="s">
        <v>2609</v>
      </c>
      <c r="Q161" t="s">
        <v>3850</v>
      </c>
      <c r="R161" t="s">
        <v>3851</v>
      </c>
      <c r="S161" t="s">
        <v>2609</v>
      </c>
      <c r="T161">
        <v>8</v>
      </c>
      <c r="W161">
        <v>3</v>
      </c>
      <c r="X161">
        <v>0</v>
      </c>
      <c r="Y161" t="b">
        <v>0</v>
      </c>
      <c r="Z161" t="b">
        <v>1</v>
      </c>
      <c r="AA161" t="s">
        <v>192</v>
      </c>
      <c r="AB161">
        <f>COUNTIF(OWNED[bgg_id],library_data[[#This Row],[bgg_id]])</f>
        <v>1</v>
      </c>
    </row>
    <row r="162" spans="1:28" x14ac:dyDescent="0.25">
      <c r="A162">
        <v>161</v>
      </c>
      <c r="B162" t="s">
        <v>9</v>
      </c>
      <c r="C162" t="s">
        <v>3852</v>
      </c>
      <c r="D162">
        <v>1998</v>
      </c>
      <c r="E162">
        <v>2</v>
      </c>
      <c r="F162">
        <v>5</v>
      </c>
      <c r="G162">
        <v>45</v>
      </c>
      <c r="H162">
        <v>45</v>
      </c>
      <c r="I162" t="s">
        <v>3853</v>
      </c>
      <c r="J162" t="s">
        <v>1065</v>
      </c>
      <c r="K162" t="s">
        <v>3854</v>
      </c>
      <c r="L162">
        <v>503</v>
      </c>
      <c r="M162" t="s">
        <v>3855</v>
      </c>
      <c r="N162" t="s">
        <v>2471</v>
      </c>
      <c r="O162" t="s">
        <v>3856</v>
      </c>
      <c r="P162" t="s">
        <v>2732</v>
      </c>
      <c r="Q162" t="s">
        <v>3857</v>
      </c>
      <c r="R162" t="s">
        <v>3858</v>
      </c>
      <c r="S162" t="s">
        <v>3859</v>
      </c>
      <c r="T162">
        <v>7.1660700000000004</v>
      </c>
      <c r="U162">
        <v>2.1657000000000002</v>
      </c>
      <c r="V162">
        <v>553</v>
      </c>
      <c r="W162">
        <v>15687</v>
      </c>
      <c r="X162">
        <v>10</v>
      </c>
      <c r="Y162" t="b">
        <v>0</v>
      </c>
      <c r="Z162" t="b">
        <v>0</v>
      </c>
      <c r="AA162" t="s">
        <v>280</v>
      </c>
      <c r="AB162">
        <f>COUNTIF(OWNED[bgg_id],library_data[[#This Row],[bgg_id]])</f>
        <v>1</v>
      </c>
    </row>
    <row r="163" spans="1:28" x14ac:dyDescent="0.25">
      <c r="A163">
        <v>162</v>
      </c>
      <c r="B163" t="s">
        <v>471</v>
      </c>
      <c r="C163" t="s">
        <v>3860</v>
      </c>
      <c r="D163">
        <v>2016</v>
      </c>
      <c r="E163">
        <v>2</v>
      </c>
      <c r="F163">
        <v>4</v>
      </c>
      <c r="G163">
        <v>15</v>
      </c>
      <c r="H163">
        <v>30</v>
      </c>
      <c r="I163" t="s">
        <v>3861</v>
      </c>
      <c r="J163" t="s">
        <v>1071</v>
      </c>
      <c r="K163" t="s">
        <v>3862</v>
      </c>
      <c r="L163">
        <v>205125</v>
      </c>
      <c r="M163" t="s">
        <v>3863</v>
      </c>
      <c r="N163" t="s">
        <v>2472</v>
      </c>
      <c r="O163" t="s">
        <v>3864</v>
      </c>
      <c r="P163" t="s">
        <v>3103</v>
      </c>
      <c r="Q163" t="s">
        <v>3865</v>
      </c>
      <c r="R163" t="s">
        <v>3866</v>
      </c>
      <c r="S163" t="s">
        <v>3867</v>
      </c>
      <c r="T163">
        <v>6.8528799999999999</v>
      </c>
      <c r="U163">
        <v>1.4167000000000001</v>
      </c>
      <c r="V163">
        <v>2233</v>
      </c>
      <c r="W163">
        <v>2650</v>
      </c>
      <c r="X163">
        <v>6</v>
      </c>
      <c r="Y163" t="b">
        <v>0</v>
      </c>
      <c r="Z163" t="b">
        <v>0</v>
      </c>
      <c r="AA163" t="s">
        <v>191</v>
      </c>
      <c r="AB163">
        <f>COUNTIF(OWNED[bgg_id],library_data[[#This Row],[bgg_id]])</f>
        <v>1</v>
      </c>
    </row>
    <row r="164" spans="1:28" x14ac:dyDescent="0.25">
      <c r="A164">
        <v>163</v>
      </c>
      <c r="B164" t="s">
        <v>3</v>
      </c>
      <c r="C164" t="s">
        <v>3301</v>
      </c>
      <c r="D164">
        <v>2005</v>
      </c>
      <c r="E164">
        <v>2</v>
      </c>
      <c r="F164">
        <v>8</v>
      </c>
      <c r="G164">
        <v>15</v>
      </c>
      <c r="H164">
        <v>20</v>
      </c>
      <c r="I164" t="s">
        <v>3868</v>
      </c>
      <c r="J164" t="s">
        <v>1075</v>
      </c>
      <c r="K164" t="s">
        <v>3869</v>
      </c>
      <c r="L164">
        <v>16992</v>
      </c>
      <c r="M164" t="s">
        <v>3870</v>
      </c>
      <c r="N164" t="s">
        <v>2473</v>
      </c>
      <c r="O164" t="s">
        <v>3871</v>
      </c>
      <c r="P164" t="s">
        <v>3872</v>
      </c>
      <c r="Q164" t="s">
        <v>3873</v>
      </c>
      <c r="R164" t="s">
        <v>3874</v>
      </c>
      <c r="S164" t="s">
        <v>3875</v>
      </c>
      <c r="T164">
        <v>6.6668599999999998</v>
      </c>
      <c r="U164">
        <v>1.22</v>
      </c>
      <c r="V164">
        <v>1207</v>
      </c>
      <c r="W164">
        <v>29954</v>
      </c>
      <c r="X164">
        <v>8</v>
      </c>
      <c r="Y164" t="b">
        <v>0</v>
      </c>
      <c r="Z164" t="b">
        <v>0</v>
      </c>
      <c r="AA164" t="s">
        <v>177</v>
      </c>
      <c r="AB164">
        <f>COUNTIF(OWNED[bgg_id],library_data[[#This Row],[bgg_id]])</f>
        <v>1</v>
      </c>
    </row>
    <row r="165" spans="1:28" x14ac:dyDescent="0.25">
      <c r="A165">
        <v>164</v>
      </c>
      <c r="B165" t="s">
        <v>40</v>
      </c>
      <c r="C165" t="s">
        <v>3876</v>
      </c>
      <c r="D165">
        <v>2017</v>
      </c>
      <c r="E165">
        <v>3</v>
      </c>
      <c r="F165">
        <v>6</v>
      </c>
      <c r="G165">
        <v>240</v>
      </c>
      <c r="H165">
        <v>480</v>
      </c>
      <c r="I165" t="s">
        <v>3877</v>
      </c>
      <c r="J165" t="s">
        <v>1077</v>
      </c>
      <c r="K165" t="s">
        <v>3878</v>
      </c>
      <c r="L165">
        <v>233078</v>
      </c>
      <c r="M165" t="s">
        <v>3879</v>
      </c>
      <c r="N165" t="s">
        <v>2474</v>
      </c>
      <c r="O165" t="s">
        <v>3880</v>
      </c>
      <c r="P165" t="s">
        <v>3881</v>
      </c>
      <c r="Q165" t="s">
        <v>3882</v>
      </c>
      <c r="R165" t="s">
        <v>3883</v>
      </c>
      <c r="S165" t="s">
        <v>3884</v>
      </c>
      <c r="T165">
        <v>8.5712299999999999</v>
      </c>
      <c r="U165">
        <v>4.3409000000000004</v>
      </c>
      <c r="V165">
        <v>6</v>
      </c>
      <c r="W165">
        <v>26919</v>
      </c>
      <c r="X165">
        <v>14</v>
      </c>
      <c r="Y165" t="b">
        <v>0</v>
      </c>
      <c r="Z165" t="b">
        <v>0</v>
      </c>
      <c r="AA165" t="s">
        <v>281</v>
      </c>
      <c r="AB165">
        <f>COUNTIF(OWNED[bgg_id],library_data[[#This Row],[bgg_id]])</f>
        <v>1</v>
      </c>
    </row>
    <row r="166" spans="1:28" x14ac:dyDescent="0.25">
      <c r="A166">
        <v>165</v>
      </c>
      <c r="B166" t="s">
        <v>52</v>
      </c>
      <c r="C166" t="s">
        <v>3885</v>
      </c>
      <c r="D166">
        <v>2005</v>
      </c>
      <c r="E166">
        <v>2</v>
      </c>
      <c r="F166">
        <v>2</v>
      </c>
      <c r="G166">
        <v>120</v>
      </c>
      <c r="H166">
        <v>180</v>
      </c>
      <c r="I166" t="s">
        <v>3886</v>
      </c>
      <c r="J166" t="s">
        <v>1079</v>
      </c>
      <c r="K166" t="s">
        <v>3887</v>
      </c>
      <c r="L166">
        <v>12333</v>
      </c>
      <c r="M166" t="s">
        <v>3888</v>
      </c>
      <c r="N166" t="s">
        <v>2474</v>
      </c>
      <c r="O166" t="s">
        <v>3889</v>
      </c>
      <c r="P166" t="s">
        <v>3890</v>
      </c>
      <c r="Q166" t="s">
        <v>3891</v>
      </c>
      <c r="R166" t="s">
        <v>3892</v>
      </c>
      <c r="S166" t="s">
        <v>3893</v>
      </c>
      <c r="T166">
        <v>8.2339800000000007</v>
      </c>
      <c r="U166">
        <v>3.6135999999999999</v>
      </c>
      <c r="V166">
        <v>14</v>
      </c>
      <c r="W166">
        <v>51068</v>
      </c>
      <c r="X166">
        <v>13</v>
      </c>
      <c r="Y166" t="b">
        <v>0</v>
      </c>
      <c r="Z166" t="b">
        <v>0</v>
      </c>
      <c r="AA166" t="s">
        <v>284</v>
      </c>
      <c r="AB166">
        <f>COUNTIF(OWNED[bgg_id],library_data[[#This Row],[bgg_id]])</f>
        <v>1</v>
      </c>
    </row>
    <row r="167" spans="1:28" x14ac:dyDescent="0.25">
      <c r="A167">
        <v>166</v>
      </c>
      <c r="B167" t="s">
        <v>83</v>
      </c>
      <c r="C167" t="s">
        <v>2892</v>
      </c>
      <c r="D167">
        <v>2023</v>
      </c>
      <c r="E167">
        <v>2</v>
      </c>
      <c r="F167">
        <v>6</v>
      </c>
      <c r="G167">
        <v>5</v>
      </c>
      <c r="H167">
        <v>20</v>
      </c>
      <c r="I167" t="s">
        <v>3894</v>
      </c>
      <c r="J167" t="s">
        <v>1081</v>
      </c>
      <c r="K167" t="s">
        <v>3895</v>
      </c>
      <c r="L167">
        <v>374447</v>
      </c>
      <c r="M167" t="s">
        <v>3896</v>
      </c>
      <c r="N167" t="s">
        <v>2473</v>
      </c>
      <c r="O167" t="s">
        <v>3897</v>
      </c>
      <c r="P167" t="s">
        <v>3898</v>
      </c>
      <c r="Q167" t="s">
        <v>3265</v>
      </c>
      <c r="R167" t="s">
        <v>3899</v>
      </c>
      <c r="S167" t="s">
        <v>3267</v>
      </c>
      <c r="T167">
        <v>6.5250000000000004</v>
      </c>
      <c r="U167">
        <v>1</v>
      </c>
      <c r="W167">
        <v>20</v>
      </c>
      <c r="X167">
        <v>8</v>
      </c>
      <c r="Y167" t="b">
        <v>0</v>
      </c>
      <c r="Z167" t="b">
        <v>1</v>
      </c>
      <c r="AA167" t="s">
        <v>187</v>
      </c>
      <c r="AB167">
        <f>COUNTIF(OWNED[bgg_id],library_data[[#This Row],[bgg_id]])</f>
        <v>1</v>
      </c>
    </row>
    <row r="168" spans="1:28" x14ac:dyDescent="0.25">
      <c r="A168">
        <v>167</v>
      </c>
      <c r="B168" t="s">
        <v>780</v>
      </c>
      <c r="C168" t="s">
        <v>3900</v>
      </c>
      <c r="D168">
        <v>2023</v>
      </c>
      <c r="E168">
        <v>1</v>
      </c>
      <c r="F168">
        <v>6</v>
      </c>
      <c r="G168">
        <v>30</v>
      </c>
      <c r="H168">
        <v>60</v>
      </c>
      <c r="I168" t="s">
        <v>3901</v>
      </c>
      <c r="J168" t="s">
        <v>1109</v>
      </c>
      <c r="K168" t="s">
        <v>3902</v>
      </c>
      <c r="L168">
        <v>391995</v>
      </c>
      <c r="M168" t="s">
        <v>3903</v>
      </c>
      <c r="N168" t="s">
        <v>2470</v>
      </c>
      <c r="O168" t="s">
        <v>3904</v>
      </c>
      <c r="P168" t="s">
        <v>3905</v>
      </c>
      <c r="Q168" t="s">
        <v>3906</v>
      </c>
      <c r="R168" t="s">
        <v>3907</v>
      </c>
      <c r="S168" t="s">
        <v>3908</v>
      </c>
      <c r="T168">
        <v>7.35494</v>
      </c>
      <c r="U168">
        <v>2.3332999999999999</v>
      </c>
      <c r="V168">
        <v>6611</v>
      </c>
      <c r="W168">
        <v>234</v>
      </c>
      <c r="X168">
        <v>10</v>
      </c>
      <c r="Y168" t="b">
        <v>1</v>
      </c>
      <c r="Z168" t="b">
        <v>0</v>
      </c>
      <c r="AA168" t="s">
        <v>183</v>
      </c>
      <c r="AB168">
        <f>COUNTIF(OWNED[bgg_id],library_data[[#This Row],[bgg_id]])</f>
        <v>1</v>
      </c>
    </row>
    <row r="169" spans="1:28" x14ac:dyDescent="0.25">
      <c r="A169">
        <v>168</v>
      </c>
      <c r="B169" t="s">
        <v>285</v>
      </c>
      <c r="C169" t="s">
        <v>3909</v>
      </c>
      <c r="D169">
        <v>1971</v>
      </c>
      <c r="E169">
        <v>2</v>
      </c>
      <c r="F169">
        <v>10</v>
      </c>
      <c r="G169">
        <v>30</v>
      </c>
      <c r="H169">
        <v>30</v>
      </c>
      <c r="I169" t="s">
        <v>3910</v>
      </c>
      <c r="J169" t="s">
        <v>1083</v>
      </c>
      <c r="K169" t="s">
        <v>3911</v>
      </c>
      <c r="L169">
        <v>2223</v>
      </c>
      <c r="M169" t="s">
        <v>3912</v>
      </c>
      <c r="N169" t="s">
        <v>2473</v>
      </c>
      <c r="O169" t="s">
        <v>3913</v>
      </c>
      <c r="P169" t="s">
        <v>3914</v>
      </c>
      <c r="Q169" t="s">
        <v>3915</v>
      </c>
      <c r="R169" t="s">
        <v>3916</v>
      </c>
      <c r="S169" t="s">
        <v>3917</v>
      </c>
      <c r="T169">
        <v>5.4731500000000004</v>
      </c>
      <c r="U169">
        <v>1.1016999999999999</v>
      </c>
      <c r="V169">
        <v>29027</v>
      </c>
      <c r="W169">
        <v>32170</v>
      </c>
      <c r="X169">
        <v>6</v>
      </c>
      <c r="Y169" t="b">
        <v>0</v>
      </c>
      <c r="Z169" t="b">
        <v>0</v>
      </c>
      <c r="AA169" t="s">
        <v>180</v>
      </c>
      <c r="AB169">
        <f>COUNTIF(OWNED[bgg_id],library_data[[#This Row],[bgg_id]])</f>
        <v>1</v>
      </c>
    </row>
    <row r="170" spans="1:28" x14ac:dyDescent="0.25">
      <c r="A170">
        <v>169</v>
      </c>
      <c r="B170" t="s">
        <v>5</v>
      </c>
      <c r="C170" t="s">
        <v>3918</v>
      </c>
      <c r="D170">
        <v>2018</v>
      </c>
      <c r="E170">
        <v>2</v>
      </c>
      <c r="F170">
        <v>6</v>
      </c>
      <c r="G170">
        <v>60</v>
      </c>
      <c r="H170">
        <v>90</v>
      </c>
      <c r="I170" t="s">
        <v>3919</v>
      </c>
      <c r="J170" t="s">
        <v>1091</v>
      </c>
      <c r="K170" t="s">
        <v>3920</v>
      </c>
      <c r="L170">
        <v>232405</v>
      </c>
      <c r="M170" t="s">
        <v>3921</v>
      </c>
      <c r="N170" t="s">
        <v>2474</v>
      </c>
      <c r="O170" t="s">
        <v>3922</v>
      </c>
      <c r="P170" t="s">
        <v>3923</v>
      </c>
      <c r="Q170" t="s">
        <v>3924</v>
      </c>
      <c r="R170" t="s">
        <v>3925</v>
      </c>
      <c r="S170" t="s">
        <v>3926</v>
      </c>
      <c r="T170">
        <v>7.60318</v>
      </c>
      <c r="U170">
        <v>2.8517000000000001</v>
      </c>
      <c r="V170">
        <v>277</v>
      </c>
      <c r="W170">
        <v>12465</v>
      </c>
      <c r="X170">
        <v>14</v>
      </c>
      <c r="Y170" t="b">
        <v>0</v>
      </c>
      <c r="Z170" t="b">
        <v>0</v>
      </c>
      <c r="AA170" t="s">
        <v>193</v>
      </c>
      <c r="AB170">
        <f>COUNTIF(OWNED[bgg_id],library_data[[#This Row],[bgg_id]])</f>
        <v>1</v>
      </c>
    </row>
    <row r="171" spans="1:28" x14ac:dyDescent="0.25">
      <c r="A171">
        <v>170</v>
      </c>
      <c r="B171" t="s">
        <v>298</v>
      </c>
      <c r="C171" t="s">
        <v>3927</v>
      </c>
      <c r="D171">
        <v>2022</v>
      </c>
      <c r="E171">
        <v>1</v>
      </c>
      <c r="F171">
        <v>2</v>
      </c>
      <c r="G171">
        <v>40</v>
      </c>
      <c r="H171">
        <v>70</v>
      </c>
      <c r="I171" t="s">
        <v>3928</v>
      </c>
      <c r="J171" t="s">
        <v>1095</v>
      </c>
      <c r="K171" t="s">
        <v>3929</v>
      </c>
      <c r="L171">
        <v>366161</v>
      </c>
      <c r="M171" t="s">
        <v>3930</v>
      </c>
      <c r="N171" t="s">
        <v>2474</v>
      </c>
      <c r="O171" t="s">
        <v>3931</v>
      </c>
      <c r="P171" t="s">
        <v>2512</v>
      </c>
      <c r="Q171" t="s">
        <v>4132</v>
      </c>
      <c r="R171" t="s">
        <v>3932</v>
      </c>
      <c r="S171" t="s">
        <v>3933</v>
      </c>
      <c r="T171">
        <v>8.2295999999999996</v>
      </c>
      <c r="U171">
        <v>2.6722999999999999</v>
      </c>
      <c r="V171">
        <v>95</v>
      </c>
      <c r="W171">
        <v>8853</v>
      </c>
      <c r="X171">
        <v>10</v>
      </c>
      <c r="Y171" t="b">
        <v>0</v>
      </c>
      <c r="Z171" t="b">
        <v>0</v>
      </c>
      <c r="AA171" t="s">
        <v>310</v>
      </c>
      <c r="AB171">
        <f>COUNTIF(OWNED[bgg_id],library_data[[#This Row],[bgg_id]])</f>
        <v>1</v>
      </c>
    </row>
    <row r="172" spans="1:28" x14ac:dyDescent="0.25">
      <c r="A172">
        <v>171</v>
      </c>
      <c r="B172" t="s">
        <v>84</v>
      </c>
      <c r="C172" t="s">
        <v>3934</v>
      </c>
      <c r="D172">
        <v>2021</v>
      </c>
      <c r="E172">
        <v>1</v>
      </c>
      <c r="F172">
        <v>4</v>
      </c>
      <c r="G172">
        <v>10</v>
      </c>
      <c r="H172">
        <v>10</v>
      </c>
      <c r="I172" t="s">
        <v>3935</v>
      </c>
      <c r="J172" t="s">
        <v>1097</v>
      </c>
      <c r="K172" t="s">
        <v>3936</v>
      </c>
      <c r="L172">
        <v>315624</v>
      </c>
      <c r="M172" t="s">
        <v>3937</v>
      </c>
      <c r="N172" t="s">
        <v>2473</v>
      </c>
      <c r="O172" t="s">
        <v>3938</v>
      </c>
      <c r="P172" t="s">
        <v>3939</v>
      </c>
      <c r="Q172" t="s">
        <v>3940</v>
      </c>
      <c r="R172" t="s">
        <v>3941</v>
      </c>
      <c r="S172" t="s">
        <v>3942</v>
      </c>
      <c r="T172">
        <v>6.0353399999999997</v>
      </c>
      <c r="U172">
        <v>1.8571</v>
      </c>
      <c r="V172">
        <v>16864</v>
      </c>
      <c r="W172">
        <v>177</v>
      </c>
      <c r="X172">
        <v>10</v>
      </c>
      <c r="Y172" t="b">
        <v>0</v>
      </c>
      <c r="Z172" t="b">
        <v>1</v>
      </c>
      <c r="AA172" t="s">
        <v>188</v>
      </c>
      <c r="AB172">
        <f>COUNTIF(OWNED[bgg_id],library_data[[#This Row],[bgg_id]])</f>
        <v>1</v>
      </c>
    </row>
    <row r="173" spans="1:28" x14ac:dyDescent="0.25">
      <c r="A173">
        <v>172</v>
      </c>
      <c r="B173" t="s">
        <v>34</v>
      </c>
      <c r="C173" t="s">
        <v>3943</v>
      </c>
      <c r="D173">
        <v>2018</v>
      </c>
      <c r="E173">
        <v>2</v>
      </c>
      <c r="F173">
        <v>4</v>
      </c>
      <c r="G173">
        <v>15</v>
      </c>
      <c r="H173">
        <v>15</v>
      </c>
      <c r="I173" t="s">
        <v>3944</v>
      </c>
      <c r="J173" t="s">
        <v>1101</v>
      </c>
      <c r="K173" t="s">
        <v>3945</v>
      </c>
      <c r="L173">
        <v>256952</v>
      </c>
      <c r="M173" t="s">
        <v>3946</v>
      </c>
      <c r="N173" t="s">
        <v>2472</v>
      </c>
      <c r="O173" t="s">
        <v>3947</v>
      </c>
      <c r="P173" t="s">
        <v>3948</v>
      </c>
      <c r="Q173" t="s">
        <v>3949</v>
      </c>
      <c r="R173" t="s">
        <v>3950</v>
      </c>
      <c r="S173" t="s">
        <v>3951</v>
      </c>
      <c r="T173">
        <v>7.5836100000000002</v>
      </c>
      <c r="U173">
        <v>1.3774999999999999</v>
      </c>
      <c r="V173">
        <v>559</v>
      </c>
      <c r="W173">
        <v>5834</v>
      </c>
      <c r="X173">
        <v>7</v>
      </c>
      <c r="Y173" t="b">
        <v>1</v>
      </c>
      <c r="Z173" t="b">
        <v>0</v>
      </c>
      <c r="AA173" t="s">
        <v>283</v>
      </c>
      <c r="AB173">
        <f>COUNTIF(OWNED[bgg_id],library_data[[#This Row],[bgg_id]])</f>
        <v>1</v>
      </c>
    </row>
    <row r="174" spans="1:28" x14ac:dyDescent="0.25">
      <c r="A174">
        <v>173</v>
      </c>
      <c r="B174" t="s">
        <v>2158</v>
      </c>
      <c r="C174" t="s">
        <v>3952</v>
      </c>
      <c r="D174">
        <v>2022</v>
      </c>
      <c r="E174">
        <v>2</v>
      </c>
      <c r="F174">
        <v>5</v>
      </c>
      <c r="G174">
        <v>20</v>
      </c>
      <c r="H174">
        <v>20</v>
      </c>
      <c r="I174" t="s">
        <v>3953</v>
      </c>
      <c r="J174" t="s">
        <v>2160</v>
      </c>
      <c r="K174" t="s">
        <v>3954</v>
      </c>
      <c r="L174">
        <v>358050</v>
      </c>
      <c r="M174" t="s">
        <v>3955</v>
      </c>
      <c r="N174" t="s">
        <v>2472</v>
      </c>
      <c r="O174" t="s">
        <v>3956</v>
      </c>
      <c r="P174" t="s">
        <v>3957</v>
      </c>
      <c r="Q174" t="s">
        <v>3958</v>
      </c>
      <c r="R174" t="s">
        <v>3959</v>
      </c>
      <c r="S174" t="s">
        <v>3960</v>
      </c>
      <c r="T174">
        <v>6.1614300000000002</v>
      </c>
      <c r="U174">
        <v>1.5</v>
      </c>
      <c r="V174">
        <v>12808</v>
      </c>
      <c r="W174">
        <v>210</v>
      </c>
      <c r="X174">
        <v>8</v>
      </c>
      <c r="Y174" t="b">
        <v>0</v>
      </c>
      <c r="Z174" t="b">
        <v>0</v>
      </c>
      <c r="AA174" t="s">
        <v>185</v>
      </c>
      <c r="AB174">
        <f>COUNTIF(OWNED[bgg_id],library_data[[#This Row],[bgg_id]])</f>
        <v>1</v>
      </c>
    </row>
    <row r="175" spans="1:28" x14ac:dyDescent="0.25">
      <c r="A175">
        <v>174</v>
      </c>
      <c r="B175" t="s">
        <v>3966</v>
      </c>
      <c r="C175" t="s">
        <v>3967</v>
      </c>
      <c r="D175">
        <v>2015</v>
      </c>
      <c r="E175">
        <v>2</v>
      </c>
      <c r="F175">
        <v>5</v>
      </c>
      <c r="G175">
        <v>60</v>
      </c>
      <c r="H175">
        <v>60</v>
      </c>
      <c r="I175" t="s">
        <v>3968</v>
      </c>
      <c r="J175" t="s">
        <v>3969</v>
      </c>
      <c r="K175" t="s">
        <v>3970</v>
      </c>
      <c r="L175">
        <v>167698</v>
      </c>
      <c r="M175" t="s">
        <v>3971</v>
      </c>
      <c r="N175" t="s">
        <v>2474</v>
      </c>
      <c r="O175" t="s">
        <v>3972</v>
      </c>
      <c r="P175" t="s">
        <v>3973</v>
      </c>
      <c r="Q175" t="s">
        <v>3974</v>
      </c>
      <c r="R175" t="s">
        <v>3975</v>
      </c>
      <c r="S175" t="s">
        <v>2609</v>
      </c>
      <c r="T175">
        <v>6.1446899999999998</v>
      </c>
      <c r="U175">
        <v>2.3592</v>
      </c>
      <c r="V175">
        <v>4390</v>
      </c>
      <c r="W175">
        <v>3393</v>
      </c>
      <c r="X175">
        <v>10</v>
      </c>
      <c r="Y175" t="b">
        <v>0</v>
      </c>
      <c r="Z175" t="b">
        <v>0</v>
      </c>
      <c r="AA175" t="s">
        <v>193</v>
      </c>
      <c r="AB175">
        <f>COUNTIF(OWNED[bgg_id],library_data[[#This Row],[bgg_id]])</f>
        <v>1</v>
      </c>
    </row>
    <row r="176" spans="1:28" x14ac:dyDescent="0.25">
      <c r="A176">
        <v>175</v>
      </c>
      <c r="B176" t="s">
        <v>389</v>
      </c>
      <c r="C176" t="s">
        <v>4059</v>
      </c>
      <c r="D176">
        <v>2022</v>
      </c>
      <c r="E176">
        <v>1</v>
      </c>
      <c r="F176">
        <v>8</v>
      </c>
      <c r="G176">
        <v>25</v>
      </c>
      <c r="H176">
        <v>25</v>
      </c>
      <c r="I176" t="s">
        <v>4060</v>
      </c>
      <c r="J176" t="s">
        <v>1235</v>
      </c>
      <c r="K176" t="s">
        <v>4061</v>
      </c>
      <c r="L176">
        <v>295374</v>
      </c>
      <c r="M176" t="s">
        <v>4062</v>
      </c>
      <c r="N176" t="s">
        <v>2473</v>
      </c>
      <c r="O176" t="s">
        <v>4063</v>
      </c>
      <c r="P176" t="s">
        <v>4064</v>
      </c>
      <c r="Q176" t="s">
        <v>4065</v>
      </c>
      <c r="R176" t="s">
        <v>4066</v>
      </c>
      <c r="S176" t="s">
        <v>4067</v>
      </c>
      <c r="T176">
        <v>7.5503900000000002</v>
      </c>
      <c r="U176">
        <v>1.931</v>
      </c>
      <c r="V176">
        <v>345</v>
      </c>
      <c r="W176">
        <v>9676</v>
      </c>
      <c r="X176">
        <v>14</v>
      </c>
      <c r="Y176" t="b">
        <v>0</v>
      </c>
      <c r="Z176" t="b">
        <v>0</v>
      </c>
      <c r="AA176" t="s">
        <v>180</v>
      </c>
      <c r="AB176">
        <f>COUNTIF(OWNED[bgg_id],library_data[[#This Row],[bgg_id]])</f>
        <v>1</v>
      </c>
    </row>
    <row r="177" spans="1:28" x14ac:dyDescent="0.25">
      <c r="A177">
        <v>176</v>
      </c>
      <c r="B177" t="s">
        <v>1734</v>
      </c>
      <c r="C177" t="s">
        <v>4068</v>
      </c>
      <c r="D177">
        <v>2008</v>
      </c>
      <c r="E177">
        <v>3</v>
      </c>
      <c r="F177">
        <v>6</v>
      </c>
      <c r="G177">
        <v>120</v>
      </c>
      <c r="H177">
        <v>180</v>
      </c>
      <c r="I177" t="s">
        <v>4069</v>
      </c>
      <c r="J177" t="s">
        <v>1736</v>
      </c>
      <c r="K177" t="s">
        <v>4070</v>
      </c>
      <c r="L177">
        <v>37111</v>
      </c>
      <c r="M177" t="s">
        <v>4071</v>
      </c>
      <c r="N177" t="s">
        <v>2474</v>
      </c>
      <c r="O177" t="s">
        <v>4072</v>
      </c>
      <c r="P177" t="s">
        <v>4073</v>
      </c>
      <c r="Q177" t="s">
        <v>4074</v>
      </c>
      <c r="R177" t="s">
        <v>4075</v>
      </c>
      <c r="S177" t="s">
        <v>4076</v>
      </c>
      <c r="T177">
        <v>7.7297799999999999</v>
      </c>
      <c r="U177">
        <v>3.2507000000000001</v>
      </c>
      <c r="V177">
        <v>118</v>
      </c>
      <c r="W177">
        <v>37322</v>
      </c>
      <c r="X177">
        <v>14</v>
      </c>
      <c r="Y177" t="b">
        <v>1</v>
      </c>
      <c r="Z177" t="b">
        <v>0</v>
      </c>
      <c r="AA177" t="s">
        <v>193</v>
      </c>
      <c r="AB177">
        <f>COUNTIF(OWNED[bgg_id],library_data[[#This Row],[bgg_id]])</f>
        <v>1</v>
      </c>
    </row>
    <row r="178" spans="1:28" x14ac:dyDescent="0.25">
      <c r="A178">
        <v>177</v>
      </c>
      <c r="B178" t="s">
        <v>1804</v>
      </c>
      <c r="C178" t="s">
        <v>4077</v>
      </c>
      <c r="D178">
        <v>2016</v>
      </c>
      <c r="E178">
        <v>2</v>
      </c>
      <c r="F178">
        <v>5</v>
      </c>
      <c r="G178">
        <v>45</v>
      </c>
      <c r="H178">
        <v>45</v>
      </c>
      <c r="I178" t="s">
        <v>4078</v>
      </c>
      <c r="J178" t="s">
        <v>1806</v>
      </c>
      <c r="K178" t="s">
        <v>4079</v>
      </c>
      <c r="L178">
        <v>198928</v>
      </c>
      <c r="M178" t="s">
        <v>4080</v>
      </c>
      <c r="N178" t="s">
        <v>2470</v>
      </c>
      <c r="O178" t="s">
        <v>4081</v>
      </c>
      <c r="P178" t="s">
        <v>4082</v>
      </c>
      <c r="Q178" t="s">
        <v>4083</v>
      </c>
      <c r="R178" t="s">
        <v>4084</v>
      </c>
      <c r="S178" t="s">
        <v>4085</v>
      </c>
      <c r="T178">
        <v>7.8778199999999998</v>
      </c>
      <c r="U178">
        <v>2.5954999999999999</v>
      </c>
      <c r="V178">
        <v>156</v>
      </c>
      <c r="W178">
        <v>11513</v>
      </c>
      <c r="X178">
        <v>8</v>
      </c>
      <c r="Y178" t="b">
        <v>1</v>
      </c>
      <c r="Z178" t="b">
        <v>0</v>
      </c>
      <c r="AA178" t="s">
        <v>187</v>
      </c>
      <c r="AB178">
        <f>COUNTIF(OWNED[bgg_id],library_data[[#This Row],[bgg_id]])</f>
        <v>1</v>
      </c>
    </row>
    <row r="179" spans="1:28" x14ac:dyDescent="0.25">
      <c r="A179">
        <v>178</v>
      </c>
      <c r="B179" t="s">
        <v>2370</v>
      </c>
      <c r="C179" t="s">
        <v>4086</v>
      </c>
      <c r="D179">
        <v>2019</v>
      </c>
      <c r="E179">
        <v>1</v>
      </c>
      <c r="F179">
        <v>8</v>
      </c>
      <c r="G179">
        <v>20</v>
      </c>
      <c r="H179">
        <v>20</v>
      </c>
      <c r="I179" t="s">
        <v>4087</v>
      </c>
      <c r="J179" t="s">
        <v>2372</v>
      </c>
      <c r="K179" t="s">
        <v>4088</v>
      </c>
      <c r="L179">
        <v>251412</v>
      </c>
      <c r="M179" t="s">
        <v>4089</v>
      </c>
      <c r="N179" t="s">
        <v>2473</v>
      </c>
      <c r="O179" t="s">
        <v>4090</v>
      </c>
      <c r="P179" t="s">
        <v>4091</v>
      </c>
      <c r="Q179" t="s">
        <v>4092</v>
      </c>
      <c r="R179" t="s">
        <v>4093</v>
      </c>
      <c r="S179" t="s">
        <v>4094</v>
      </c>
      <c r="T179">
        <v>6.8365</v>
      </c>
      <c r="U179">
        <v>1.3980999999999999</v>
      </c>
      <c r="V179">
        <v>1432</v>
      </c>
      <c r="W179">
        <v>5724</v>
      </c>
      <c r="X179">
        <v>7</v>
      </c>
      <c r="Y179" t="b">
        <v>0</v>
      </c>
      <c r="Z179" t="b">
        <v>0</v>
      </c>
      <c r="AA179" t="s">
        <v>180</v>
      </c>
      <c r="AB179">
        <f>COUNTIF(OWNED[bgg_id],library_data[[#This Row],[bgg_id]])</f>
        <v>1</v>
      </c>
    </row>
    <row r="180" spans="1:28" x14ac:dyDescent="0.25">
      <c r="A180">
        <v>179</v>
      </c>
      <c r="B180" t="s">
        <v>2352</v>
      </c>
      <c r="C180" t="s">
        <v>4099</v>
      </c>
      <c r="D180">
        <v>2020</v>
      </c>
      <c r="E180">
        <v>3</v>
      </c>
      <c r="F180">
        <v>7</v>
      </c>
      <c r="G180">
        <v>120</v>
      </c>
      <c r="H180">
        <v>240</v>
      </c>
      <c r="I180" t="s">
        <v>4100</v>
      </c>
      <c r="J180" t="s">
        <v>2354</v>
      </c>
      <c r="K180" t="s">
        <v>4101</v>
      </c>
      <c r="L180">
        <v>302723</v>
      </c>
      <c r="M180" t="s">
        <v>4102</v>
      </c>
      <c r="N180" t="s">
        <v>2470</v>
      </c>
      <c r="O180" t="s">
        <v>4103</v>
      </c>
      <c r="P180" t="s">
        <v>4104</v>
      </c>
      <c r="Q180" t="s">
        <v>4105</v>
      </c>
      <c r="R180" t="s">
        <v>4106</v>
      </c>
      <c r="S180" t="s">
        <v>4107</v>
      </c>
      <c r="T180">
        <v>7.7653999999999996</v>
      </c>
      <c r="U180">
        <v>2.0992000000000002</v>
      </c>
      <c r="V180">
        <v>330</v>
      </c>
      <c r="W180">
        <v>6805</v>
      </c>
      <c r="X180">
        <v>14</v>
      </c>
      <c r="Y180" t="b">
        <v>1</v>
      </c>
      <c r="Z180" t="b">
        <v>0</v>
      </c>
      <c r="AA180" t="s">
        <v>193</v>
      </c>
      <c r="AB180">
        <f>COUNTIF(OWNED[bgg_id],library_data[[#This Row],[bgg_id]])</f>
        <v>1</v>
      </c>
    </row>
    <row r="181" spans="1:28" x14ac:dyDescent="0.25">
      <c r="A181">
        <v>180</v>
      </c>
      <c r="B181" t="s">
        <v>324</v>
      </c>
      <c r="C181" t="s">
        <v>4108</v>
      </c>
      <c r="D181">
        <v>2017</v>
      </c>
      <c r="E181">
        <v>3</v>
      </c>
      <c r="F181">
        <v>8</v>
      </c>
      <c r="G181">
        <v>15</v>
      </c>
      <c r="H181">
        <v>15</v>
      </c>
      <c r="I181" t="s">
        <v>4109</v>
      </c>
      <c r="J181" t="s">
        <v>1341</v>
      </c>
      <c r="K181" t="s">
        <v>4110</v>
      </c>
      <c r="L181">
        <v>227072</v>
      </c>
      <c r="M181" t="s">
        <v>4111</v>
      </c>
      <c r="N181" t="s">
        <v>2473</v>
      </c>
      <c r="O181" t="s">
        <v>4112</v>
      </c>
      <c r="P181" t="s">
        <v>4113</v>
      </c>
      <c r="Q181" t="s">
        <v>4114</v>
      </c>
      <c r="R181" t="s">
        <v>4115</v>
      </c>
      <c r="S181" t="s">
        <v>4116</v>
      </c>
      <c r="T181">
        <v>6.5226300000000004</v>
      </c>
      <c r="U181">
        <v>1.0575000000000001</v>
      </c>
      <c r="V181">
        <v>2287</v>
      </c>
      <c r="W181">
        <v>5917</v>
      </c>
      <c r="X181">
        <v>14</v>
      </c>
      <c r="Y181" t="b">
        <v>0</v>
      </c>
      <c r="Z181" t="b">
        <v>0</v>
      </c>
      <c r="AA181" t="s">
        <v>179</v>
      </c>
      <c r="AB181">
        <f>COUNTIF(OWNED[bgg_id],library_data[[#This Row],[bgg_id]])</f>
        <v>1</v>
      </c>
    </row>
    <row r="182" spans="1:28" x14ac:dyDescent="0.25">
      <c r="A182">
        <v>181</v>
      </c>
      <c r="B182" t="s">
        <v>4117</v>
      </c>
      <c r="C182" t="s">
        <v>2892</v>
      </c>
      <c r="D182">
        <v>1996</v>
      </c>
      <c r="E182">
        <v>1</v>
      </c>
      <c r="F182">
        <v>7</v>
      </c>
      <c r="G182">
        <v>30</v>
      </c>
      <c r="H182">
        <v>30</v>
      </c>
      <c r="I182" t="s">
        <v>4118</v>
      </c>
      <c r="J182" t="s">
        <v>4119</v>
      </c>
      <c r="K182" t="s">
        <v>4120</v>
      </c>
      <c r="L182">
        <v>1472</v>
      </c>
      <c r="M182" t="s">
        <v>4121</v>
      </c>
      <c r="N182" t="s">
        <v>2472</v>
      </c>
      <c r="O182" t="s">
        <v>4122</v>
      </c>
      <c r="P182" t="s">
        <v>4123</v>
      </c>
      <c r="Q182" t="s">
        <v>4124</v>
      </c>
      <c r="R182" t="s">
        <v>4125</v>
      </c>
      <c r="S182" t="s">
        <v>2609</v>
      </c>
      <c r="T182">
        <v>6.1214399999999998</v>
      </c>
      <c r="U182">
        <v>1.226</v>
      </c>
      <c r="V182">
        <v>4293</v>
      </c>
      <c r="W182">
        <v>4095</v>
      </c>
      <c r="X182">
        <v>8</v>
      </c>
      <c r="Y182" t="b">
        <v>0</v>
      </c>
      <c r="Z182" t="b">
        <v>0</v>
      </c>
      <c r="AA182" t="s">
        <v>180</v>
      </c>
      <c r="AB182">
        <f>COUNTIF(OWNED[bgg_id],library_data[[#This Row],[bgg_id]])</f>
        <v>1</v>
      </c>
    </row>
    <row r="183" spans="1:28" x14ac:dyDescent="0.25">
      <c r="A183">
        <v>182</v>
      </c>
      <c r="B183" t="s">
        <v>228</v>
      </c>
      <c r="C183" t="s">
        <v>4396</v>
      </c>
      <c r="D183">
        <v>2014</v>
      </c>
      <c r="E183">
        <v>4</v>
      </c>
      <c r="F183">
        <v>12</v>
      </c>
      <c r="G183">
        <v>20</v>
      </c>
      <c r="H183">
        <v>20</v>
      </c>
      <c r="I183" t="s">
        <v>4397</v>
      </c>
      <c r="J183" t="s">
        <v>1163</v>
      </c>
      <c r="K183" t="s">
        <v>4398</v>
      </c>
      <c r="L183">
        <v>156129</v>
      </c>
      <c r="M183" t="s">
        <v>4399</v>
      </c>
      <c r="N183" t="s">
        <v>2473</v>
      </c>
      <c r="O183" t="s">
        <v>4400</v>
      </c>
      <c r="P183" t="s">
        <v>4401</v>
      </c>
      <c r="Q183" t="s">
        <v>4402</v>
      </c>
      <c r="R183" t="s">
        <v>4403</v>
      </c>
      <c r="S183" t="s">
        <v>4404</v>
      </c>
      <c r="T183">
        <v>7.42774</v>
      </c>
      <c r="U183">
        <v>1.5851999999999999</v>
      </c>
      <c r="V183">
        <v>276</v>
      </c>
      <c r="W183">
        <v>24465</v>
      </c>
      <c r="X183">
        <v>14</v>
      </c>
      <c r="Y183" t="b">
        <v>0</v>
      </c>
      <c r="Z183" t="b">
        <v>0</v>
      </c>
      <c r="AA183" t="s">
        <v>179</v>
      </c>
      <c r="AB183">
        <f>COUNTIF(OWNED[bgg_id],library_data[[#This Row],[bgg_id]])</f>
        <v>1</v>
      </c>
    </row>
    <row r="184" spans="1:28" x14ac:dyDescent="0.25">
      <c r="A184">
        <v>183</v>
      </c>
      <c r="B184" t="s">
        <v>617</v>
      </c>
      <c r="C184" t="s">
        <v>4405</v>
      </c>
      <c r="D184">
        <v>2019</v>
      </c>
      <c r="E184">
        <v>2</v>
      </c>
      <c r="F184">
        <v>8</v>
      </c>
      <c r="G184">
        <v>40</v>
      </c>
      <c r="H184">
        <v>40</v>
      </c>
      <c r="I184" t="s">
        <v>4406</v>
      </c>
      <c r="J184" t="s">
        <v>1261</v>
      </c>
      <c r="K184" t="s">
        <v>4407</v>
      </c>
      <c r="L184">
        <v>273477</v>
      </c>
      <c r="M184" t="s">
        <v>4408</v>
      </c>
      <c r="N184" t="s">
        <v>2470</v>
      </c>
      <c r="O184" t="s">
        <v>4409</v>
      </c>
      <c r="P184" t="s">
        <v>4410</v>
      </c>
      <c r="Q184" t="s">
        <v>4411</v>
      </c>
      <c r="R184" t="s">
        <v>4412</v>
      </c>
      <c r="S184" t="s">
        <v>4413</v>
      </c>
      <c r="T184">
        <v>7.07944</v>
      </c>
      <c r="U184">
        <v>1.9103000000000001</v>
      </c>
      <c r="V184">
        <v>1254</v>
      </c>
      <c r="W184">
        <v>4421</v>
      </c>
      <c r="X184">
        <v>10</v>
      </c>
      <c r="Y184" t="b">
        <v>1</v>
      </c>
      <c r="Z184" t="b">
        <v>0</v>
      </c>
      <c r="AA184" t="s">
        <v>180</v>
      </c>
      <c r="AB184">
        <f>COUNTIF(OWNED[bgg_id],library_data[[#This Row],[bgg_id]])</f>
        <v>1</v>
      </c>
    </row>
    <row r="185" spans="1:28" x14ac:dyDescent="0.25">
      <c r="A185">
        <v>184</v>
      </c>
      <c r="B185" t="s">
        <v>5307</v>
      </c>
      <c r="C185" t="s">
        <v>5320</v>
      </c>
      <c r="D185">
        <v>2015</v>
      </c>
      <c r="E185">
        <v>2</v>
      </c>
      <c r="F185">
        <v>8</v>
      </c>
      <c r="G185">
        <v>15</v>
      </c>
      <c r="H185">
        <v>45</v>
      </c>
      <c r="I185" t="s">
        <v>5321</v>
      </c>
      <c r="J185" t="s">
        <v>5309</v>
      </c>
      <c r="K185" t="s">
        <v>5322</v>
      </c>
      <c r="L185">
        <v>204135</v>
      </c>
      <c r="M185" t="s">
        <v>5323</v>
      </c>
      <c r="N185" t="s">
        <v>2472</v>
      </c>
      <c r="O185" t="s">
        <v>5324</v>
      </c>
      <c r="P185" t="s">
        <v>5325</v>
      </c>
      <c r="Q185" t="s">
        <v>5326</v>
      </c>
      <c r="R185" t="s">
        <v>5327</v>
      </c>
      <c r="S185" t="s">
        <v>5325</v>
      </c>
      <c r="T185">
        <v>6.6631600000000004</v>
      </c>
      <c r="U185">
        <v>1.0704</v>
      </c>
      <c r="V185">
        <v>1915</v>
      </c>
      <c r="W185">
        <v>5730</v>
      </c>
      <c r="X185">
        <v>8</v>
      </c>
      <c r="Y185" t="b">
        <v>0</v>
      </c>
      <c r="Z185" t="b">
        <v>0</v>
      </c>
      <c r="AA185" t="s">
        <v>180</v>
      </c>
      <c r="AB185">
        <f>COUNTIF(OWNED[bgg_id],library_data[[#This Row],[bgg_id]])</f>
        <v>1</v>
      </c>
    </row>
    <row r="186" spans="1:28" x14ac:dyDescent="0.25">
      <c r="A186">
        <v>185</v>
      </c>
      <c r="B186" t="s">
        <v>394</v>
      </c>
      <c r="C186" t="s">
        <v>5328</v>
      </c>
      <c r="D186">
        <v>2021</v>
      </c>
      <c r="E186">
        <v>2</v>
      </c>
      <c r="F186">
        <v>4</v>
      </c>
      <c r="G186">
        <v>60</v>
      </c>
      <c r="H186">
        <v>120</v>
      </c>
      <c r="I186" t="s">
        <v>5329</v>
      </c>
      <c r="J186" t="s">
        <v>1171</v>
      </c>
      <c r="K186" t="s">
        <v>5330</v>
      </c>
      <c r="L186">
        <v>317457</v>
      </c>
      <c r="M186" t="s">
        <v>5331</v>
      </c>
      <c r="N186" t="s">
        <v>2474</v>
      </c>
      <c r="O186" t="s">
        <v>5332</v>
      </c>
      <c r="P186" t="s">
        <v>5333</v>
      </c>
      <c r="Q186" t="s">
        <v>5334</v>
      </c>
      <c r="R186" t="s">
        <v>5335</v>
      </c>
      <c r="S186" t="s">
        <v>5336</v>
      </c>
      <c r="T186">
        <v>7.3266999999999998</v>
      </c>
      <c r="U186">
        <v>3.2662</v>
      </c>
      <c r="V186">
        <v>965</v>
      </c>
      <c r="W186">
        <v>4362</v>
      </c>
      <c r="X186">
        <v>10</v>
      </c>
      <c r="Y186" t="b">
        <v>0</v>
      </c>
      <c r="Z186" t="b">
        <v>0</v>
      </c>
      <c r="AA186" t="s">
        <v>281</v>
      </c>
      <c r="AB186">
        <f>COUNTIF(OWNED[bgg_id],library_data[[#This Row],[bgg_id]])</f>
        <v>1</v>
      </c>
    </row>
    <row r="187" spans="1:28" x14ac:dyDescent="0.25">
      <c r="A187">
        <v>186</v>
      </c>
      <c r="B187" t="s">
        <v>5313</v>
      </c>
      <c r="C187" t="s">
        <v>5337</v>
      </c>
      <c r="D187">
        <v>1946</v>
      </c>
      <c r="E187">
        <v>2</v>
      </c>
      <c r="F187">
        <v>2</v>
      </c>
      <c r="G187">
        <v>45</v>
      </c>
      <c r="H187">
        <v>45</v>
      </c>
      <c r="I187" t="s">
        <v>5338</v>
      </c>
      <c r="J187" t="s">
        <v>5316</v>
      </c>
      <c r="K187" t="s">
        <v>5339</v>
      </c>
      <c r="L187">
        <v>1917</v>
      </c>
      <c r="M187" t="s">
        <v>5340</v>
      </c>
      <c r="N187" t="s">
        <v>2471</v>
      </c>
      <c r="O187" t="s">
        <v>5341</v>
      </c>
      <c r="P187" t="s">
        <v>5342</v>
      </c>
      <c r="Q187" t="s">
        <v>5343</v>
      </c>
      <c r="R187" t="s">
        <v>5344</v>
      </c>
      <c r="S187" t="s">
        <v>5345</v>
      </c>
      <c r="T187">
        <v>6.1547999999999998</v>
      </c>
      <c r="U187">
        <v>1.8442000000000001</v>
      </c>
      <c r="V187">
        <v>3044</v>
      </c>
      <c r="W187">
        <v>17150</v>
      </c>
      <c r="X187">
        <v>8</v>
      </c>
      <c r="Y187" t="b">
        <v>0</v>
      </c>
      <c r="Z187" t="b">
        <v>0</v>
      </c>
      <c r="AA187" t="s">
        <v>177</v>
      </c>
      <c r="AB187">
        <f>COUNTIF(OWNED[bgg_id],library_data[[#This Row],[bgg_id]])</f>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67749-58B1-4719-878F-049E3FDEEA19}">
  <dimension ref="A1:G270"/>
  <sheetViews>
    <sheetView workbookViewId="0">
      <selection activeCell="D15" sqref="D15"/>
    </sheetView>
  </sheetViews>
  <sheetFormatPr defaultRowHeight="15" x14ac:dyDescent="0.25"/>
  <cols>
    <col min="1" max="1" width="9.7109375" bestFit="1" customWidth="1"/>
    <col min="2" max="2" width="37.28515625" customWidth="1"/>
    <col min="3" max="5" width="25.140625" customWidth="1"/>
    <col min="6" max="6" width="67.85546875" bestFit="1" customWidth="1"/>
  </cols>
  <sheetData>
    <row r="1" spans="1:7" x14ac:dyDescent="0.25">
      <c r="A1" t="s">
        <v>44</v>
      </c>
      <c r="B1" t="s">
        <v>129</v>
      </c>
      <c r="C1" t="s">
        <v>214</v>
      </c>
      <c r="D1" t="s">
        <v>4022</v>
      </c>
      <c r="E1" t="s">
        <v>4023</v>
      </c>
      <c r="F1" t="s">
        <v>0</v>
      </c>
      <c r="G1" t="s">
        <v>4021</v>
      </c>
    </row>
    <row r="2" spans="1:7" x14ac:dyDescent="0.25">
      <c r="A2">
        <v>135779</v>
      </c>
      <c r="B2" t="s">
        <v>455</v>
      </c>
      <c r="D2">
        <v>54.99</v>
      </c>
      <c r="E2" t="s">
        <v>4024</v>
      </c>
      <c r="F2" t="str">
        <f>IFERROR(_xlfn.XLOOKUP(STOREURL[[#This Row],[BGG ID]],bgg_cache[id],bgg_cache[title]),_xlfn.XLOOKUP(STOREURL[[#This Row],[BGG ID]],manual_bgg!B:B,manual_bgg!D:D))</f>
        <v>A Fake Artist Goes to New York</v>
      </c>
      <c r="G2">
        <f>COUNTIF(BUYLIST10[BGG ID],STOREURL[[#This Row],[BGG ID]])</f>
        <v>1</v>
      </c>
    </row>
    <row r="3" spans="1:7" x14ac:dyDescent="0.25">
      <c r="A3">
        <v>200680</v>
      </c>
      <c r="B3" t="s">
        <v>1846</v>
      </c>
      <c r="E3" t="s">
        <v>4026</v>
      </c>
      <c r="F3" t="str">
        <f>IFERROR(_xlfn.XLOOKUP(STOREURL[[#This Row],[BGG ID]],bgg_cache[id],bgg_cache[title]),_xlfn.XLOOKUP(STOREURL[[#This Row],[BGG ID]],manual_bgg!B:B,manual_bgg!D:D))</f>
        <v>Agricola (Revised Edition)</v>
      </c>
      <c r="G3">
        <f>COUNTIF(BUYLIST10[BGG ID],STOREURL[[#This Row],[BGG ID]])</f>
        <v>0</v>
      </c>
    </row>
    <row r="4" spans="1:7" x14ac:dyDescent="0.25">
      <c r="A4">
        <v>247367</v>
      </c>
      <c r="B4" t="s">
        <v>2438</v>
      </c>
      <c r="D4">
        <v>44.99</v>
      </c>
      <c r="E4" t="s">
        <v>4025</v>
      </c>
      <c r="F4" t="str">
        <f>IFERROR(_xlfn.XLOOKUP(STOREURL[[#This Row],[BGG ID]],bgg_cache[id],bgg_cache[title]),_xlfn.XLOOKUP(STOREURL[[#This Row],[BGG ID]],manual_bgg!B:B,manual_bgg!D:D))</f>
        <v>Air, Land, &amp; Sea</v>
      </c>
      <c r="G4">
        <f>COUNTIF(BUYLIST10[BGG ID],STOREURL[[#This Row],[BGG ID]])</f>
        <v>0</v>
      </c>
    </row>
    <row r="5" spans="1:7" x14ac:dyDescent="0.25">
      <c r="A5">
        <v>185343</v>
      </c>
      <c r="B5" t="s">
        <v>2460</v>
      </c>
      <c r="E5" t="s">
        <v>4026</v>
      </c>
      <c r="F5" t="str">
        <f>IFERROR(_xlfn.XLOOKUP(STOREURL[[#This Row],[BGG ID]],bgg_cache[id],bgg_cache[title]),_xlfn.XLOOKUP(STOREURL[[#This Row],[BGG ID]],manual_bgg!B:B,manual_bgg!D:D))</f>
        <v>Anachrony</v>
      </c>
      <c r="G5">
        <f>COUNTIF(BUYLIST10[BGG ID],STOREURL[[#This Row],[BGG ID]])</f>
        <v>0</v>
      </c>
    </row>
    <row r="6" spans="1:7" x14ac:dyDescent="0.25">
      <c r="A6">
        <v>342942</v>
      </c>
      <c r="B6" t="s">
        <v>301</v>
      </c>
      <c r="C6" t="s">
        <v>708</v>
      </c>
      <c r="D6">
        <v>164.99</v>
      </c>
      <c r="E6" t="s">
        <v>4024</v>
      </c>
      <c r="F6" t="str">
        <f>IFERROR(_xlfn.XLOOKUP(STOREURL[[#This Row],[BGG ID]],bgg_cache[id],bgg_cache[title]),_xlfn.XLOOKUP(STOREURL[[#This Row],[BGG ID]],manual_bgg!B:B,manual_bgg!D:D))</f>
        <v>Ark Nova</v>
      </c>
      <c r="G6">
        <f>COUNTIF(BUYLIST10[BGG ID],STOREURL[[#This Row],[BGG ID]])</f>
        <v>1</v>
      </c>
    </row>
    <row r="7" spans="1:7" x14ac:dyDescent="0.25">
      <c r="A7">
        <v>248490</v>
      </c>
      <c r="B7" t="s">
        <v>2450</v>
      </c>
      <c r="E7" t="s">
        <v>4026</v>
      </c>
      <c r="F7" t="str">
        <f>IFERROR(_xlfn.XLOOKUP(STOREURL[[#This Row],[BGG ID]],bgg_cache[id],bgg_cache[title]),_xlfn.XLOOKUP(STOREURL[[#This Row],[BGG ID]],manual_bgg!B:B,manual_bgg!D:D))</f>
        <v>Atlantis Rising (Second Edition)</v>
      </c>
      <c r="G7">
        <f>COUNTIF(BUYLIST10[BGG ID],STOREURL[[#This Row],[BGG ID]])</f>
        <v>0</v>
      </c>
    </row>
    <row r="8" spans="1:7" x14ac:dyDescent="0.25">
      <c r="A8">
        <v>494</v>
      </c>
      <c r="B8" t="s">
        <v>2440</v>
      </c>
      <c r="E8" t="s">
        <v>4026</v>
      </c>
      <c r="F8" t="str">
        <f>IFERROR(_xlfn.XLOOKUP(STOREURL[[#This Row],[BGG ID]],bgg_cache[id],bgg_cache[title]),_xlfn.XLOOKUP(STOREURL[[#This Row],[BGG ID]],manual_bgg!B:B,manual_bgg!D:D))</f>
        <v>Ave Caesar</v>
      </c>
      <c r="G8">
        <f>COUNTIF(BUYLIST10[BGG ID],STOREURL[[#This Row],[BGG ID]])</f>
        <v>0</v>
      </c>
    </row>
    <row r="9" spans="1:7" x14ac:dyDescent="0.25">
      <c r="A9">
        <v>251247</v>
      </c>
      <c r="B9" t="s">
        <v>2426</v>
      </c>
      <c r="D9">
        <v>234.99</v>
      </c>
      <c r="E9" t="s">
        <v>4025</v>
      </c>
      <c r="F9" t="str">
        <f>IFERROR(_xlfn.XLOOKUP(STOREURL[[#This Row],[BGG ID]],bgg_cache[id],bgg_cache[title]),_xlfn.XLOOKUP(STOREURL[[#This Row],[BGG ID]],manual_bgg!B:B,manual_bgg!D:D))</f>
        <v>Barrage</v>
      </c>
      <c r="G9">
        <f>COUNTIF(BUYLIST10[BGG ID],STOREURL[[#This Row],[BGG ID]])</f>
        <v>1</v>
      </c>
    </row>
    <row r="10" spans="1:7" x14ac:dyDescent="0.25">
      <c r="A10">
        <v>317985</v>
      </c>
      <c r="B10" t="s">
        <v>2423</v>
      </c>
      <c r="D10">
        <v>189.99</v>
      </c>
      <c r="E10" t="s">
        <v>4024</v>
      </c>
      <c r="F10" t="str">
        <f>IFERROR(_xlfn.XLOOKUP(STOREURL[[#This Row],[BGG ID]],bgg_cache[id],bgg_cache[title]),_xlfn.XLOOKUP(STOREURL[[#This Row],[BGG ID]],manual_bgg!B:B,manual_bgg!D:D))</f>
        <v>Beyond the Sun</v>
      </c>
      <c r="G10">
        <f>COUNTIF(BUYLIST10[BGG ID],STOREURL[[#This Row],[BGG ID]])</f>
        <v>1</v>
      </c>
    </row>
    <row r="11" spans="1:7" x14ac:dyDescent="0.25">
      <c r="A11">
        <v>240980</v>
      </c>
      <c r="B11" t="s">
        <v>306</v>
      </c>
      <c r="C11" t="s">
        <v>710</v>
      </c>
      <c r="D11">
        <v>319.99</v>
      </c>
      <c r="E11" t="s">
        <v>4027</v>
      </c>
      <c r="F11" t="str">
        <f>IFERROR(_xlfn.XLOOKUP(STOREURL[[#This Row],[BGG ID]],bgg_cache[id],bgg_cache[title]),_xlfn.XLOOKUP(STOREURL[[#This Row],[BGG ID]],manual_bgg!B:B,manual_bgg!D:D))</f>
        <v>Blood on the Clocktower</v>
      </c>
      <c r="G11">
        <f>COUNTIF(BUYLIST10[BGG ID],STOREURL[[#This Row],[BGG ID]])</f>
        <v>1</v>
      </c>
    </row>
    <row r="12" spans="1:7" x14ac:dyDescent="0.25">
      <c r="A12">
        <v>224517</v>
      </c>
      <c r="B12" t="s">
        <v>300</v>
      </c>
      <c r="C12" t="s">
        <v>711</v>
      </c>
      <c r="D12">
        <v>179.99</v>
      </c>
      <c r="E12" t="s">
        <v>4024</v>
      </c>
      <c r="F12" t="str">
        <f>IFERROR(_xlfn.XLOOKUP(STOREURL[[#This Row],[BGG ID]],bgg_cache[id],bgg_cache[title]),_xlfn.XLOOKUP(STOREURL[[#This Row],[BGG ID]],manual_bgg!B:B,manual_bgg!D:D))</f>
        <v>Brass: Birmingham</v>
      </c>
      <c r="G12">
        <f>COUNTIF(BUYLIST10[BGG ID],STOREURL[[#This Row],[BGG ID]])</f>
        <v>1</v>
      </c>
    </row>
    <row r="13" spans="1:7" x14ac:dyDescent="0.25">
      <c r="A13">
        <v>310873</v>
      </c>
      <c r="B13" t="s">
        <v>2427</v>
      </c>
      <c r="D13">
        <v>154.99</v>
      </c>
      <c r="E13" t="s">
        <v>4025</v>
      </c>
      <c r="F13" t="str">
        <f>IFERROR(_xlfn.XLOOKUP(STOREURL[[#This Row],[BGG ID]],bgg_cache[id],bgg_cache[title]),_xlfn.XLOOKUP(STOREURL[[#This Row],[BGG ID]],manual_bgg!B:B,manual_bgg!D:D))</f>
        <v>Carnegie</v>
      </c>
      <c r="G13">
        <f>COUNTIF(BUYLIST10[BGG ID],STOREURL[[#This Row],[BGG ID]])</f>
        <v>1</v>
      </c>
    </row>
    <row r="14" spans="1:7" x14ac:dyDescent="0.25">
      <c r="A14">
        <v>345972</v>
      </c>
      <c r="B14" t="s">
        <v>131</v>
      </c>
      <c r="D14">
        <v>69.989999999999995</v>
      </c>
      <c r="E14" t="s">
        <v>4027</v>
      </c>
      <c r="F14" t="str">
        <f>IFERROR(_xlfn.XLOOKUP(STOREURL[[#This Row],[BGG ID]],bgg_cache[id],bgg_cache[title]),_xlfn.XLOOKUP(STOREURL[[#This Row],[BGG ID]],manual_bgg!B:B,manual_bgg!D:D))</f>
        <v>Cat in the Box: Deluxe Edition</v>
      </c>
      <c r="G14">
        <f>COUNTIF(BUYLIST10[BGG ID],STOREURL[[#This Row],[BGG ID]])</f>
        <v>1</v>
      </c>
    </row>
    <row r="15" spans="1:7" x14ac:dyDescent="0.25">
      <c r="A15">
        <v>192092</v>
      </c>
      <c r="B15" t="s">
        <v>2468</v>
      </c>
      <c r="E15" t="s">
        <v>4026</v>
      </c>
      <c r="F15" t="str">
        <f>IFERROR(_xlfn.XLOOKUP(STOREURL[[#This Row],[BGG ID]],bgg_cache[id],bgg_cache[title]),_xlfn.XLOOKUP(STOREURL[[#This Row],[BGG ID]],manual_bgg!B:B,manual_bgg!D:D))</f>
        <v>Catch Phrase</v>
      </c>
      <c r="G15">
        <f>COUNTIF(BUYLIST10[BGG ID],STOREURL[[#This Row],[BGG ID]])</f>
        <v>0</v>
      </c>
    </row>
    <row r="16" spans="1:7" x14ac:dyDescent="0.25">
      <c r="A16">
        <v>47</v>
      </c>
      <c r="B16" t="s">
        <v>2421</v>
      </c>
      <c r="E16" t="s">
        <v>4026</v>
      </c>
      <c r="F16" t="str">
        <f>IFERROR(_xlfn.XLOOKUP(STOREURL[[#This Row],[BGG ID]],bgg_cache[id],bgg_cache[title]),_xlfn.XLOOKUP(STOREURL[[#This Row],[BGG ID]],manual_bgg!B:B,manual_bgg!D:D))</f>
        <v>Chinatown</v>
      </c>
      <c r="G16">
        <f>COUNTIF(BUYLIST10[BGG ID],STOREURL[[#This Row],[BGG ID]])</f>
        <v>0</v>
      </c>
    </row>
    <row r="17" spans="1:7" x14ac:dyDescent="0.25">
      <c r="A17">
        <v>201808</v>
      </c>
      <c r="B17" t="s">
        <v>307</v>
      </c>
      <c r="C17" t="s">
        <v>712</v>
      </c>
      <c r="D17">
        <v>134.99</v>
      </c>
      <c r="E17" t="s">
        <v>4024</v>
      </c>
      <c r="F17" t="str">
        <f>IFERROR(_xlfn.XLOOKUP(STOREURL[[#This Row],[BGG ID]],bgg_cache[id],bgg_cache[title]),_xlfn.XLOOKUP(STOREURL[[#This Row],[BGG ID]],manual_bgg!B:B,manual_bgg!D:D))</f>
        <v>Clank!: A Deck-Building Adventure</v>
      </c>
      <c r="G17">
        <f>COUNTIF(BUYLIST10[BGG ID],STOREURL[[#This Row],[BGG ID]])</f>
        <v>1</v>
      </c>
    </row>
    <row r="18" spans="1:7" x14ac:dyDescent="0.25">
      <c r="A18">
        <v>272739</v>
      </c>
      <c r="B18" t="s">
        <v>2459</v>
      </c>
      <c r="D18">
        <v>184.99</v>
      </c>
      <c r="E18" t="s">
        <v>4024</v>
      </c>
      <c r="F18" t="str">
        <f>IFERROR(_xlfn.XLOOKUP(STOREURL[[#This Row],[BGG ID]],bgg_cache[id],bgg_cache[title]),_xlfn.XLOOKUP(STOREURL[[#This Row],[BGG ID]],manual_bgg!B:B,manual_bgg!D:D))</f>
        <v>Clinic: Deluxe Edition</v>
      </c>
      <c r="G18">
        <f>COUNTIF(BUYLIST10[BGG ID],STOREURL[[#This Row],[BGG ID]])</f>
        <v>0</v>
      </c>
    </row>
    <row r="19" spans="1:7" x14ac:dyDescent="0.25">
      <c r="A19">
        <v>124361</v>
      </c>
      <c r="B19" t="s">
        <v>1845</v>
      </c>
      <c r="D19">
        <v>144.99</v>
      </c>
      <c r="E19" t="s">
        <v>4024</v>
      </c>
      <c r="F19" t="str">
        <f>IFERROR(_xlfn.XLOOKUP(STOREURL[[#This Row],[BGG ID]],bgg_cache[id],bgg_cache[title]),_xlfn.XLOOKUP(STOREURL[[#This Row],[BGG ID]],manual_bgg!B:B,manual_bgg!D:D))</f>
        <v>Concordia</v>
      </c>
      <c r="G19">
        <f>COUNTIF(BUYLIST10[BGG ID],STOREURL[[#This Row],[BGG ID]])</f>
        <v>1</v>
      </c>
    </row>
    <row r="20" spans="1:7" x14ac:dyDescent="0.25">
      <c r="A20">
        <v>300753</v>
      </c>
      <c r="B20" t="s">
        <v>2441</v>
      </c>
      <c r="E20" t="s">
        <v>4026</v>
      </c>
      <c r="F20" t="str">
        <f>IFERROR(_xlfn.XLOOKUP(STOREURL[[#This Row],[BGG ID]],bgg_cache[id],bgg_cache[title]),_xlfn.XLOOKUP(STOREURL[[#This Row],[BGG ID]],manual_bgg!B:B,manual_bgg!D:D))</f>
        <v>Cross Clues</v>
      </c>
      <c r="G20">
        <f>COUNTIF(BUYLIST10[BGG ID],STOREURL[[#This Row],[BGG ID]])</f>
        <v>0</v>
      </c>
    </row>
    <row r="21" spans="1:7" x14ac:dyDescent="0.25">
      <c r="A21">
        <v>322289</v>
      </c>
      <c r="B21" t="s">
        <v>2429</v>
      </c>
      <c r="D21">
        <v>134.99</v>
      </c>
      <c r="E21" t="s">
        <v>4024</v>
      </c>
      <c r="F21" t="str">
        <f>IFERROR(_xlfn.XLOOKUP(STOREURL[[#This Row],[BGG ID]],bgg_cache[id],bgg_cache[title]),_xlfn.XLOOKUP(STOREURL[[#This Row],[BGG ID]],manual_bgg!B:B,manual_bgg!D:D))</f>
        <v>Darwin's Journey</v>
      </c>
      <c r="G21">
        <f>COUNTIF(BUYLIST10[BGG ID],STOREURL[[#This Row],[BGG ID]])</f>
        <v>0</v>
      </c>
    </row>
    <row r="22" spans="1:7" x14ac:dyDescent="0.25">
      <c r="A22">
        <v>156129</v>
      </c>
      <c r="B22" t="s">
        <v>239</v>
      </c>
      <c r="E22" t="s">
        <v>4026</v>
      </c>
      <c r="F22" t="str">
        <f>IFERROR(_xlfn.XLOOKUP(STOREURL[[#This Row],[BGG ID]],bgg_cache[id],bgg_cache[title]),_xlfn.XLOOKUP(STOREURL[[#This Row],[BGG ID]],manual_bgg!B:B,manual_bgg!D:D))</f>
        <v>Deception: Murder in Hong Kong</v>
      </c>
      <c r="G22">
        <f>COUNTIF(BUYLIST10[BGG ID],STOREURL[[#This Row],[BGG ID]])</f>
        <v>0</v>
      </c>
    </row>
    <row r="23" spans="1:7" x14ac:dyDescent="0.25">
      <c r="A23">
        <v>169654</v>
      </c>
      <c r="B23" t="s">
        <v>2436</v>
      </c>
      <c r="D23">
        <v>54.99</v>
      </c>
      <c r="E23" t="s">
        <v>4025</v>
      </c>
      <c r="F23" t="str">
        <f>IFERROR(_xlfn.XLOOKUP(STOREURL[[#This Row],[BGG ID]],bgg_cache[id],bgg_cache[title]),_xlfn.XLOOKUP(STOREURL[[#This Row],[BGG ID]],manual_bgg!B:B,manual_bgg!D:D))</f>
        <v>Deep Sea Adventure</v>
      </c>
      <c r="G23">
        <f>COUNTIF(BUYLIST10[BGG ID],STOREURL[[#This Row],[BGG ID]])</f>
        <v>0</v>
      </c>
    </row>
    <row r="24" spans="1:7" x14ac:dyDescent="0.25">
      <c r="A24">
        <v>170587</v>
      </c>
      <c r="B24" t="s">
        <v>2419</v>
      </c>
      <c r="D24">
        <v>44.99</v>
      </c>
      <c r="E24" t="s">
        <v>4024</v>
      </c>
      <c r="F24" t="str">
        <f>IFERROR(_xlfn.XLOOKUP(STOREURL[[#This Row],[BGG ID]],bgg_cache[id],bgg_cache[title]),_xlfn.XLOOKUP(STOREURL[[#This Row],[BGG ID]],manual_bgg!B:B,manual_bgg!D:D))</f>
        <v>Don't Mess with Cthulhu</v>
      </c>
      <c r="G24">
        <f>COUNTIF(BUYLIST10[BGG ID],STOREURL[[#This Row],[BGG ID]])</f>
        <v>0</v>
      </c>
    </row>
    <row r="25" spans="1:7" x14ac:dyDescent="0.25">
      <c r="A25">
        <v>264055</v>
      </c>
      <c r="B25" t="s">
        <v>134</v>
      </c>
      <c r="D25">
        <v>49.99</v>
      </c>
      <c r="E25" t="s">
        <v>4024</v>
      </c>
      <c r="F25" t="str">
        <f>IFERROR(_xlfn.XLOOKUP(STOREURL[[#This Row],[BGG ID]],bgg_cache[id],bgg_cache[title]),_xlfn.XLOOKUP(STOREURL[[#This Row],[BGG ID]],manual_bgg!B:B,manual_bgg!D:D))</f>
        <v>Draftosaurus</v>
      </c>
      <c r="G25">
        <f>COUNTIF(BUYLIST10[BGG ID],STOREURL[[#This Row],[BGG ID]])</f>
        <v>1</v>
      </c>
    </row>
    <row r="26" spans="1:7" x14ac:dyDescent="0.25">
      <c r="A26">
        <v>397598</v>
      </c>
      <c r="B26" t="s">
        <v>4009</v>
      </c>
      <c r="C26" t="s">
        <v>715</v>
      </c>
      <c r="D26">
        <v>134.99</v>
      </c>
      <c r="E26" t="s">
        <v>4024</v>
      </c>
      <c r="F26" t="str">
        <f>IFERROR(_xlfn.XLOOKUP(STOREURL[[#This Row],[BGG ID]],bgg_cache[id],bgg_cache[title]),_xlfn.XLOOKUP(STOREURL[[#This Row],[BGG ID]],manual_bgg!B:B,manual_bgg!D:D))</f>
        <v>Dune: Imperium – Uprising</v>
      </c>
      <c r="G26">
        <f>COUNTIF(BUYLIST10[BGG ID],STOREURL[[#This Row],[BGG ID]])</f>
        <v>1</v>
      </c>
    </row>
    <row r="27" spans="1:7" x14ac:dyDescent="0.25">
      <c r="A27">
        <v>357028</v>
      </c>
      <c r="B27" t="s">
        <v>458</v>
      </c>
      <c r="D27">
        <v>104.99</v>
      </c>
      <c r="E27" t="s">
        <v>4025</v>
      </c>
      <c r="F27" t="str">
        <f>IFERROR(_xlfn.XLOOKUP(STOREURL[[#This Row],[BGG ID]],bgg_cache[id],bgg_cache[title]),_xlfn.XLOOKUP(STOREURL[[#This Row],[BGG ID]],manual_bgg!B:B,manual_bgg!D:D))</f>
        <v>Dungeon Fighter: Second Edition</v>
      </c>
      <c r="G27">
        <f>COUNTIF(BUYLIST10[BGG ID],STOREURL[[#This Row],[BGG ID]])</f>
        <v>0</v>
      </c>
    </row>
    <row r="28" spans="1:7" x14ac:dyDescent="0.25">
      <c r="A28">
        <v>260300</v>
      </c>
      <c r="B28" t="s">
        <v>2444</v>
      </c>
      <c r="D28">
        <v>23.99</v>
      </c>
      <c r="E28" t="s">
        <v>4025</v>
      </c>
      <c r="F28" t="str">
        <f>IFERROR(_xlfn.XLOOKUP(STOREURL[[#This Row],[BGG ID]],bgg_cache[id],bgg_cache[title]),_xlfn.XLOOKUP(STOREURL[[#This Row],[BGG ID]],manual_bgg!B:B,manual_bgg!D:D))</f>
        <v>Dungeon Mayhem</v>
      </c>
      <c r="G28">
        <f>COUNTIF(BUYLIST10[BGG ID],STOREURL[[#This Row],[BGG ID]])</f>
        <v>0</v>
      </c>
    </row>
    <row r="29" spans="1:7" x14ac:dyDescent="0.25">
      <c r="A29">
        <v>181329</v>
      </c>
      <c r="B29" t="s">
        <v>2462</v>
      </c>
      <c r="E29" t="s">
        <v>4026</v>
      </c>
      <c r="F29" t="str">
        <f>IFERROR(_xlfn.XLOOKUP(STOREURL[[#This Row],[BGG ID]],bgg_cache[id],bgg_cache[title]),_xlfn.XLOOKUP(STOREURL[[#This Row],[BGG ID]],manual_bgg!B:B,manual_bgg!D:D))</f>
        <v>Duos</v>
      </c>
      <c r="G29">
        <f>COUNTIF(BUYLIST10[BGG ID],STOREURL[[#This Row],[BGG ID]])</f>
        <v>0</v>
      </c>
    </row>
    <row r="30" spans="1:7" x14ac:dyDescent="0.25">
      <c r="A30">
        <v>350184</v>
      </c>
      <c r="B30" t="s">
        <v>143</v>
      </c>
      <c r="C30" t="s">
        <v>716</v>
      </c>
      <c r="D30">
        <v>114.99</v>
      </c>
      <c r="E30" t="s">
        <v>4024</v>
      </c>
      <c r="F30" t="str">
        <f>IFERROR(_xlfn.XLOOKUP(STOREURL[[#This Row],[BGG ID]],bgg_cache[id],bgg_cache[title]),_xlfn.XLOOKUP(STOREURL[[#This Row],[BGG ID]],manual_bgg!B:B,manual_bgg!D:D))</f>
        <v>Earth</v>
      </c>
      <c r="G30">
        <f>COUNTIF(BUYLIST10[BGG ID],STOREURL[[#This Row],[BGG ID]])</f>
        <v>0</v>
      </c>
    </row>
    <row r="31" spans="1:7" x14ac:dyDescent="0.25">
      <c r="A31">
        <v>199792</v>
      </c>
      <c r="B31" t="s">
        <v>303</v>
      </c>
      <c r="C31" t="s">
        <v>717</v>
      </c>
      <c r="D31">
        <v>159.99</v>
      </c>
      <c r="E31" t="s">
        <v>4024</v>
      </c>
      <c r="F31" t="str">
        <f>IFERROR(_xlfn.XLOOKUP(STOREURL[[#This Row],[BGG ID]],bgg_cache[id],bgg_cache[title]),_xlfn.XLOOKUP(STOREURL[[#This Row],[BGG ID]],manual_bgg!B:B,manual_bgg!D:D))</f>
        <v>Everdell</v>
      </c>
      <c r="G31">
        <f>COUNTIF(BUYLIST10[BGG ID],STOREURL[[#This Row],[BGG ID]])</f>
        <v>1</v>
      </c>
    </row>
    <row r="32" spans="1:7" x14ac:dyDescent="0.25">
      <c r="A32">
        <v>175914</v>
      </c>
      <c r="B32" t="s">
        <v>2461</v>
      </c>
      <c r="D32">
        <v>334.99</v>
      </c>
      <c r="E32" t="s">
        <v>4027</v>
      </c>
      <c r="F32" t="str">
        <f>IFERROR(_xlfn.XLOOKUP(STOREURL[[#This Row],[BGG ID]],bgg_cache[id],bgg_cache[title]),_xlfn.XLOOKUP(STOREURL[[#This Row],[BGG ID]],manual_bgg!B:B,manual_bgg!D:D))</f>
        <v>Food Chain Magnate</v>
      </c>
      <c r="G32">
        <f>COUNTIF(BUYLIST10[BGG ID],STOREURL[[#This Row],[BGG ID]])</f>
        <v>0</v>
      </c>
    </row>
    <row r="33" spans="1:7" x14ac:dyDescent="0.25">
      <c r="A33">
        <v>302723</v>
      </c>
      <c r="B33" t="s">
        <v>2442</v>
      </c>
      <c r="D33">
        <v>124.99</v>
      </c>
      <c r="E33" t="s">
        <v>4024</v>
      </c>
      <c r="F33" t="str">
        <f>IFERROR(_xlfn.XLOOKUP(STOREURL[[#This Row],[BGG ID]],bgg_cache[id],bgg_cache[title]),_xlfn.XLOOKUP(STOREURL[[#This Row],[BGG ID]],manual_bgg!B:B,manual_bgg!D:D))</f>
        <v>Forgotten Waters</v>
      </c>
      <c r="G33">
        <f>COUNTIF(BUYLIST10[BGG ID],STOREURL[[#This Row],[BGG ID]])</f>
        <v>0</v>
      </c>
    </row>
    <row r="34" spans="1:7" x14ac:dyDescent="0.25">
      <c r="A34">
        <v>370164</v>
      </c>
      <c r="B34" t="s">
        <v>430</v>
      </c>
      <c r="E34" t="s">
        <v>4026</v>
      </c>
      <c r="F34" t="str">
        <f>IFERROR(_xlfn.XLOOKUP(STOREURL[[#This Row],[BGG ID]],bgg_cache[id],bgg_cache[title]),_xlfn.XLOOKUP(STOREURL[[#This Row],[BGG ID]],manual_bgg!B:B,manual_bgg!D:D))</f>
        <v>Fun Facts</v>
      </c>
      <c r="G34">
        <f>COUNTIF(BUYLIST10[BGG ID],STOREURL[[#This Row],[BGG ID]])</f>
        <v>0</v>
      </c>
    </row>
    <row r="35" spans="1:7" x14ac:dyDescent="0.25">
      <c r="A35">
        <v>341169</v>
      </c>
      <c r="B35" t="s">
        <v>2425</v>
      </c>
      <c r="E35" t="s">
        <v>4026</v>
      </c>
      <c r="F35" t="str">
        <f>IFERROR(_xlfn.XLOOKUP(STOREURL[[#This Row],[BGG ID]],bgg_cache[id],bgg_cache[title]),_xlfn.XLOOKUP(STOREURL[[#This Row],[BGG ID]],manual_bgg!B:B,manual_bgg!D:D))</f>
        <v>Great Western Trail: Second Edition</v>
      </c>
      <c r="G35">
        <f>COUNTIF(BUYLIST10[BGG ID],STOREURL[[#This Row],[BGG ID]])</f>
        <v>0</v>
      </c>
    </row>
    <row r="36" spans="1:7" x14ac:dyDescent="0.25">
      <c r="A36">
        <v>347805</v>
      </c>
      <c r="B36" t="s">
        <v>139</v>
      </c>
      <c r="D36">
        <v>69.989999999999995</v>
      </c>
      <c r="E36" t="s">
        <v>4027</v>
      </c>
      <c r="F36" t="str">
        <f>IFERROR(_xlfn.XLOOKUP(STOREURL[[#This Row],[BGG ID]],bgg_cache[id],bgg_cache[title]),_xlfn.XLOOKUP(STOREURL[[#This Row],[BGG ID]],manual_bgg!B:B,manual_bgg!D:D))</f>
        <v>Green Team Wins</v>
      </c>
      <c r="G36">
        <f>COUNTIF(BUYLIST10[BGG ID],STOREURL[[#This Row],[BGG ID]])</f>
        <v>0</v>
      </c>
    </row>
    <row r="37" spans="1:7" x14ac:dyDescent="0.25">
      <c r="A37">
        <v>194626</v>
      </c>
      <c r="B37" t="s">
        <v>421</v>
      </c>
      <c r="C37" t="s">
        <v>720</v>
      </c>
      <c r="E37" t="s">
        <v>4026</v>
      </c>
      <c r="F37" t="str">
        <f>IFERROR(_xlfn.XLOOKUP(STOREURL[[#This Row],[BGG ID]],bgg_cache[id],bgg_cache[title]),_xlfn.XLOOKUP(STOREURL[[#This Row],[BGG ID]],manual_bgg!B:B,manual_bgg!D:D))</f>
        <v>Happy Salmon</v>
      </c>
      <c r="G37">
        <f>COUNTIF(BUYLIST10[BGG ID],STOREURL[[#This Row],[BGG ID]])</f>
        <v>0</v>
      </c>
    </row>
    <row r="38" spans="1:7" x14ac:dyDescent="0.25">
      <c r="A38">
        <v>321608</v>
      </c>
      <c r="B38" t="s">
        <v>2431</v>
      </c>
      <c r="D38">
        <v>219.99</v>
      </c>
      <c r="E38" t="s">
        <v>4027</v>
      </c>
      <c r="F38" t="str">
        <f>IFERROR(_xlfn.XLOOKUP(STOREURL[[#This Row],[BGG ID]],bgg_cache[id],bgg_cache[title]),_xlfn.XLOOKUP(STOREURL[[#This Row],[BGG ID]],manual_bgg!B:B,manual_bgg!D:D))</f>
        <v>Hegemony: Lead Your Class to Victory</v>
      </c>
      <c r="G38">
        <f>COUNTIF(BUYLIST10[BGG ID],STOREURL[[#This Row],[BGG ID]])</f>
        <v>0</v>
      </c>
    </row>
    <row r="39" spans="1:7" x14ac:dyDescent="0.25">
      <c r="A39">
        <v>220</v>
      </c>
      <c r="B39" t="s">
        <v>2467</v>
      </c>
      <c r="D39">
        <v>35.99</v>
      </c>
      <c r="E39" t="s">
        <v>4025</v>
      </c>
      <c r="F39" t="str">
        <f>IFERROR(_xlfn.XLOOKUP(STOREURL[[#This Row],[BGG ID]],bgg_cache[id],bgg_cache[title]),_xlfn.XLOOKUP(STOREURL[[#This Row],[BGG ID]],manual_bgg!B:B,manual_bgg!D:D))</f>
        <v>High Society</v>
      </c>
      <c r="G39">
        <f>COUNTIF(BUYLIST10[BGG ID],STOREURL[[#This Row],[BGG ID]])</f>
        <v>1</v>
      </c>
    </row>
    <row r="40" spans="1:7" x14ac:dyDescent="0.25">
      <c r="A40">
        <v>177478</v>
      </c>
      <c r="B40" t="s">
        <v>2424</v>
      </c>
      <c r="E40" t="s">
        <v>4026</v>
      </c>
      <c r="F40" t="str">
        <f>IFERROR(_xlfn.XLOOKUP(STOREURL[[#This Row],[BGG ID]],bgg_cache[id],bgg_cache[title]),_xlfn.XLOOKUP(STOREURL[[#This Row],[BGG ID]],manual_bgg!B:B,manual_bgg!D:D))</f>
        <v>IKI</v>
      </c>
      <c r="G40">
        <f>COUNTIF(BUYLIST10[BGG ID],STOREURL[[#This Row],[BGG ID]])</f>
        <v>0</v>
      </c>
    </row>
    <row r="41" spans="1:7" x14ac:dyDescent="0.25">
      <c r="A41">
        <v>206051</v>
      </c>
      <c r="B41" t="s">
        <v>205</v>
      </c>
      <c r="D41">
        <v>54.99</v>
      </c>
      <c r="E41" t="s">
        <v>4024</v>
      </c>
      <c r="F41" t="str">
        <f>IFERROR(_xlfn.XLOOKUP(STOREURL[[#This Row],[BGG ID]],bgg_cache[id],bgg_cache[title]),_xlfn.XLOOKUP(STOREURL[[#This Row],[BGG ID]],manual_bgg!B:B,manual_bgg!D:D))</f>
        <v>Insider</v>
      </c>
      <c r="G41">
        <f>COUNTIF(BUYLIST10[BGG ID],STOREURL[[#This Row],[BGG ID]])</f>
        <v>0</v>
      </c>
    </row>
    <row r="42" spans="1:7" x14ac:dyDescent="0.25">
      <c r="A42">
        <v>336755</v>
      </c>
      <c r="B42" t="s">
        <v>1869</v>
      </c>
      <c r="D42">
        <v>124.99</v>
      </c>
      <c r="E42" t="s">
        <v>4024</v>
      </c>
      <c r="F42" t="str">
        <f>IFERROR(_xlfn.XLOOKUP(STOREURL[[#This Row],[BGG ID]],bgg_cache[id],bgg_cache[title]),_xlfn.XLOOKUP(STOREURL[[#This Row],[BGG ID]],manual_bgg!B:B,manual_bgg!D:D))</f>
        <v>King of Tokyo: Monster Box</v>
      </c>
      <c r="G42">
        <f>COUNTIF(BUYLIST10[BGG ID],STOREURL[[#This Row],[BGG ID]])</f>
        <v>0</v>
      </c>
    </row>
    <row r="43" spans="1:7" x14ac:dyDescent="0.25">
      <c r="A43">
        <v>348096</v>
      </c>
      <c r="B43" t="s">
        <v>232</v>
      </c>
      <c r="C43" t="s">
        <v>721</v>
      </c>
      <c r="D43">
        <v>44.99</v>
      </c>
      <c r="E43" t="s">
        <v>4024</v>
      </c>
      <c r="F43" t="str">
        <f>IFERROR(_xlfn.XLOOKUP(STOREURL[[#This Row],[BGG ID]],bgg_cache[id],bgg_cache[title]),_xlfn.XLOOKUP(STOREURL[[#This Row],[BGG ID]],manual_bgg!B:B,manual_bgg!D:D))</f>
        <v>Kites</v>
      </c>
      <c r="G43">
        <f>COUNTIF(BUYLIST10[BGG ID],STOREURL[[#This Row],[BGG ID]])</f>
        <v>0</v>
      </c>
    </row>
    <row r="44" spans="1:7" x14ac:dyDescent="0.25">
      <c r="A44">
        <v>15364</v>
      </c>
      <c r="B44" t="s">
        <v>2466</v>
      </c>
      <c r="D44">
        <v>169.99</v>
      </c>
      <c r="E44" t="s">
        <v>4024</v>
      </c>
      <c r="F44" t="str">
        <f>IFERROR(_xlfn.XLOOKUP(STOREURL[[#This Row],[BGG ID]],bgg_cache[id],bgg_cache[title]),_xlfn.XLOOKUP(STOREURL[[#This Row],[BGG ID]],manual_bgg!B:B,manual_bgg!D:D))</f>
        <v>Vegas Showdown</v>
      </c>
      <c r="G44">
        <f>COUNTIF(BUYLIST10[BGG ID],STOREURL[[#This Row],[BGG ID]])</f>
        <v>0</v>
      </c>
    </row>
    <row r="45" spans="1:7" x14ac:dyDescent="0.25">
      <c r="A45">
        <v>169147</v>
      </c>
      <c r="B45" t="s">
        <v>2469</v>
      </c>
      <c r="D45">
        <v>84.99</v>
      </c>
      <c r="E45" t="s">
        <v>4025</v>
      </c>
      <c r="F45" t="str">
        <f>IFERROR(_xlfn.XLOOKUP(STOREURL[[#This Row],[BGG ID]],bgg_cache[id],bgg_cache[title]),_xlfn.XLOOKUP(STOREURL[[#This Row],[BGG ID]],manual_bgg!B:B,manual_bgg!D:D))</f>
        <v>Letter Tycoon</v>
      </c>
      <c r="G45">
        <f>COUNTIF(BUYLIST10[BGG ID],STOREURL[[#This Row],[BGG ID]])</f>
        <v>0</v>
      </c>
    </row>
    <row r="46" spans="1:7" x14ac:dyDescent="0.25">
      <c r="A46">
        <v>295374</v>
      </c>
      <c r="B46" t="s">
        <v>456</v>
      </c>
      <c r="F46" t="str">
        <f>IFERROR(_xlfn.XLOOKUP(STOREURL[[#This Row],[BGG ID]],bgg_cache[id],bgg_cache[title]),_xlfn.XLOOKUP(STOREURL[[#This Row],[BGG ID]],manual_bgg!B:B,manual_bgg!D:D))</f>
        <v>Long Shot: The Dice Game</v>
      </c>
      <c r="G46">
        <f>COUNTIF(BUYLIST10[BGG ID],STOREURL[[#This Row],[BGG ID]])</f>
        <v>0</v>
      </c>
    </row>
    <row r="47" spans="1:7" x14ac:dyDescent="0.25">
      <c r="A47">
        <v>110327</v>
      </c>
      <c r="B47" t="s">
        <v>2455</v>
      </c>
      <c r="D47">
        <v>84.99</v>
      </c>
      <c r="E47" t="s">
        <v>4025</v>
      </c>
      <c r="F47" t="str">
        <f>IFERROR(_xlfn.XLOOKUP(STOREURL[[#This Row],[BGG ID]],bgg_cache[id],bgg_cache[title]),_xlfn.XLOOKUP(STOREURL[[#This Row],[BGG ID]],manual_bgg!B:B,manual_bgg!D:D))</f>
        <v>Lords of Waterdeep</v>
      </c>
      <c r="G47">
        <f>COUNTIF(BUYLIST10[BGG ID],STOREURL[[#This Row],[BGG ID]])</f>
        <v>0</v>
      </c>
    </row>
    <row r="48" spans="1:7" x14ac:dyDescent="0.25">
      <c r="A48">
        <v>312484</v>
      </c>
      <c r="B48" t="s">
        <v>140</v>
      </c>
      <c r="C48" t="s">
        <v>722</v>
      </c>
      <c r="D48">
        <v>169.99</v>
      </c>
      <c r="E48" t="s">
        <v>4025</v>
      </c>
      <c r="F48" t="str">
        <f>IFERROR(_xlfn.XLOOKUP(STOREURL[[#This Row],[BGG ID]],bgg_cache[id],bgg_cache[title]),_xlfn.XLOOKUP(STOREURL[[#This Row],[BGG ID]],manual_bgg!B:B,manual_bgg!D:D))</f>
        <v>Lost Ruins of Arnak</v>
      </c>
      <c r="G48">
        <f>COUNTIF(BUYLIST10[BGG ID],STOREURL[[#This Row],[BGG ID]])</f>
        <v>0</v>
      </c>
    </row>
    <row r="49" spans="1:7" x14ac:dyDescent="0.25">
      <c r="A49">
        <v>283948</v>
      </c>
      <c r="B49" t="s">
        <v>2457</v>
      </c>
      <c r="E49" t="s">
        <v>4026</v>
      </c>
      <c r="F49" t="str">
        <f>IFERROR(_xlfn.XLOOKUP(STOREURL[[#This Row],[BGG ID]],bgg_cache[id],bgg_cache[title]),_xlfn.XLOOKUP(STOREURL[[#This Row],[BGG ID]],manual_bgg!B:B,manual_bgg!D:D))</f>
        <v>Marco Polo II: In the Service of the Khan</v>
      </c>
      <c r="G49">
        <f>COUNTIF(BUYLIST10[BGG ID],STOREURL[[#This Row],[BGG ID]])</f>
        <v>0</v>
      </c>
    </row>
    <row r="50" spans="1:7" x14ac:dyDescent="0.25">
      <c r="A50">
        <v>242529</v>
      </c>
      <c r="B50" t="s">
        <v>685</v>
      </c>
      <c r="D50">
        <v>49.99</v>
      </c>
      <c r="E50" t="s">
        <v>4024</v>
      </c>
      <c r="F50" t="str">
        <f>IFERROR(_xlfn.XLOOKUP(STOREURL[[#This Row],[BGG ID]],bgg_cache[id],bgg_cache[title]),_xlfn.XLOOKUP(STOREURL[[#This Row],[BGG ID]],manual_bgg!B:B,manual_bgg!D:D))</f>
        <v>Medium</v>
      </c>
      <c r="G50">
        <f>COUNTIF(BUYLIST10[BGG ID],STOREURL[[#This Row],[BGG ID]])</f>
        <v>0</v>
      </c>
    </row>
    <row r="51" spans="1:7" x14ac:dyDescent="0.25">
      <c r="A51">
        <v>261114</v>
      </c>
      <c r="B51" t="s">
        <v>2465</v>
      </c>
      <c r="E51" t="s">
        <v>4026</v>
      </c>
      <c r="F51" t="str">
        <f>IFERROR(_xlfn.XLOOKUP(STOREURL[[#This Row],[BGG ID]],bgg_cache[id],bgg_cache[title]),_xlfn.XLOOKUP(STOREURL[[#This Row],[BGG ID]],manual_bgg!B:B,manual_bgg!D:D))</f>
        <v>Men at Work</v>
      </c>
      <c r="G51">
        <f>COUNTIF(BUYLIST10[BGG ID],STOREURL[[#This Row],[BGG ID]])</f>
        <v>0</v>
      </c>
    </row>
    <row r="52" spans="1:7" x14ac:dyDescent="0.25">
      <c r="A52">
        <v>156546</v>
      </c>
      <c r="B52" t="s">
        <v>206</v>
      </c>
      <c r="C52" t="s">
        <v>724</v>
      </c>
      <c r="E52" t="s">
        <v>4026</v>
      </c>
      <c r="F52" t="str">
        <f>IFERROR(_xlfn.XLOOKUP(STOREURL[[#This Row],[BGG ID]],bgg_cache[id],bgg_cache[title]),_xlfn.XLOOKUP(STOREURL[[#This Row],[BGG ID]],manual_bgg!B:B,manual_bgg!D:D))</f>
        <v>Monikers</v>
      </c>
      <c r="G52">
        <f>COUNTIF(BUYLIST10[BGG ID],STOREURL[[#This Row],[BGG ID]])</f>
        <v>0</v>
      </c>
    </row>
    <row r="53" spans="1:7" x14ac:dyDescent="0.25">
      <c r="A53">
        <v>226320</v>
      </c>
      <c r="B53" t="s">
        <v>2445</v>
      </c>
      <c r="D53">
        <v>114.99</v>
      </c>
      <c r="E53" t="s">
        <v>4024</v>
      </c>
      <c r="F53" t="str">
        <f>IFERROR(_xlfn.XLOOKUP(STOREURL[[#This Row],[BGG ID]],bgg_cache[id],bgg_cache[title]),_xlfn.XLOOKUP(STOREURL[[#This Row],[BGG ID]],manual_bgg!B:B,manual_bgg!D:D))</f>
        <v>My Little Scythe</v>
      </c>
      <c r="G53">
        <f>COUNTIF(BUYLIST10[BGG ID],STOREURL[[#This Row],[BGG ID]])</f>
        <v>0</v>
      </c>
    </row>
    <row r="54" spans="1:7" x14ac:dyDescent="0.25">
      <c r="A54">
        <v>181304</v>
      </c>
      <c r="B54" t="s">
        <v>2432</v>
      </c>
      <c r="E54" t="s">
        <v>4026</v>
      </c>
      <c r="F54" t="str">
        <f>IFERROR(_xlfn.XLOOKUP(STOREURL[[#This Row],[BGG ID]],bgg_cache[id],bgg_cache[title]),_xlfn.XLOOKUP(STOREURL[[#This Row],[BGG ID]],manual_bgg!B:B,manual_bgg!D:D))</f>
        <v>Mysterium</v>
      </c>
      <c r="G54">
        <f>COUNTIF(BUYLIST10[BGG ID],STOREURL[[#This Row],[BGG ID]])</f>
        <v>1</v>
      </c>
    </row>
    <row r="55" spans="1:7" x14ac:dyDescent="0.25">
      <c r="A55">
        <v>353545</v>
      </c>
      <c r="B55" t="s">
        <v>2437</v>
      </c>
      <c r="E55" t="s">
        <v>4026</v>
      </c>
      <c r="F55" t="str">
        <f>IFERROR(_xlfn.XLOOKUP(STOREURL[[#This Row],[BGG ID]],bgg_cache[id],bgg_cache[title]),_xlfn.XLOOKUP(STOREURL[[#This Row],[BGG ID]],manual_bgg!B:B,manual_bgg!D:D))</f>
        <v>Next Station: London</v>
      </c>
      <c r="G55">
        <f>COUNTIF(BUYLIST10[BGG ID],STOREURL[[#This Row],[BGG ID]])</f>
        <v>0</v>
      </c>
    </row>
    <row r="56" spans="1:7" x14ac:dyDescent="0.25">
      <c r="A56">
        <v>273477</v>
      </c>
      <c r="B56" t="s">
        <v>702</v>
      </c>
      <c r="E56" t="s">
        <v>4026</v>
      </c>
      <c r="F56" t="str">
        <f>IFERROR(_xlfn.XLOOKUP(STOREURL[[#This Row],[BGG ID]],bgg_cache[id],bgg_cache[title]),_xlfn.XLOOKUP(STOREURL[[#This Row],[BGG ID]],manual_bgg!B:B,manual_bgg!D:D))</f>
        <v>Obscurio</v>
      </c>
      <c r="G56">
        <f>COUNTIF(BUYLIST10[BGG ID],STOREURL[[#This Row],[BGG ID]])</f>
        <v>0</v>
      </c>
    </row>
    <row r="57" spans="1:7" x14ac:dyDescent="0.25">
      <c r="A57">
        <v>251412</v>
      </c>
      <c r="B57" t="s">
        <v>2447</v>
      </c>
      <c r="F57" t="str">
        <f>IFERROR(_xlfn.XLOOKUP(STOREURL[[#This Row],[BGG ID]],bgg_cache[id],bgg_cache[title]),_xlfn.XLOOKUP(STOREURL[[#This Row],[BGG ID]],manual_bgg!B:B,manual_bgg!D:D))</f>
        <v>On Tour</v>
      </c>
      <c r="G57">
        <f>COUNTIF(BUYLIST10[BGG ID],STOREURL[[#This Row],[BGG ID]])</f>
        <v>0</v>
      </c>
    </row>
    <row r="58" spans="1:7" x14ac:dyDescent="0.25">
      <c r="A58">
        <v>252526</v>
      </c>
      <c r="B58" t="s">
        <v>426</v>
      </c>
      <c r="D58">
        <v>0</v>
      </c>
      <c r="E58" t="s">
        <v>4024</v>
      </c>
      <c r="F58" t="str">
        <f>IFERROR(_xlfn.XLOOKUP(STOREURL[[#This Row],[BGG ID]],bgg_cache[id],bgg_cache[title]),_xlfn.XLOOKUP(STOREURL[[#This Row],[BGG ID]],manual_bgg!B:B,manual_bgg!D:D))</f>
        <v>Pictomania (Second Edition)</v>
      </c>
      <c r="G58">
        <f>COUNTIF(BUYLIST10[BGG ID],STOREURL[[#This Row],[BGG ID]])</f>
        <v>0</v>
      </c>
    </row>
    <row r="59" spans="1:7" x14ac:dyDescent="0.25">
      <c r="A59">
        <v>258779</v>
      </c>
      <c r="B59" t="s">
        <v>2420</v>
      </c>
      <c r="D59">
        <v>179.99</v>
      </c>
      <c r="E59" t="s">
        <v>4024</v>
      </c>
      <c r="F59" t="str">
        <f>IFERROR(_xlfn.XLOOKUP(STOREURL[[#This Row],[BGG ID]],bgg_cache[id],bgg_cache[title]),_xlfn.XLOOKUP(STOREURL[[#This Row],[BGG ID]],manual_bgg!B:B,manual_bgg!D:D))</f>
        <v>Planet Unknown</v>
      </c>
      <c r="G59">
        <f>COUNTIF(BUYLIST10[BGG ID],STOREURL[[#This Row],[BGG ID]])</f>
        <v>1</v>
      </c>
    </row>
    <row r="60" spans="1:7" x14ac:dyDescent="0.25">
      <c r="A60">
        <v>312786</v>
      </c>
      <c r="B60" t="s">
        <v>2448</v>
      </c>
      <c r="E60" t="s">
        <v>4026</v>
      </c>
      <c r="F60" t="str">
        <f>IFERROR(_xlfn.XLOOKUP(STOREURL[[#This Row],[BGG ID]],bgg_cache[id],bgg_cache[title]),_xlfn.XLOOKUP(STOREURL[[#This Row],[BGG ID]],manual_bgg!B:B,manual_bgg!D:D))</f>
        <v>Poetry for Neanderthals</v>
      </c>
      <c r="G60">
        <f>COUNTIF(BUYLIST10[BGG ID],STOREURL[[#This Row],[BGG ID]])</f>
        <v>0</v>
      </c>
    </row>
    <row r="61" spans="1:7" x14ac:dyDescent="0.25">
      <c r="A61">
        <v>308765</v>
      </c>
      <c r="B61" t="s">
        <v>2458</v>
      </c>
      <c r="D61">
        <v>114.99</v>
      </c>
      <c r="E61" t="s">
        <v>4027</v>
      </c>
      <c r="F61" t="str">
        <f>IFERROR(_xlfn.XLOOKUP(STOREURL[[#This Row],[BGG ID]],bgg_cache[id],bgg_cache[title]),_xlfn.XLOOKUP(STOREURL[[#This Row],[BGG ID]],manual_bgg!B:B,manual_bgg!D:D))</f>
        <v>Praga Caput Regni</v>
      </c>
      <c r="G61">
        <f>COUNTIF(BUYLIST10[BGG ID],STOREURL[[#This Row],[BGG ID]])</f>
        <v>1</v>
      </c>
    </row>
    <row r="62" spans="1:7" x14ac:dyDescent="0.25">
      <c r="A62">
        <v>266830</v>
      </c>
      <c r="B62" t="s">
        <v>453</v>
      </c>
      <c r="E62" t="s">
        <v>4026</v>
      </c>
      <c r="F62" t="str">
        <f>IFERROR(_xlfn.XLOOKUP(STOREURL[[#This Row],[BGG ID]],bgg_cache[id],bgg_cache[title]),_xlfn.XLOOKUP(STOREURL[[#This Row],[BGG ID]],manual_bgg!B:B,manual_bgg!D:D))</f>
        <v>QE</v>
      </c>
      <c r="G62">
        <f>COUNTIF(BUYLIST10[BGG ID],STOREURL[[#This Row],[BGG ID]])</f>
        <v>0</v>
      </c>
    </row>
    <row r="63" spans="1:7" x14ac:dyDescent="0.25">
      <c r="A63">
        <v>244521</v>
      </c>
      <c r="B63" t="s">
        <v>267</v>
      </c>
      <c r="D63">
        <v>139.99</v>
      </c>
      <c r="E63" t="s">
        <v>4024</v>
      </c>
      <c r="F63" t="str">
        <f>IFERROR(_xlfn.XLOOKUP(STOREURL[[#This Row],[BGG ID]],bgg_cache[id],bgg_cache[title]),_xlfn.XLOOKUP(STOREURL[[#This Row],[BGG ID]],manual_bgg!B:B,manual_bgg!D:D))</f>
        <v>Quacks</v>
      </c>
      <c r="G63">
        <f>COUNTIF(BUYLIST10[BGG ID],STOREURL[[#This Row],[BGG ID]])</f>
        <v>1</v>
      </c>
    </row>
    <row r="64" spans="1:7" x14ac:dyDescent="0.25">
      <c r="A64">
        <v>232043</v>
      </c>
      <c r="B64" t="s">
        <v>2453</v>
      </c>
      <c r="E64" t="s">
        <v>4026</v>
      </c>
      <c r="F64" t="str">
        <f>IFERROR(_xlfn.XLOOKUP(STOREURL[[#This Row],[BGG ID]],bgg_cache[id],bgg_cache[title]),_xlfn.XLOOKUP(STOREURL[[#This Row],[BGG ID]],manual_bgg!B:B,manual_bgg!D:D))</f>
        <v>Queendomino</v>
      </c>
      <c r="G64">
        <f>COUNTIF(BUYLIST10[BGG ID],STOREURL[[#This Row],[BGG ID]])</f>
        <v>0</v>
      </c>
    </row>
    <row r="65" spans="1:7" x14ac:dyDescent="0.25">
      <c r="A65">
        <v>329082</v>
      </c>
      <c r="B65" t="s">
        <v>245</v>
      </c>
      <c r="C65" t="s">
        <v>728</v>
      </c>
      <c r="D65">
        <v>49.99</v>
      </c>
      <c r="E65" t="s">
        <v>4025</v>
      </c>
      <c r="F65" t="str">
        <f>IFERROR(_xlfn.XLOOKUP(STOREURL[[#This Row],[BGG ID]],bgg_cache[id],bgg_cache[title]),_xlfn.XLOOKUP(STOREURL[[#This Row],[BGG ID]],manual_bgg!B:B,manual_bgg!D:D))</f>
        <v>Radlands</v>
      </c>
      <c r="G65">
        <f>COUNTIF(BUYLIST10[BGG ID],STOREURL[[#This Row],[BGG ID]])</f>
        <v>0</v>
      </c>
    </row>
    <row r="66" spans="1:7" x14ac:dyDescent="0.25">
      <c r="A66">
        <v>245654</v>
      </c>
      <c r="B66" t="s">
        <v>246</v>
      </c>
      <c r="C66" t="s">
        <v>729</v>
      </c>
      <c r="D66">
        <v>49.99</v>
      </c>
      <c r="E66" t="s">
        <v>4025</v>
      </c>
      <c r="F66" t="str">
        <f>IFERROR(_xlfn.XLOOKUP(STOREURL[[#This Row],[BGG ID]],bgg_cache[id],bgg_cache[title]),_xlfn.XLOOKUP(STOREURL[[#This Row],[BGG ID]],manual_bgg!B:B,manual_bgg!D:D))</f>
        <v>Railroad Ink: Deep Blue Edition</v>
      </c>
      <c r="G66">
        <f>COUNTIF(BUYLIST10[BGG ID],STOREURL[[#This Row],[BGG ID]])</f>
        <v>1</v>
      </c>
    </row>
    <row r="67" spans="1:7" x14ac:dyDescent="0.25">
      <c r="A67">
        <v>332772</v>
      </c>
      <c r="B67" t="s">
        <v>2428</v>
      </c>
      <c r="D67">
        <v>179.99</v>
      </c>
      <c r="E67" t="s">
        <v>4024</v>
      </c>
      <c r="F67" t="str">
        <f>IFERROR(_xlfn.XLOOKUP(STOREURL[[#This Row],[BGG ID]],bgg_cache[id],bgg_cache[title]),_xlfn.XLOOKUP(STOREURL[[#This Row],[BGG ID]],manual_bgg!B:B,manual_bgg!D:D))</f>
        <v>Revive</v>
      </c>
      <c r="G67">
        <f>COUNTIF(BUYLIST10[BGG ID],STOREURL[[#This Row],[BGG ID]])</f>
        <v>0</v>
      </c>
    </row>
    <row r="68" spans="1:7" x14ac:dyDescent="0.25">
      <c r="A68">
        <v>218333</v>
      </c>
      <c r="B68" t="s">
        <v>2454</v>
      </c>
      <c r="D68">
        <v>104.99</v>
      </c>
      <c r="E68" t="s">
        <v>4024</v>
      </c>
      <c r="F68" t="str">
        <f>IFERROR(_xlfn.XLOOKUP(STOREURL[[#This Row],[BGG ID]],bgg_cache[id],bgg_cache[title]),_xlfn.XLOOKUP(STOREURL[[#This Row],[BGG ID]],manual_bgg!B:B,manual_bgg!D:D))</f>
        <v>Rhino Hero: Super Battle</v>
      </c>
      <c r="G68">
        <f>COUNTIF(BUYLIST10[BGG ID],STOREURL[[#This Row],[BGG ID]])</f>
        <v>1</v>
      </c>
    </row>
    <row r="69" spans="1:7" x14ac:dyDescent="0.25">
      <c r="A69">
        <v>305682</v>
      </c>
      <c r="B69" t="s">
        <v>2446</v>
      </c>
      <c r="D69">
        <v>39.99</v>
      </c>
      <c r="E69" t="s">
        <v>4024</v>
      </c>
      <c r="F69" t="str">
        <f>IFERROR(_xlfn.XLOOKUP(STOREURL[[#This Row],[BGG ID]],bgg_cache[id],bgg_cache[title]),_xlfn.XLOOKUP(STOREURL[[#This Row],[BGG ID]],manual_bgg!B:B,manual_bgg!D:D))</f>
        <v>Rolling Realms</v>
      </c>
      <c r="G69">
        <f>COUNTIF(BUYLIST10[BGG ID],STOREURL[[#This Row],[BGG ID]])</f>
        <v>0</v>
      </c>
    </row>
    <row r="70" spans="1:7" x14ac:dyDescent="0.25">
      <c r="A70">
        <v>33604</v>
      </c>
      <c r="B70" t="s">
        <v>422</v>
      </c>
      <c r="E70" t="s">
        <v>4026</v>
      </c>
      <c r="F70" t="str">
        <f>IFERROR(_xlfn.XLOOKUP(STOREURL[[#This Row],[BGG ID]],bgg_cache[id],bgg_cache[title]),_xlfn.XLOOKUP(STOREURL[[#This Row],[BGG ID]],manual_bgg!B:B,manual_bgg!D:D))</f>
        <v>Say Anything</v>
      </c>
      <c r="G70">
        <f>COUNTIF(BUYLIST10[BGG ID],STOREURL[[#This Row],[BGG ID]])</f>
        <v>0</v>
      </c>
    </row>
    <row r="71" spans="1:7" x14ac:dyDescent="0.25">
      <c r="A71">
        <v>291453</v>
      </c>
      <c r="B71" t="s">
        <v>132</v>
      </c>
      <c r="C71" t="s">
        <v>731</v>
      </c>
      <c r="D71">
        <v>54.99</v>
      </c>
      <c r="E71" t="s">
        <v>4024</v>
      </c>
      <c r="F71" t="str">
        <f>IFERROR(_xlfn.XLOOKUP(STOREURL[[#This Row],[BGG ID]],bgg_cache[id],bgg_cache[title]),_xlfn.XLOOKUP(STOREURL[[#This Row],[BGG ID]],manual_bgg!B:B,manual_bgg!D:D))</f>
        <v>SCOUT</v>
      </c>
      <c r="G71">
        <f>COUNTIF(BUYLIST10[BGG ID],STOREURL[[#This Row],[BGG ID]])</f>
        <v>1</v>
      </c>
    </row>
    <row r="72" spans="1:7" x14ac:dyDescent="0.25">
      <c r="A72">
        <v>15062</v>
      </c>
      <c r="B72" t="s">
        <v>2449</v>
      </c>
      <c r="E72" t="s">
        <v>4026</v>
      </c>
      <c r="F72" t="str">
        <f>IFERROR(_xlfn.XLOOKUP(STOREURL[[#This Row],[BGG ID]],bgg_cache[id],bgg_cache[title]),_xlfn.XLOOKUP(STOREURL[[#This Row],[BGG ID]],manual_bgg!B:B,manual_bgg!D:D))</f>
        <v>Shadows over Camelot</v>
      </c>
      <c r="G72">
        <f>COUNTIF(BUYLIST10[BGG ID],STOREURL[[#This Row],[BGG ID]])</f>
        <v>0</v>
      </c>
    </row>
    <row r="73" spans="1:7" x14ac:dyDescent="0.25">
      <c r="A73">
        <v>202426</v>
      </c>
      <c r="B73" t="s">
        <v>2422</v>
      </c>
      <c r="D73">
        <v>154.99</v>
      </c>
      <c r="E73" t="s">
        <v>4025</v>
      </c>
      <c r="F73" t="str">
        <f>IFERROR(_xlfn.XLOOKUP(STOREURL[[#This Row],[BGG ID]],bgg_cache[id],bgg_cache[title]),_xlfn.XLOOKUP(STOREURL[[#This Row],[BGG ID]],manual_bgg!B:B,manual_bgg!D:D))</f>
        <v>Sidereal Confluence</v>
      </c>
      <c r="G73">
        <f>COUNTIF(BUYLIST10[BGG ID],STOREURL[[#This Row],[BGG ID]])</f>
        <v>0</v>
      </c>
    </row>
    <row r="74" spans="1:7" x14ac:dyDescent="0.25">
      <c r="A74">
        <v>270673</v>
      </c>
      <c r="B74" t="s">
        <v>425</v>
      </c>
      <c r="E74" t="s">
        <v>4026</v>
      </c>
      <c r="F74" t="str">
        <f>IFERROR(_xlfn.XLOOKUP(STOREURL[[#This Row],[BGG ID]],bgg_cache[id],bgg_cache[title]),_xlfn.XLOOKUP(STOREURL[[#This Row],[BGG ID]],manual_bgg!B:B,manual_bgg!D:D))</f>
        <v>Silver &amp; Gold</v>
      </c>
      <c r="G74">
        <f>COUNTIF(BUYLIST10[BGG ID],STOREURL[[#This Row],[BGG ID]])</f>
        <v>0</v>
      </c>
    </row>
    <row r="75" spans="1:7" x14ac:dyDescent="0.25">
      <c r="A75">
        <v>268620</v>
      </c>
      <c r="B75" t="s">
        <v>2464</v>
      </c>
      <c r="D75">
        <v>25</v>
      </c>
      <c r="E75" t="s">
        <v>4024</v>
      </c>
      <c r="F75" t="str">
        <f>IFERROR(_xlfn.XLOOKUP(STOREURL[[#This Row],[BGG ID]],bgg_cache[id],bgg_cache[title]),_xlfn.XLOOKUP(STOREURL[[#This Row],[BGG ID]],manual_bgg!B:B,manual_bgg!D:D))</f>
        <v>Similo</v>
      </c>
      <c r="G75">
        <f>COUNTIF(BUYLIST10[BGG ID],STOREURL[[#This Row],[BGG ID]])</f>
        <v>1</v>
      </c>
    </row>
    <row r="76" spans="1:7" x14ac:dyDescent="0.25">
      <c r="A76">
        <v>255984</v>
      </c>
      <c r="B76" t="s">
        <v>696</v>
      </c>
      <c r="D76">
        <v>269.99</v>
      </c>
      <c r="E76" t="s">
        <v>4024</v>
      </c>
      <c r="F76" t="str">
        <f>IFERROR(_xlfn.XLOOKUP(STOREURL[[#This Row],[BGG ID]],bgg_cache[id],bgg_cache[title]),_xlfn.XLOOKUP(STOREURL[[#This Row],[BGG ID]],manual_bgg!B:B,manual_bgg!D:D))</f>
        <v>Sleeping Gods</v>
      </c>
      <c r="G76">
        <f>COUNTIF(BUYLIST10[BGG ID],STOREURL[[#This Row],[BGG ID]])</f>
        <v>1</v>
      </c>
    </row>
    <row r="77" spans="1:7" x14ac:dyDescent="0.25">
      <c r="A77">
        <v>329839</v>
      </c>
      <c r="B77" t="s">
        <v>130</v>
      </c>
      <c r="E77" t="s">
        <v>4026</v>
      </c>
      <c r="F77" t="str">
        <f>IFERROR(_xlfn.XLOOKUP(STOREURL[[#This Row],[BGG ID]],bgg_cache[id],bgg_cache[title]),_xlfn.XLOOKUP(STOREURL[[#This Row],[BGG ID]],manual_bgg!B:B,manual_bgg!D:D))</f>
        <v>So Clover!</v>
      </c>
      <c r="G77">
        <f>COUNTIF(BUYLIST10[BGG ID],STOREURL[[#This Row],[BGG ID]])</f>
        <v>0</v>
      </c>
    </row>
    <row r="78" spans="1:7" x14ac:dyDescent="0.25">
      <c r="A78">
        <v>162886</v>
      </c>
      <c r="B78" t="s">
        <v>144</v>
      </c>
      <c r="C78" t="s">
        <v>733</v>
      </c>
      <c r="D78">
        <v>194.99</v>
      </c>
      <c r="E78" t="s">
        <v>4024</v>
      </c>
      <c r="F78" t="str">
        <f>IFERROR(_xlfn.XLOOKUP(STOREURL[[#This Row],[BGG ID]],bgg_cache[id],bgg_cache[title]),_xlfn.XLOOKUP(STOREURL[[#This Row],[BGG ID]],manual_bgg!B:B,manual_bgg!D:D))</f>
        <v>Spirit Island</v>
      </c>
      <c r="G78">
        <f>COUNTIF(BUYLIST10[BGG ID],STOREURL[[#This Row],[BGG ID]])</f>
        <v>1</v>
      </c>
    </row>
    <row r="79" spans="1:7" x14ac:dyDescent="0.25">
      <c r="A79">
        <v>281258</v>
      </c>
      <c r="B79" t="s">
        <v>2451</v>
      </c>
      <c r="E79" t="s">
        <v>4026</v>
      </c>
      <c r="F79" t="str">
        <f>IFERROR(_xlfn.XLOOKUP(STOREURL[[#This Row],[BGG ID]],bgg_cache[id],bgg_cache[title]),_xlfn.XLOOKUP(STOREURL[[#This Row],[BGG ID]],manual_bgg!B:B,manual_bgg!D:D))</f>
        <v>Sub Terra II: Inferno's Edge</v>
      </c>
      <c r="G79">
        <f>COUNTIF(BUYLIST10[BGG ID],STOREURL[[#This Row],[BGG ID]])</f>
        <v>0</v>
      </c>
    </row>
    <row r="80" spans="1:7" x14ac:dyDescent="0.25">
      <c r="A80">
        <v>332800</v>
      </c>
      <c r="B80" t="s">
        <v>2439</v>
      </c>
      <c r="D80">
        <v>114.99</v>
      </c>
      <c r="E80" t="s">
        <v>4024</v>
      </c>
      <c r="F80" t="str">
        <f>IFERROR(_xlfn.XLOOKUP(STOREURL[[#This Row],[BGG ID]],bgg_cache[id],bgg_cache[title]),_xlfn.XLOOKUP(STOREURL[[#This Row],[BGG ID]],manual_bgg!B:B,manual_bgg!D:D))</f>
        <v>Summoner Wars (Second Edition)</v>
      </c>
      <c r="G80">
        <f>COUNTIF(BUYLIST10[BGG ID],STOREURL[[#This Row],[BGG ID]])</f>
        <v>0</v>
      </c>
    </row>
    <row r="81" spans="1:7" x14ac:dyDescent="0.25">
      <c r="A81">
        <v>275870</v>
      </c>
      <c r="B81" t="s">
        <v>688</v>
      </c>
      <c r="D81">
        <v>44.99</v>
      </c>
      <c r="E81" t="s">
        <v>4025</v>
      </c>
      <c r="F81" t="str">
        <f>IFERROR(_xlfn.XLOOKUP(STOREURL[[#This Row],[BGG ID]],bgg_cache[id],bgg_cache[title]),_xlfn.XLOOKUP(STOREURL[[#This Row],[BGG ID]],manual_bgg!B:B,manual_bgg!D:D))</f>
        <v>TEAM3 GREEN</v>
      </c>
      <c r="G81">
        <f>COUNTIF(BUYLIST10[BGG ID],STOREURL[[#This Row],[BGG ID]])</f>
        <v>0</v>
      </c>
    </row>
    <row r="82" spans="1:7" x14ac:dyDescent="0.25">
      <c r="A82">
        <v>46213</v>
      </c>
      <c r="B82" t="s">
        <v>204</v>
      </c>
      <c r="D82">
        <v>64.989999999999995</v>
      </c>
      <c r="E82" t="s">
        <v>4024</v>
      </c>
      <c r="F82" t="str">
        <f>IFERROR(_xlfn.XLOOKUP(STOREURL[[#This Row],[BGG ID]],bgg_cache[id],bgg_cache[title]),_xlfn.XLOOKUP(STOREURL[[#This Row],[BGG ID]],manual_bgg!B:B,manual_bgg!D:D))</f>
        <v>Telestrations</v>
      </c>
      <c r="G82">
        <f>COUNTIF(BUYLIST10[BGG ID],STOREURL[[#This Row],[BGG ID]])</f>
        <v>1</v>
      </c>
    </row>
    <row r="83" spans="1:7" x14ac:dyDescent="0.25">
      <c r="A83">
        <v>229853</v>
      </c>
      <c r="B83" t="s">
        <v>2456</v>
      </c>
      <c r="D83">
        <v>149.99</v>
      </c>
      <c r="E83" t="s">
        <v>4024</v>
      </c>
      <c r="F83" t="str">
        <f>IFERROR(_xlfn.XLOOKUP(STOREURL[[#This Row],[BGG ID]],bgg_cache[id],bgg_cache[title]),_xlfn.XLOOKUP(STOREURL[[#This Row],[BGG ID]],manual_bgg!B:B,manual_bgg!D:D))</f>
        <v>Teotihuacan: City of Gods</v>
      </c>
      <c r="G83">
        <f>COUNTIF(BUYLIST10[BGG ID],STOREURL[[#This Row],[BGG ID]])</f>
        <v>1</v>
      </c>
    </row>
    <row r="84" spans="1:7" x14ac:dyDescent="0.25">
      <c r="A84">
        <v>227072</v>
      </c>
      <c r="B84" t="s">
        <v>415</v>
      </c>
      <c r="C84" t="s">
        <v>737</v>
      </c>
      <c r="F84" t="str">
        <f>IFERROR(_xlfn.XLOOKUP(STOREURL[[#This Row],[BGG ID]],bgg_cache[id],bgg_cache[title]),_xlfn.XLOOKUP(STOREURL[[#This Row],[BGG ID]],manual_bgg!B:B,manual_bgg!D:D))</f>
        <v>The Chameleon</v>
      </c>
      <c r="G84">
        <f>COUNTIF(BUYLIST10[BGG ID],STOREURL[[#This Row],[BGG ID]])</f>
        <v>0</v>
      </c>
    </row>
    <row r="85" spans="1:7" x14ac:dyDescent="0.25">
      <c r="A85">
        <v>284083</v>
      </c>
      <c r="B85" t="s">
        <v>305</v>
      </c>
      <c r="E85" t="s">
        <v>4026</v>
      </c>
      <c r="F85" t="str">
        <f>IFERROR(_xlfn.XLOOKUP(STOREURL[[#This Row],[BGG ID]],bgg_cache[id],bgg_cache[title]),_xlfn.XLOOKUP(STOREURL[[#This Row],[BGG ID]],manual_bgg!B:B,manual_bgg!D:D))</f>
        <v>The Crew: The Quest for Planet Nine</v>
      </c>
      <c r="G85">
        <f>COUNTIF(BUYLIST10[BGG ID],STOREURL[[#This Row],[BGG ID]])</f>
        <v>0</v>
      </c>
    </row>
    <row r="86" spans="1:7" x14ac:dyDescent="0.25">
      <c r="A86">
        <v>314421</v>
      </c>
      <c r="B86" t="s">
        <v>2435</v>
      </c>
      <c r="E86" t="s">
        <v>4026</v>
      </c>
      <c r="F86" t="str">
        <f>IFERROR(_xlfn.XLOOKUP(STOREURL[[#This Row],[BGG ID]],bgg_cache[id],bgg_cache[title]),_xlfn.XLOOKUP(STOREURL[[#This Row],[BGG ID]],manual_bgg!B:B,manual_bgg!D:D))</f>
        <v>The Fuzzies</v>
      </c>
      <c r="G86">
        <f>COUNTIF(BUYLIST10[BGG ID],STOREURL[[#This Row],[BGG ID]])</f>
        <v>0</v>
      </c>
    </row>
    <row r="87" spans="1:7" x14ac:dyDescent="0.25">
      <c r="A87">
        <v>128882</v>
      </c>
      <c r="B87" t="s">
        <v>414</v>
      </c>
      <c r="C87" t="s">
        <v>730</v>
      </c>
      <c r="D87">
        <v>59.99</v>
      </c>
      <c r="E87" t="s">
        <v>4024</v>
      </c>
      <c r="F87" t="str">
        <f>IFERROR(_xlfn.XLOOKUP(STOREURL[[#This Row],[BGG ID]],bgg_cache[id],bgg_cache[title]),_xlfn.XLOOKUP(STOREURL[[#This Row],[BGG ID]],manual_bgg!B:B,manual_bgg!D:D))</f>
        <v>The Resistance: Avalon</v>
      </c>
      <c r="G87">
        <f>COUNTIF(BUYLIST10[BGG ID],STOREURL[[#This Row],[BGG ID]])</f>
        <v>1</v>
      </c>
    </row>
    <row r="88" spans="1:7" x14ac:dyDescent="0.25">
      <c r="A88">
        <v>279537</v>
      </c>
      <c r="B88" t="s">
        <v>2433</v>
      </c>
      <c r="D88">
        <v>109.99</v>
      </c>
      <c r="E88" t="s">
        <v>4024</v>
      </c>
      <c r="F88" t="str">
        <f>IFERROR(_xlfn.XLOOKUP(STOREURL[[#This Row],[BGG ID]],bgg_cache[id],bgg_cache[title]),_xlfn.XLOOKUP(STOREURL[[#This Row],[BGG ID]],manual_bgg!B:B,manual_bgg!D:D))</f>
        <v>The Search for Planet X</v>
      </c>
      <c r="G88">
        <f>COUNTIF(BUYLIST10[BGG ID],STOREURL[[#This Row],[BGG ID]])</f>
        <v>0</v>
      </c>
    </row>
    <row r="89" spans="1:7" x14ac:dyDescent="0.25">
      <c r="A89">
        <v>351913</v>
      </c>
      <c r="B89" t="s">
        <v>2430</v>
      </c>
      <c r="D89">
        <v>149.99</v>
      </c>
      <c r="E89" t="s">
        <v>4025</v>
      </c>
      <c r="F89" t="str">
        <f>IFERROR(_xlfn.XLOOKUP(STOREURL[[#This Row],[BGG ID]],bgg_cache[id],bgg_cache[title]),_xlfn.XLOOKUP(STOREURL[[#This Row],[BGG ID]],manual_bgg!B:B,manual_bgg!D:D))</f>
        <v>Tiletum</v>
      </c>
      <c r="G89">
        <f>COUNTIF(BUYLIST10[BGG ID],STOREURL[[#This Row],[BGG ID]])</f>
        <v>0</v>
      </c>
    </row>
    <row r="90" spans="1:7" x14ac:dyDescent="0.25">
      <c r="A90">
        <v>173156</v>
      </c>
      <c r="B90" t="s">
        <v>2463</v>
      </c>
      <c r="E90" t="s">
        <v>4026</v>
      </c>
      <c r="F90" t="str">
        <f>IFERROR(_xlfn.XLOOKUP(STOREURL[[#This Row],[BGG ID]],bgg_cache[id],bgg_cache[title]),_xlfn.XLOOKUP(STOREURL[[#This Row],[BGG ID]],manual_bgg!B:B,manual_bgg!D:D))</f>
        <v>Timeline Challenge</v>
      </c>
      <c r="G90">
        <f>COUNTIF(BUYLIST10[BGG ID],STOREURL[[#This Row],[BGG ID]])</f>
        <v>0</v>
      </c>
    </row>
    <row r="91" spans="1:7" x14ac:dyDescent="0.25">
      <c r="A91">
        <v>36553</v>
      </c>
      <c r="B91" t="s">
        <v>248</v>
      </c>
      <c r="D91">
        <v>54.99</v>
      </c>
      <c r="E91" t="s">
        <v>4025</v>
      </c>
      <c r="F91" t="str">
        <f>IFERROR(_xlfn.XLOOKUP(STOREURL[[#This Row],[BGG ID]],bgg_cache[id],bgg_cache[title]),_xlfn.XLOOKUP(STOREURL[[#This Row],[BGG ID]],manual_bgg!B:B,manual_bgg!D:D))</f>
        <v>Time's Up! Title Recall!</v>
      </c>
      <c r="G91">
        <f>COUNTIF(BUYLIST10[BGG ID],STOREURL[[#This Row],[BGG ID]])</f>
        <v>1</v>
      </c>
    </row>
    <row r="92" spans="1:7" x14ac:dyDescent="0.25">
      <c r="A92">
        <v>283864</v>
      </c>
      <c r="B92" t="s">
        <v>1874</v>
      </c>
      <c r="D92">
        <v>49.99</v>
      </c>
      <c r="E92" t="s">
        <v>4025</v>
      </c>
      <c r="F92" t="str">
        <f>IFERROR(_xlfn.XLOOKUP(STOREURL[[#This Row],[BGG ID]],bgg_cache[id],bgg_cache[title]),_xlfn.XLOOKUP(STOREURL[[#This Row],[BGG ID]],manual_bgg!B:B,manual_bgg!D:D))</f>
        <v>Trails of Tucana</v>
      </c>
      <c r="G92">
        <f>COUNTIF(BUYLIST10[BGG ID],STOREURL[[#This Row],[BGG ID]])</f>
        <v>0</v>
      </c>
    </row>
    <row r="93" spans="1:7" x14ac:dyDescent="0.25">
      <c r="A93">
        <v>257527</v>
      </c>
      <c r="B93" t="s">
        <v>249</v>
      </c>
      <c r="D93">
        <v>44.99</v>
      </c>
      <c r="E93" t="s">
        <v>4025</v>
      </c>
      <c r="F93" t="str">
        <f>IFERROR(_xlfn.XLOOKUP(STOREURL[[#This Row],[BGG ID]],bgg_cache[id],bgg_cache[title]),_xlfn.XLOOKUP(STOREURL[[#This Row],[BGG ID]],manual_bgg!B:B,manual_bgg!D:D))</f>
        <v>Trapwords</v>
      </c>
      <c r="G93">
        <f>COUNTIF(BUYLIST10[BGG ID],STOREURL[[#This Row],[BGG ID]])</f>
        <v>0</v>
      </c>
    </row>
    <row r="94" spans="1:7" x14ac:dyDescent="0.25">
      <c r="A94">
        <v>134352</v>
      </c>
      <c r="B94" t="s">
        <v>2434</v>
      </c>
      <c r="E94" t="s">
        <v>4026</v>
      </c>
      <c r="F94" t="str">
        <f>IFERROR(_xlfn.XLOOKUP(STOREURL[[#This Row],[BGG ID]],bgg_cache[id],bgg_cache[title]),_xlfn.XLOOKUP(STOREURL[[#This Row],[BGG ID]],manual_bgg!B:B,manual_bgg!D:D))</f>
        <v>Two Rooms and a Boom</v>
      </c>
      <c r="G94">
        <f>COUNTIF(BUYLIST10[BGG ID],STOREURL[[#This Row],[BGG ID]])</f>
        <v>1</v>
      </c>
    </row>
    <row r="95" spans="1:7" x14ac:dyDescent="0.25">
      <c r="A95">
        <v>268864</v>
      </c>
      <c r="B95" t="s">
        <v>141</v>
      </c>
      <c r="C95" t="s">
        <v>739</v>
      </c>
      <c r="D95">
        <v>94.99</v>
      </c>
      <c r="E95" t="s">
        <v>4024</v>
      </c>
      <c r="F95" t="str">
        <f>IFERROR(_xlfn.XLOOKUP(STOREURL[[#This Row],[BGG ID]],bgg_cache[id],bgg_cache[title]),_xlfn.XLOOKUP(STOREURL[[#This Row],[BGG ID]],manual_bgg!B:B,manual_bgg!D:D))</f>
        <v>Undaunted: Normandy</v>
      </c>
      <c r="G95">
        <f>COUNTIF(BUYLIST10[BGG ID],STOREURL[[#This Row],[BGG ID]])</f>
        <v>0</v>
      </c>
    </row>
    <row r="96" spans="1:7" x14ac:dyDescent="0.25">
      <c r="A96">
        <v>340466</v>
      </c>
      <c r="B96" t="s">
        <v>2443</v>
      </c>
      <c r="D96">
        <v>179.99</v>
      </c>
      <c r="E96" t="s">
        <v>4024</v>
      </c>
      <c r="F96" t="str">
        <f>IFERROR(_xlfn.XLOOKUP(STOREURL[[#This Row],[BGG ID]],bgg_cache[id],bgg_cache[title]),_xlfn.XLOOKUP(STOREURL[[#This Row],[BGG ID]],manual_bgg!B:B,manual_bgg!D:D))</f>
        <v>Unfathomable</v>
      </c>
      <c r="G96">
        <f>COUNTIF(BUYLIST10[BGG ID],STOREURL[[#This Row],[BGG ID]])</f>
        <v>0</v>
      </c>
    </row>
    <row r="97" spans="1:7" x14ac:dyDescent="0.25">
      <c r="A97">
        <v>274364</v>
      </c>
      <c r="B97" t="s">
        <v>133</v>
      </c>
      <c r="D97">
        <v>84.99</v>
      </c>
      <c r="E97" t="s">
        <v>4025</v>
      </c>
      <c r="F97" t="str">
        <f>IFERROR(_xlfn.XLOOKUP(STOREURL[[#This Row],[BGG ID]],bgg_cache[id],bgg_cache[title]),_xlfn.XLOOKUP(STOREURL[[#This Row],[BGG ID]],manual_bgg!B:B,manual_bgg!D:D))</f>
        <v>Watergate</v>
      </c>
      <c r="G97">
        <f>COUNTIF(BUYLIST10[BGG ID],STOREURL[[#This Row],[BGG ID]])</f>
        <v>0</v>
      </c>
    </row>
    <row r="98" spans="1:7" x14ac:dyDescent="0.25">
      <c r="A98">
        <v>233867</v>
      </c>
      <c r="B98" t="s">
        <v>251</v>
      </c>
      <c r="D98">
        <v>49.99</v>
      </c>
      <c r="E98" t="s">
        <v>4025</v>
      </c>
      <c r="F98" t="str">
        <f>IFERROR(_xlfn.XLOOKUP(STOREURL[[#This Row],[BGG ID]],bgg_cache[id],bgg_cache[title]),_xlfn.XLOOKUP(STOREURL[[#This Row],[BGG ID]],manual_bgg!B:B,manual_bgg!D:D))</f>
        <v>Welcome To...</v>
      </c>
      <c r="G98">
        <f>COUNTIF(BUYLIST10[BGG ID],STOREURL[[#This Row],[BGG ID]])</f>
        <v>0</v>
      </c>
    </row>
    <row r="99" spans="1:7" x14ac:dyDescent="0.25">
      <c r="A99">
        <v>123239</v>
      </c>
      <c r="B99" t="s">
        <v>231</v>
      </c>
      <c r="D99">
        <v>109.99</v>
      </c>
      <c r="E99" t="s">
        <v>4025</v>
      </c>
      <c r="F99" t="str">
        <f>IFERROR(_xlfn.XLOOKUP(STOREURL[[#This Row],[BGG ID]],bgg_cache[id],bgg_cache[title]),_xlfn.XLOOKUP(STOREURL[[#This Row],[BGG ID]],manual_bgg!B:B,manual_bgg!D:D))</f>
        <v>Wits &amp; Wagers Party</v>
      </c>
      <c r="G99">
        <f>COUNTIF(BUYLIST10[BGG ID],STOREURL[[#This Row],[BGG ID]])</f>
        <v>0</v>
      </c>
    </row>
    <row r="100" spans="1:7" x14ac:dyDescent="0.25">
      <c r="A100">
        <v>203411</v>
      </c>
      <c r="B100" t="s">
        <v>443</v>
      </c>
      <c r="E100" t="s">
        <v>4026</v>
      </c>
      <c r="F100" t="str">
        <f>IFERROR(_xlfn.XLOOKUP(STOREURL[[#This Row],[BGG ID]],bgg_cache[id],bgg_cache[title]),_xlfn.XLOOKUP(STOREURL[[#This Row],[BGG ID]],manual_bgg!B:B,manual_bgg!D:D))</f>
        <v>Word Slam</v>
      </c>
      <c r="G100">
        <f>COUNTIF(BUYLIST10[BGG ID],STOREURL[[#This Row],[BGG ID]])</f>
        <v>0</v>
      </c>
    </row>
    <row r="101" spans="1:7" x14ac:dyDescent="0.25">
      <c r="A101">
        <v>310448</v>
      </c>
      <c r="B101" t="s">
        <v>2452</v>
      </c>
      <c r="D101">
        <v>54.99</v>
      </c>
      <c r="E101" t="s">
        <v>4024</v>
      </c>
      <c r="F101" t="str">
        <f>IFERROR(_xlfn.XLOOKUP(STOREURL[[#This Row],[BGG ID]],bgg_cache[id],bgg_cache[title]),_xlfn.XLOOKUP(STOREURL[[#This Row],[BGG ID]],manual_bgg!B:B,manual_bgg!D:D))</f>
        <v>Zombie Teenz Evolution</v>
      </c>
      <c r="G101">
        <f>COUNTIF(BUYLIST10[BGG ID],STOREURL[[#This Row],[BGG ID]])</f>
        <v>0</v>
      </c>
    </row>
    <row r="102" spans="1:7" x14ac:dyDescent="0.25">
      <c r="A102">
        <v>207830</v>
      </c>
      <c r="B102" t="s">
        <v>706</v>
      </c>
      <c r="F102" t="str">
        <f>IFERROR(_xlfn.XLOOKUP(STOREURL[[#This Row],[BGG ID]],bgg_cache[id],bgg_cache[title]),_xlfn.XLOOKUP(STOREURL[[#This Row],[BGG ID]],manual_bgg!B:B,manual_bgg!D:D))</f>
        <v>5-Minute Dungeon</v>
      </c>
      <c r="G102">
        <f>COUNTIF(BUYLIST10[BGG ID],STOREURL[[#This Row],[BGG ID]])</f>
        <v>0</v>
      </c>
    </row>
    <row r="103" spans="1:7" x14ac:dyDescent="0.25">
      <c r="A103">
        <v>142271</v>
      </c>
      <c r="B103" t="s">
        <v>440</v>
      </c>
      <c r="F103" t="str">
        <f>IFERROR(_xlfn.XLOOKUP(STOREURL[[#This Row],[BGG ID]],bgg_cache[id],bgg_cache[title]),_xlfn.XLOOKUP(STOREURL[[#This Row],[BGG ID]],manual_bgg!B:B,manual_bgg!D:D))</f>
        <v>Anomia: Party Edition</v>
      </c>
      <c r="G103">
        <f>COUNTIF(BUYLIST10[BGG ID],STOREURL[[#This Row],[BGG ID]])</f>
        <v>0</v>
      </c>
    </row>
    <row r="104" spans="1:7" x14ac:dyDescent="0.25">
      <c r="A104">
        <v>236457</v>
      </c>
      <c r="B104" t="s">
        <v>694</v>
      </c>
      <c r="F104" t="str">
        <f>IFERROR(_xlfn.XLOOKUP(STOREURL[[#This Row],[BGG ID]],bgg_cache[id],bgg_cache[title]),_xlfn.XLOOKUP(STOREURL[[#This Row],[BGG ID]],manual_bgg!B:B,manual_bgg!D:D))</f>
        <v>Architects of the West Kingdom</v>
      </c>
      <c r="G104">
        <f>COUNTIF(BUYLIST10[BGG ID],STOREURL[[#This Row],[BGG ID]])</f>
        <v>0</v>
      </c>
    </row>
    <row r="105" spans="1:7" x14ac:dyDescent="0.25">
      <c r="A105">
        <v>346965</v>
      </c>
      <c r="B105" t="s">
        <v>436</v>
      </c>
      <c r="C105" t="s">
        <v>709</v>
      </c>
      <c r="E105" t="s">
        <v>4026</v>
      </c>
      <c r="F105" t="str">
        <f>IFERROR(_xlfn.XLOOKUP(STOREURL[[#This Row],[BGG ID]],bgg_cache[id],bgg_cache[title]),_xlfn.XLOOKUP(STOREURL[[#This Row],[BGG ID]],manual_bgg!B:B,manual_bgg!D:D))</f>
        <v>Azul: Queen's Garden</v>
      </c>
      <c r="G105">
        <f>COUNTIF(BUYLIST10[BGG ID],STOREURL[[#This Row],[BGG ID]])</f>
        <v>1</v>
      </c>
    </row>
    <row r="106" spans="1:7" x14ac:dyDescent="0.25">
      <c r="A106">
        <v>287954</v>
      </c>
      <c r="B106" t="s">
        <v>236</v>
      </c>
      <c r="E106" t="s">
        <v>4026</v>
      </c>
      <c r="F106" t="str">
        <f>IFERROR(_xlfn.XLOOKUP(STOREURL[[#This Row],[BGG ID]],bgg_cache[id],bgg_cache[title]),_xlfn.XLOOKUP(STOREURL[[#This Row],[BGG ID]],manual_bgg!B:B,manual_bgg!D:D))</f>
        <v>Azul: Summer Pavilion</v>
      </c>
      <c r="G106">
        <f>COUNTIF(BUYLIST10[BGG ID],STOREURL[[#This Row],[BGG ID]])</f>
        <v>1</v>
      </c>
    </row>
    <row r="107" spans="1:7" x14ac:dyDescent="0.25">
      <c r="A107">
        <v>163</v>
      </c>
      <c r="B107" t="s">
        <v>427</v>
      </c>
      <c r="F107" t="str">
        <f>IFERROR(_xlfn.XLOOKUP(STOREURL[[#This Row],[BGG ID]],bgg_cache[id],bgg_cache[title]),_xlfn.XLOOKUP(STOREURL[[#This Row],[BGG ID]],manual_bgg!B:B,manual_bgg!D:D))</f>
        <v>Balderdash</v>
      </c>
      <c r="G107">
        <f>COUNTIF(BUYLIST10[BGG ID],STOREURL[[#This Row],[BGG ID]])</f>
        <v>0</v>
      </c>
    </row>
    <row r="108" spans="1:7" x14ac:dyDescent="0.25">
      <c r="A108">
        <v>37111</v>
      </c>
      <c r="B108" t="s">
        <v>1851</v>
      </c>
      <c r="F108" t="str">
        <f>IFERROR(_xlfn.XLOOKUP(STOREURL[[#This Row],[BGG ID]],bgg_cache[id],bgg_cache[title]),_xlfn.XLOOKUP(STOREURL[[#This Row],[BGG ID]],manual_bgg!B:B,manual_bgg!D:D))</f>
        <v>Battlestar Galactica: The Board Game</v>
      </c>
      <c r="G108">
        <f>COUNTIF(BUYLIST10[BGG ID],STOREURL[[#This Row],[BGG ID]])</f>
        <v>0</v>
      </c>
    </row>
    <row r="109" spans="1:7" x14ac:dyDescent="0.25">
      <c r="A109">
        <v>358504</v>
      </c>
      <c r="B109" t="s">
        <v>1860</v>
      </c>
      <c r="F109" t="str">
        <f>IFERROR(_xlfn.XLOOKUP(STOREURL[[#This Row],[BGG ID]],bgg_cache[id],bgg_cache[title]),_xlfn.XLOOKUP(STOREURL[[#This Row],[BGG ID]],manual_bgg!B:B,manual_bgg!D:D))</f>
        <v>Betrayal at House on the Hill: 3rd Edition</v>
      </c>
      <c r="G109">
        <f>COUNTIF(BUYLIST10[BGG ID],STOREURL[[#This Row],[BGG ID]])</f>
        <v>0</v>
      </c>
    </row>
    <row r="110" spans="1:7" x14ac:dyDescent="0.25">
      <c r="A110">
        <v>170216</v>
      </c>
      <c r="B110" t="s">
        <v>1844</v>
      </c>
      <c r="F110" t="str">
        <f>IFERROR(_xlfn.XLOOKUP(STOREURL[[#This Row],[BGG ID]],bgg_cache[id],bgg_cache[title]),_xlfn.XLOOKUP(STOREURL[[#This Row],[BGG ID]],manual_bgg!B:B,manual_bgg!D:D))</f>
        <v>Blood Rage</v>
      </c>
      <c r="G110">
        <f>COUNTIF(BUYLIST10[BGG ID],STOREURL[[#This Row],[BGG ID]])</f>
        <v>0</v>
      </c>
    </row>
    <row r="111" spans="1:7" x14ac:dyDescent="0.25">
      <c r="A111">
        <v>19237</v>
      </c>
      <c r="B111" t="s">
        <v>1859</v>
      </c>
      <c r="F111" t="str">
        <f>IFERROR(_xlfn.XLOOKUP(STOREURL[[#This Row],[BGG ID]],bgg_cache[id],bgg_cache[title]),_xlfn.XLOOKUP(STOREURL[[#This Row],[BGG ID]],manual_bgg!B:B,manual_bgg!D:D))</f>
        <v>Ca$h 'n Gun$</v>
      </c>
      <c r="G111">
        <f>COUNTIF(BUYLIST10[BGG ID],STOREURL[[#This Row],[BGG ID]])</f>
        <v>0</v>
      </c>
    </row>
    <row r="112" spans="1:7" x14ac:dyDescent="0.25">
      <c r="A112">
        <v>155362</v>
      </c>
      <c r="B112" t="s">
        <v>417</v>
      </c>
      <c r="F112" t="str">
        <f>IFERROR(_xlfn.XLOOKUP(STOREURL[[#This Row],[BGG ID]],bgg_cache[id],bgg_cache[title]),_xlfn.XLOOKUP(STOREURL[[#This Row],[BGG ID]],manual_bgg!B:B,manual_bgg!D:D))</f>
        <v>Ca$h 'n Guns: Second Edition</v>
      </c>
      <c r="G112">
        <f>COUNTIF(BUYLIST10[BGG ID],STOREURL[[#This Row],[BGG ID]])</f>
        <v>0</v>
      </c>
    </row>
    <row r="113" spans="1:7" x14ac:dyDescent="0.25">
      <c r="A113">
        <v>192947</v>
      </c>
      <c r="B113" t="s">
        <v>744</v>
      </c>
      <c r="F113" t="str">
        <f>IFERROR(_xlfn.XLOOKUP(STOREURL[[#This Row],[BGG ID]],bgg_cache[id],bgg_cache[title]),_xlfn.XLOOKUP(STOREURL[[#This Row],[BGG ID]],manual_bgg!B:B,manual_bgg!D:D))</f>
        <v>Camel Up Cards</v>
      </c>
      <c r="G113">
        <f>COUNTIF(BUYLIST10[BGG ID],STOREURL[[#This Row],[BGG ID]])</f>
        <v>0</v>
      </c>
    </row>
    <row r="114" spans="1:7" x14ac:dyDescent="0.25">
      <c r="A114">
        <v>41</v>
      </c>
      <c r="B114" t="s">
        <v>686</v>
      </c>
      <c r="F114" t="str">
        <f>IFERROR(_xlfn.XLOOKUP(STOREURL[[#This Row],[BGG ID]],bgg_cache[id],bgg_cache[title]),_xlfn.XLOOKUP(STOREURL[[#This Row],[BGG ID]],manual_bgg!B:B,manual_bgg!D:D))</f>
        <v>Can't Stop</v>
      </c>
      <c r="G114">
        <f>COUNTIF(BUYLIST10[BGG ID],STOREURL[[#This Row],[BGG ID]])</f>
        <v>0</v>
      </c>
    </row>
    <row r="115" spans="1:7" x14ac:dyDescent="0.25">
      <c r="A115">
        <v>218129</v>
      </c>
      <c r="B115" t="s">
        <v>684</v>
      </c>
      <c r="F115" t="str">
        <f>IFERROR(_xlfn.XLOOKUP(STOREURL[[#This Row],[BGG ID]],bgg_cache[id],bgg_cache[title]),_xlfn.XLOOKUP(STOREURL[[#This Row],[BGG ID]],manual_bgg!B:B,manual_bgg!D:D))</f>
        <v>Catch the Moon</v>
      </c>
      <c r="G115">
        <f>COUNTIF(BUYLIST10[BGG ID],STOREURL[[#This Row],[BGG ID]])</f>
        <v>0</v>
      </c>
    </row>
    <row r="116" spans="1:7" x14ac:dyDescent="0.25">
      <c r="A116">
        <v>359970</v>
      </c>
      <c r="B116" t="s">
        <v>237</v>
      </c>
      <c r="F116" t="str">
        <f>IFERROR(_xlfn.XLOOKUP(STOREURL[[#This Row],[BGG ID]],bgg_cache[id],bgg_cache[title]),_xlfn.XLOOKUP(STOREURL[[#This Row],[BGG ID]],manual_bgg!B:B,manual_bgg!D:D))</f>
        <v>Challengers!</v>
      </c>
      <c r="G116">
        <f>COUNTIF(BUYLIST10[BGG ID],STOREURL[[#This Row],[BGG ID]])</f>
        <v>0</v>
      </c>
    </row>
    <row r="117" spans="1:7" x14ac:dyDescent="0.25">
      <c r="A117">
        <v>300300</v>
      </c>
      <c r="B117" t="s">
        <v>470</v>
      </c>
      <c r="F117" t="str">
        <f>IFERROR(_xlfn.XLOOKUP(STOREURL[[#This Row],[BGG ID]],bgg_cache[id],bgg_cache[title]),_xlfn.XLOOKUP(STOREURL[[#This Row],[BGG ID]],manual_bgg!B:B,manual_bgg!D:D))</f>
        <v>Chronicles of Crime: 1400</v>
      </c>
      <c r="G117">
        <f>COUNTIF(BUYLIST10[BGG ID],STOREURL[[#This Row],[BGG ID]])</f>
        <v>0</v>
      </c>
    </row>
    <row r="118" spans="1:7" x14ac:dyDescent="0.25">
      <c r="A118">
        <v>365717</v>
      </c>
      <c r="B118" t="s">
        <v>234</v>
      </c>
      <c r="F118" t="str">
        <f>IFERROR(_xlfn.XLOOKUP(STOREURL[[#This Row],[BGG ID]],bgg_cache[id],bgg_cache[title]),_xlfn.XLOOKUP(STOREURL[[#This Row],[BGG ID]],manual_bgg!B:B,manual_bgg!D:D))</f>
        <v>Clank!: Catacombs</v>
      </c>
      <c r="G118">
        <f>COUNTIF(BUYLIST10[BGG ID],STOREURL[[#This Row],[BGG ID]])</f>
        <v>0</v>
      </c>
    </row>
    <row r="119" spans="1:7" x14ac:dyDescent="0.25">
      <c r="A119">
        <v>11971</v>
      </c>
      <c r="B119" t="s">
        <v>135</v>
      </c>
      <c r="C119" t="s">
        <v>713</v>
      </c>
      <c r="F119" t="str">
        <f>IFERROR(_xlfn.XLOOKUP(STOREURL[[#This Row],[BGG ID]],bgg_cache[id],bgg_cache[title]),_xlfn.XLOOKUP(STOREURL[[#This Row],[BGG ID]],manual_bgg!B:B,manual_bgg!D:D))</f>
        <v>Cockroach Poker</v>
      </c>
      <c r="G119">
        <f>COUNTIF(BUYLIST10[BGG ID],STOREURL[[#This Row],[BGG ID]])</f>
        <v>0</v>
      </c>
    </row>
    <row r="120" spans="1:7" x14ac:dyDescent="0.25">
      <c r="A120">
        <v>198773</v>
      </c>
      <c r="B120" t="s">
        <v>418</v>
      </c>
      <c r="C120" t="s">
        <v>714</v>
      </c>
      <c r="F120" t="str">
        <f>IFERROR(_xlfn.XLOOKUP(STOREURL[[#This Row],[BGG ID]],bgg_cache[id],bgg_cache[title]),_xlfn.XLOOKUP(STOREURL[[#This Row],[BGG ID]],manual_bgg!B:B,manual_bgg!D:D))</f>
        <v>Codenames: Pictures</v>
      </c>
      <c r="G120">
        <f>COUNTIF(BUYLIST10[BGG ID],STOREURL[[#This Row],[BGG ID]])</f>
        <v>0</v>
      </c>
    </row>
    <row r="121" spans="1:7" x14ac:dyDescent="0.25">
      <c r="A121">
        <v>158899</v>
      </c>
      <c r="B121" t="s">
        <v>1864</v>
      </c>
      <c r="F121" t="str">
        <f>IFERROR(_xlfn.XLOOKUP(STOREURL[[#This Row],[BGG ID]],bgg_cache[id],bgg_cache[title]),_xlfn.XLOOKUP(STOREURL[[#This Row],[BGG ID]],manual_bgg!B:B,manual_bgg!D:D))</f>
        <v>Colt Express</v>
      </c>
      <c r="G121">
        <f>COUNTIF(BUYLIST10[BGG ID],STOREURL[[#This Row],[BGG ID]])</f>
        <v>0</v>
      </c>
    </row>
    <row r="122" spans="1:7" x14ac:dyDescent="0.25">
      <c r="A122">
        <v>247314</v>
      </c>
      <c r="B122" t="s">
        <v>446</v>
      </c>
      <c r="F122" t="str">
        <f>IFERROR(_xlfn.XLOOKUP(STOREURL[[#This Row],[BGG ID]],bgg_cache[id],bgg_cache[title]),_xlfn.XLOOKUP(STOREURL[[#This Row],[BGG ID]],manual_bgg!B:B,manual_bgg!D:D))</f>
        <v>Concept Kids: Animals</v>
      </c>
      <c r="G122">
        <f>COUNTIF(BUYLIST10[BGG ID],STOREURL[[#This Row],[BGG ID]])</f>
        <v>0</v>
      </c>
    </row>
    <row r="123" spans="1:7" x14ac:dyDescent="0.25">
      <c r="A123">
        <v>39463</v>
      </c>
      <c r="B123" t="s">
        <v>1847</v>
      </c>
      <c r="E123" t="s">
        <v>4026</v>
      </c>
      <c r="F123" t="str">
        <f>IFERROR(_xlfn.XLOOKUP(STOREURL[[#This Row],[BGG ID]],bgg_cache[id],bgg_cache[title]),_xlfn.XLOOKUP(STOREURL[[#This Row],[BGG ID]],manual_bgg!B:B,manual_bgg!D:D))</f>
        <v>Cosmic Encounter</v>
      </c>
      <c r="G123">
        <f>COUNTIF(BUYLIST10[BGG ID],STOREURL[[#This Row],[BGG ID]])</f>
        <v>1</v>
      </c>
    </row>
    <row r="124" spans="1:7" x14ac:dyDescent="0.25">
      <c r="A124">
        <v>521</v>
      </c>
      <c r="B124" t="s">
        <v>238</v>
      </c>
      <c r="D124">
        <v>214.99</v>
      </c>
      <c r="E124" t="s">
        <v>4027</v>
      </c>
      <c r="F124" t="str">
        <f>IFERROR(_xlfn.XLOOKUP(STOREURL[[#This Row],[BGG ID]],bgg_cache[id],bgg_cache[title]),_xlfn.XLOOKUP(STOREURL[[#This Row],[BGG ID]],manual_bgg!B:B,manual_bgg!D:D))</f>
        <v>Crokinole</v>
      </c>
      <c r="G124">
        <f>COUNTIF(BUYLIST10[BGG ID],STOREURL[[#This Row],[BGG ID]])</f>
        <v>1</v>
      </c>
    </row>
    <row r="125" spans="1:7" x14ac:dyDescent="0.25">
      <c r="A125">
        <v>246784</v>
      </c>
      <c r="B125" t="s">
        <v>142</v>
      </c>
      <c r="F125" t="str">
        <f>IFERROR(_xlfn.XLOOKUP(STOREURL[[#This Row],[BGG ID]],bgg_cache[id],bgg_cache[title]),_xlfn.XLOOKUP(STOREURL[[#This Row],[BGG ID]],manual_bgg!B:B,manual_bgg!D:D))</f>
        <v>Cryptid</v>
      </c>
      <c r="G125">
        <f>COUNTIF(BUYLIST10[BGG ID],STOREURL[[#This Row],[BGG ID]])</f>
        <v>0</v>
      </c>
    </row>
    <row r="126" spans="1:7" x14ac:dyDescent="0.25">
      <c r="A126">
        <v>256788</v>
      </c>
      <c r="B126" t="s">
        <v>137</v>
      </c>
      <c r="E126" t="s">
        <v>4026</v>
      </c>
      <c r="F126" t="str">
        <f>IFERROR(_xlfn.XLOOKUP(STOREURL[[#This Row],[BGG ID]],bgg_cache[id],bgg_cache[title]),_xlfn.XLOOKUP(STOREURL[[#This Row],[BGG ID]],manual_bgg!B:B,manual_bgg!D:D))</f>
        <v>Detective Club</v>
      </c>
      <c r="G126">
        <f>COUNTIF(BUYLIST10[BGG ID],STOREURL[[#This Row],[BGG ID]])</f>
        <v>1</v>
      </c>
    </row>
    <row r="127" spans="1:7" x14ac:dyDescent="0.25">
      <c r="A127">
        <v>223321</v>
      </c>
      <c r="B127" t="s">
        <v>469</v>
      </c>
      <c r="F127" t="str">
        <f>IFERROR(_xlfn.XLOOKUP(STOREURL[[#This Row],[BGG ID]],bgg_cache[id],bgg_cache[title]),_xlfn.XLOOKUP(STOREURL[[#This Row],[BGG ID]],manual_bgg!B:B,manual_bgg!D:D))</f>
        <v>Detective: A Modern Crime Board Game</v>
      </c>
      <c r="G127">
        <f>COUNTIF(BUYLIST10[BGG ID],STOREURL[[#This Row],[BGG ID]])</f>
        <v>0</v>
      </c>
    </row>
    <row r="128" spans="1:7" x14ac:dyDescent="0.25">
      <c r="A128">
        <v>221194</v>
      </c>
      <c r="B128" t="s">
        <v>459</v>
      </c>
      <c r="F128" t="str">
        <f>IFERROR(_xlfn.XLOOKUP(STOREURL[[#This Row],[BGG ID]],bgg_cache[id],bgg_cache[title]),_xlfn.XLOOKUP(STOREURL[[#This Row],[BGG ID]],manual_bgg!B:B,manual_bgg!D:D))</f>
        <v>Dinosaur Island</v>
      </c>
      <c r="G128">
        <f>COUNTIF(BUYLIST10[BGG ID],STOREURL[[#This Row],[BGG ID]])</f>
        <v>0</v>
      </c>
    </row>
    <row r="129" spans="1:7" x14ac:dyDescent="0.25">
      <c r="A129">
        <v>317457</v>
      </c>
      <c r="B129" t="s">
        <v>460</v>
      </c>
      <c r="F129" t="str">
        <f>IFERROR(_xlfn.XLOOKUP(STOREURL[[#This Row],[BGG ID]],bgg_cache[id],bgg_cache[title]),_xlfn.XLOOKUP(STOREURL[[#This Row],[BGG ID]],manual_bgg!B:B,manual_bgg!D:D))</f>
        <v>Dinosaur World</v>
      </c>
      <c r="G129">
        <f>COUNTIF(BUYLIST10[BGG ID],STOREURL[[#This Row],[BGG ID]])</f>
        <v>0</v>
      </c>
    </row>
    <row r="130" spans="1:7" x14ac:dyDescent="0.25">
      <c r="A130">
        <v>121288</v>
      </c>
      <c r="B130" t="s">
        <v>445</v>
      </c>
      <c r="F130" t="str">
        <f>IFERROR(_xlfn.XLOOKUP(STOREURL[[#This Row],[BGG ID]],bgg_cache[id],bgg_cache[title]),_xlfn.XLOOKUP(STOREURL[[#This Row],[BGG ID]],manual_bgg!B:B,manual_bgg!D:D))</f>
        <v>Dixit: Journey</v>
      </c>
      <c r="G130">
        <f>COUNTIF(BUYLIST10[BGG ID],STOREURL[[#This Row],[BGG ID]])</f>
        <v>0</v>
      </c>
    </row>
    <row r="131" spans="1:7" x14ac:dyDescent="0.25">
      <c r="A131">
        <v>92828</v>
      </c>
      <c r="B131" t="s">
        <v>444</v>
      </c>
      <c r="F131" t="str">
        <f>IFERROR(_xlfn.XLOOKUP(STOREURL[[#This Row],[BGG ID]],bgg_cache[id],bgg_cache[title]),_xlfn.XLOOKUP(STOREURL[[#This Row],[BGG ID]],manual_bgg!B:B,manual_bgg!D:D))</f>
        <v>Dixit: Odyssey</v>
      </c>
      <c r="G131">
        <f>COUNTIF(BUYLIST10[BGG ID],STOREURL[[#This Row],[BGG ID]])</f>
        <v>0</v>
      </c>
    </row>
    <row r="132" spans="1:7" x14ac:dyDescent="0.25">
      <c r="A132">
        <v>36218</v>
      </c>
      <c r="B132" t="s">
        <v>1843</v>
      </c>
      <c r="F132" t="str">
        <f>IFERROR(_xlfn.XLOOKUP(STOREURL[[#This Row],[BGG ID]],bgg_cache[id],bgg_cache[title]),_xlfn.XLOOKUP(STOREURL[[#This Row],[BGG ID]],manual_bgg!B:B,manual_bgg!D:D))</f>
        <v>Dominion</v>
      </c>
      <c r="G132">
        <f>COUNTIF(BUYLIST10[BGG ID],STOREURL[[#This Row],[BGG ID]])</f>
        <v>0</v>
      </c>
    </row>
    <row r="133" spans="1:7" x14ac:dyDescent="0.25">
      <c r="A133">
        <v>262547</v>
      </c>
      <c r="B133" t="s">
        <v>449</v>
      </c>
      <c r="F133" t="str">
        <f>IFERROR(_xlfn.XLOOKUP(STOREURL[[#This Row],[BGG ID]],bgg_cache[id],bgg_cache[title]),_xlfn.XLOOKUP(STOREURL[[#This Row],[BGG ID]],manual_bgg!B:B,manual_bgg!D:D))</f>
        <v>Don't Get Got!</v>
      </c>
      <c r="G133">
        <f>COUNTIF(BUYLIST10[BGG ID],STOREURL[[#This Row],[BGG ID]])</f>
        <v>0</v>
      </c>
    </row>
    <row r="134" spans="1:7" x14ac:dyDescent="0.25">
      <c r="A134" s="8">
        <v>246900</v>
      </c>
      <c r="B134" t="s">
        <v>1852</v>
      </c>
      <c r="F134" t="str">
        <f>IFERROR(_xlfn.XLOOKUP(STOREURL[[#This Row],[BGG ID]],bgg_cache[id],bgg_cache[title]),_xlfn.XLOOKUP(STOREURL[[#This Row],[BGG ID]],manual_bgg!B:B,manual_bgg!D:D))</f>
        <v>Eclipse: Second Dawn for the Galaxy</v>
      </c>
      <c r="G134">
        <f>COUNTIF(BUYLIST10[BGG ID],STOREURL[[#This Row],[BGG ID]])</f>
        <v>0</v>
      </c>
    </row>
    <row r="135" spans="1:7" x14ac:dyDescent="0.25">
      <c r="A135" s="8">
        <v>336986</v>
      </c>
      <c r="B135" t="s">
        <v>461</v>
      </c>
      <c r="E135" t="s">
        <v>4026</v>
      </c>
      <c r="F135" t="str">
        <f>IFERROR(_xlfn.XLOOKUP(STOREURL[[#This Row],[BGG ID]],bgg_cache[id],bgg_cache[title]),_xlfn.XLOOKUP(STOREURL[[#This Row],[BGG ID]],manual_bgg!B:B,manual_bgg!D:D))</f>
        <v>Flamecraft</v>
      </c>
      <c r="G135">
        <f>COUNTIF(BUYLIST10[BGG ID],STOREURL[[#This Row],[BGG ID]])</f>
        <v>1</v>
      </c>
    </row>
    <row r="136" spans="1:7" x14ac:dyDescent="0.25">
      <c r="A136" s="8">
        <v>136063</v>
      </c>
      <c r="B136" t="s">
        <v>1870</v>
      </c>
      <c r="F136" t="str">
        <f>IFERROR(_xlfn.XLOOKUP(STOREURL[[#This Row],[BGG ID]],bgg_cache[id],bgg_cache[title]),_xlfn.XLOOKUP(STOREURL[[#This Row],[BGG ID]],manual_bgg!B:B,manual_bgg!D:D))</f>
        <v>Forbidden Desert</v>
      </c>
      <c r="G136">
        <f>COUNTIF(BUYLIST10[BGG ID],STOREURL[[#This Row],[BGG ID]])</f>
        <v>0</v>
      </c>
    </row>
    <row r="137" spans="1:7" x14ac:dyDescent="0.25">
      <c r="A137" s="8">
        <v>142296</v>
      </c>
      <c r="B137" t="s">
        <v>447</v>
      </c>
      <c r="F137" t="str">
        <f>IFERROR(_xlfn.XLOOKUP(STOREURL[[#This Row],[BGG ID]],bgg_cache[id],bgg_cache[title]),_xlfn.XLOOKUP(STOREURL[[#This Row],[BGG ID]],manual_bgg!B:B,manual_bgg!D:D))</f>
        <v>Funemployed</v>
      </c>
      <c r="G137">
        <f>COUNTIF(BUYLIST10[BGG ID],STOREURL[[#This Row],[BGG ID]])</f>
        <v>0</v>
      </c>
    </row>
    <row r="138" spans="1:7" x14ac:dyDescent="0.25">
      <c r="A138" s="8">
        <v>220308</v>
      </c>
      <c r="B138" t="s">
        <v>1842</v>
      </c>
      <c r="D138">
        <v>229.99</v>
      </c>
      <c r="E138" t="s">
        <v>4027</v>
      </c>
      <c r="F138" t="str">
        <f>IFERROR(_xlfn.XLOOKUP(STOREURL[[#This Row],[BGG ID]],bgg_cache[id],bgg_cache[title]),_xlfn.XLOOKUP(STOREURL[[#This Row],[BGG ID]],manual_bgg!B:B,manual_bgg!D:D))</f>
        <v>Gaia Project</v>
      </c>
      <c r="G138">
        <f>COUNTIF(BUYLIST10[BGG ID],STOREURL[[#This Row],[BGG ID]])</f>
        <v>1</v>
      </c>
    </row>
    <row r="139" spans="1:7" x14ac:dyDescent="0.25">
      <c r="A139" s="8">
        <v>31481</v>
      </c>
      <c r="B139" t="s">
        <v>241</v>
      </c>
      <c r="C139" t="s">
        <v>718</v>
      </c>
      <c r="F139" t="str">
        <f>IFERROR(_xlfn.XLOOKUP(STOREURL[[#This Row],[BGG ID]],bgg_cache[id],bgg_cache[title]),_xlfn.XLOOKUP(STOREURL[[#This Row],[BGG ID]],manual_bgg!B:B,manual_bgg!D:D))</f>
        <v>Galaxy Trucker</v>
      </c>
      <c r="G139">
        <f>COUNTIF(BUYLIST10[BGG ID],STOREURL[[#This Row],[BGG ID]])</f>
        <v>0</v>
      </c>
    </row>
    <row r="140" spans="1:7" x14ac:dyDescent="0.25">
      <c r="A140" s="8">
        <v>336794</v>
      </c>
      <c r="B140" t="s">
        <v>241</v>
      </c>
      <c r="F140" t="str">
        <f>IFERROR(_xlfn.XLOOKUP(STOREURL[[#This Row],[BGG ID]],bgg_cache[id],bgg_cache[title]),_xlfn.XLOOKUP(STOREURL[[#This Row],[BGG ID]],manual_bgg!B:B,manual_bgg!D:D))</f>
        <v>Galaxy Trucker (Second Edition)</v>
      </c>
      <c r="G140">
        <f>COUNTIF(BUYLIST10[BGG ID],STOREURL[[#This Row],[BGG ID]])</f>
        <v>0</v>
      </c>
    </row>
    <row r="141" spans="1:7" x14ac:dyDescent="0.25">
      <c r="A141" s="8">
        <v>192547</v>
      </c>
      <c r="B141" t="s">
        <v>432</v>
      </c>
      <c r="F141" t="str">
        <f>IFERROR(_xlfn.XLOOKUP(STOREURL[[#This Row],[BGG ID]],bgg_cache[id],bgg_cache[title]),_xlfn.XLOOKUP(STOREURL[[#This Row],[BGG ID]],manual_bgg!B:B,manual_bgg!D:D))</f>
        <v>Go Cuckoo!</v>
      </c>
      <c r="G141">
        <f>COUNTIF(BUYLIST10[BGG ID],STOREURL[[#This Row],[BGG ID]])</f>
        <v>0</v>
      </c>
    </row>
    <row r="142" spans="1:7" x14ac:dyDescent="0.25">
      <c r="A142" s="8">
        <v>380607</v>
      </c>
      <c r="B142" t="s">
        <v>242</v>
      </c>
      <c r="C142" t="s">
        <v>719</v>
      </c>
      <c r="E142" t="s">
        <v>4026</v>
      </c>
      <c r="F142" t="str">
        <f>IFERROR(_xlfn.XLOOKUP(STOREURL[[#This Row],[BGG ID]],bgg_cache[id],bgg_cache[title]),_xlfn.XLOOKUP(STOREURL[[#This Row],[BGG ID]],manual_bgg!B:B,manual_bgg!D:D))</f>
        <v>Great Western Trail: New Zealand</v>
      </c>
      <c r="G142">
        <f>COUNTIF(BUYLIST10[BGG ID],STOREURL[[#This Row],[BGG ID]])</f>
        <v>1</v>
      </c>
    </row>
    <row r="143" spans="1:7" x14ac:dyDescent="0.25">
      <c r="A143" s="8">
        <v>304783</v>
      </c>
      <c r="B143" t="s">
        <v>698</v>
      </c>
      <c r="F143" t="str">
        <f>IFERROR(_xlfn.XLOOKUP(STOREURL[[#This Row],[BGG ID]],bgg_cache[id],bgg_cache[title]),_xlfn.XLOOKUP(STOREURL[[#This Row],[BGG ID]],manual_bgg!B:B,manual_bgg!D:D))</f>
        <v>Hadrian's Wall</v>
      </c>
      <c r="G143">
        <f>COUNTIF(BUYLIST10[BGG ID],STOREURL[[#This Row],[BGG ID]])</f>
        <v>0</v>
      </c>
    </row>
    <row r="144" spans="1:7" x14ac:dyDescent="0.25">
      <c r="A144" s="8">
        <v>98778</v>
      </c>
      <c r="B144" t="s">
        <v>1857</v>
      </c>
      <c r="F144" t="str">
        <f>IFERROR(_xlfn.XLOOKUP(STOREURL[[#This Row],[BGG ID]],bgg_cache[id],bgg_cache[title]),_xlfn.XLOOKUP(STOREURL[[#This Row],[BGG ID]],manual_bgg!B:B,manual_bgg!D:D))</f>
        <v>Hanabi</v>
      </c>
      <c r="G144">
        <f>COUNTIF(BUYLIST10[BGG ID],STOREURL[[#This Row],[BGG ID]])</f>
        <v>0</v>
      </c>
    </row>
    <row r="145" spans="1:7" x14ac:dyDescent="0.25">
      <c r="A145" s="8">
        <v>223750</v>
      </c>
      <c r="B145" t="s">
        <v>465</v>
      </c>
      <c r="F145" t="str">
        <f>IFERROR(_xlfn.XLOOKUP(STOREURL[[#This Row],[BGG ID]],bgg_cache[id],bgg_cache[title]),_xlfn.XLOOKUP(STOREURL[[#This Row],[BGG ID]],manual_bgg!B:B,manual_bgg!D:D))</f>
        <v>Hardback</v>
      </c>
      <c r="G145">
        <f>COUNTIF(BUYLIST10[BGG ID],STOREURL[[#This Row],[BGG ID]])</f>
        <v>0</v>
      </c>
    </row>
    <row r="146" spans="1:7" x14ac:dyDescent="0.25">
      <c r="A146" s="8">
        <v>201308</v>
      </c>
      <c r="B146" t="s">
        <v>429</v>
      </c>
      <c r="F146" t="str">
        <f>IFERROR(_xlfn.XLOOKUP(STOREURL[[#This Row],[BGG ID]],bgg_cache[id],bgg_cache[title]),_xlfn.XLOOKUP(STOREURL[[#This Row],[BGG ID]],manual_bgg!B:B,manual_bgg!D:D))</f>
        <v>Hive Mind</v>
      </c>
      <c r="G146">
        <f>COUNTIF(BUYLIST10[BGG ID],STOREURL[[#This Row],[BGG ID]])</f>
        <v>0</v>
      </c>
    </row>
    <row r="147" spans="1:7" x14ac:dyDescent="0.25">
      <c r="A147" s="8">
        <v>343562</v>
      </c>
      <c r="B147" t="s">
        <v>1879</v>
      </c>
      <c r="F147" t="str">
        <f>IFERROR(_xlfn.XLOOKUP(STOREURL[[#This Row],[BGG ID]],bgg_cache[id],bgg_cache[title]),_xlfn.XLOOKUP(STOREURL[[#This Row],[BGG ID]],manual_bgg!B:B,manual_bgg!D:D))</f>
        <v>Horrified: American Monsters</v>
      </c>
      <c r="G147">
        <f>COUNTIF(BUYLIST10[BGG ID],STOREURL[[#This Row],[BGG ID]])</f>
        <v>0</v>
      </c>
    </row>
    <row r="148" spans="1:7" x14ac:dyDescent="0.25">
      <c r="A148" s="8">
        <v>198928</v>
      </c>
      <c r="B148" t="s">
        <v>1871</v>
      </c>
      <c r="F148" t="str">
        <f>IFERROR(_xlfn.XLOOKUP(STOREURL[[#This Row],[BGG ID]],bgg_cache[id],bgg_cache[title]),_xlfn.XLOOKUP(STOREURL[[#This Row],[BGG ID]],manual_bgg!B:B,manual_bgg!D:D))</f>
        <v>Iberia</v>
      </c>
      <c r="G148">
        <f>COUNTIF(BUYLIST10[BGG ID],STOREURL[[#This Row],[BGG ID]])</f>
        <v>0</v>
      </c>
    </row>
    <row r="149" spans="1:7" x14ac:dyDescent="0.25">
      <c r="A149" s="8">
        <v>177524</v>
      </c>
      <c r="B149" t="s">
        <v>431</v>
      </c>
      <c r="F149" t="str">
        <f>IFERROR(_xlfn.XLOOKUP(STOREURL[[#This Row],[BGG ID]],bgg_cache[id],bgg_cache[title]),_xlfn.XLOOKUP(STOREURL[[#This Row],[BGG ID]],manual_bgg!B:B,manual_bgg!D:D))</f>
        <v>ICECOOL</v>
      </c>
      <c r="G149">
        <f>COUNTIF(BUYLIST10[BGG ID],STOREURL[[#This Row],[BGG ID]])</f>
        <v>0</v>
      </c>
    </row>
    <row r="150" spans="1:7" x14ac:dyDescent="0.25">
      <c r="A150" s="8">
        <v>191862</v>
      </c>
      <c r="B150" t="s">
        <v>700</v>
      </c>
      <c r="F150" t="str">
        <f>IFERROR(_xlfn.XLOOKUP(STOREURL[[#This Row],[BGG ID]],bgg_cache[id],bgg_cache[title]),_xlfn.XLOOKUP(STOREURL[[#This Row],[BGG ID]],manual_bgg!B:B,manual_bgg!D:D))</f>
        <v>Imhotep</v>
      </c>
      <c r="G150">
        <f>COUNTIF(BUYLIST10[BGG ID],STOREURL[[#This Row],[BGG ID]])</f>
        <v>0</v>
      </c>
    </row>
    <row r="151" spans="1:7" x14ac:dyDescent="0.25">
      <c r="A151" s="8">
        <v>324914</v>
      </c>
      <c r="B151" t="s">
        <v>454</v>
      </c>
      <c r="F151" t="str">
        <f>IFERROR(_xlfn.XLOOKUP(STOREURL[[#This Row],[BGG ID]],bgg_cache[id],bgg_cache[title]),_xlfn.XLOOKUP(STOREURL[[#This Row],[BGG ID]],manual_bgg!B:B,manual_bgg!D:D))</f>
        <v>Inside Job</v>
      </c>
      <c r="G151">
        <f>COUNTIF(BUYLIST10[BGG ID],STOREURL[[#This Row],[BGG ID]])</f>
        <v>0</v>
      </c>
    </row>
    <row r="152" spans="1:7" x14ac:dyDescent="0.25">
      <c r="A152" s="8">
        <v>176494</v>
      </c>
      <c r="B152" t="s">
        <v>475</v>
      </c>
      <c r="D152">
        <v>129.99</v>
      </c>
      <c r="E152" t="s">
        <v>4024</v>
      </c>
      <c r="F152" t="str">
        <f>IFERROR(_xlfn.XLOOKUP(STOREURL[[#This Row],[BGG ID]],bgg_cache[id],bgg_cache[title]),_xlfn.XLOOKUP(STOREURL[[#This Row],[BGG ID]],manual_bgg!B:B,manual_bgg!D:D))</f>
        <v>Isle of Skye: From Chieftain to King</v>
      </c>
      <c r="G152">
        <f>COUNTIF(BUYLIST10[BGG ID],STOREURL[[#This Row],[BGG ID]])</f>
        <v>1</v>
      </c>
    </row>
    <row r="153" spans="1:7" x14ac:dyDescent="0.25">
      <c r="A153" s="8">
        <v>148949</v>
      </c>
      <c r="B153" t="s">
        <v>1855</v>
      </c>
      <c r="D153">
        <v>129.99</v>
      </c>
      <c r="E153" t="s">
        <v>4027</v>
      </c>
      <c r="F153" t="str">
        <f>IFERROR(_xlfn.XLOOKUP(STOREURL[[#This Row],[BGG ID]],bgg_cache[id],bgg_cache[title]),_xlfn.XLOOKUP(STOREURL[[#This Row],[BGG ID]],manual_bgg!B:B,manual_bgg!D:D))</f>
        <v>Istanbul</v>
      </c>
      <c r="G153">
        <f>COUNTIF(BUYLIST10[BGG ID],STOREURL[[#This Row],[BGG ID]])</f>
        <v>1</v>
      </c>
    </row>
    <row r="154" spans="1:7" x14ac:dyDescent="0.25">
      <c r="A154" s="8">
        <v>448188</v>
      </c>
      <c r="B154" t="s">
        <v>136</v>
      </c>
      <c r="E154" t="s">
        <v>4026</v>
      </c>
      <c r="F154" t="str">
        <f>IFERROR(_xlfn.XLOOKUP(STOREURL[[#This Row],[BGG ID]],bgg_cache[id],bgg_cache[title]),_xlfn.XLOOKUP(STOREURL[[#This Row],[BGG ID]],manual_bgg!B:B,manual_bgg!D:D))</f>
        <v>Junk Art Revolution</v>
      </c>
      <c r="G154">
        <f>COUNTIF(BUYLIST10[BGG ID],STOREURL[[#This Row],[BGG ID]])</f>
        <v>1</v>
      </c>
    </row>
    <row r="155" spans="1:7" x14ac:dyDescent="0.25">
      <c r="A155" s="8">
        <v>122515</v>
      </c>
      <c r="B155" t="s">
        <v>1863</v>
      </c>
      <c r="F155" t="str">
        <f>IFERROR(_xlfn.XLOOKUP(STOREURL[[#This Row],[BGG ID]],bgg_cache[id],bgg_cache[title]),_xlfn.XLOOKUP(STOREURL[[#This Row],[BGG ID]],manual_bgg!B:B,manual_bgg!D:D))</f>
        <v>Keyflower</v>
      </c>
      <c r="G155">
        <f>COUNTIF(BUYLIST10[BGG ID],STOREURL[[#This Row],[BGG ID]])</f>
        <v>0</v>
      </c>
    </row>
    <row r="156" spans="1:7" x14ac:dyDescent="0.25">
      <c r="A156" s="8">
        <v>160499</v>
      </c>
      <c r="B156" t="s">
        <v>243</v>
      </c>
      <c r="F156" t="str">
        <f>IFERROR(_xlfn.XLOOKUP(STOREURL[[#This Row],[BGG ID]],bgg_cache[id],bgg_cache[title]),_xlfn.XLOOKUP(STOREURL[[#This Row],[BGG ID]],manual_bgg!B:B,manual_bgg!D:D))</f>
        <v>King of New York</v>
      </c>
      <c r="G156">
        <f>COUNTIF(BUYLIST10[BGG ID],STOREURL[[#This Row],[BGG ID]])</f>
        <v>0</v>
      </c>
    </row>
    <row r="157" spans="1:7" x14ac:dyDescent="0.25">
      <c r="A157" s="8">
        <v>107529</v>
      </c>
      <c r="B157" t="s">
        <v>699</v>
      </c>
      <c r="F157" t="str">
        <f>IFERROR(_xlfn.XLOOKUP(STOREURL[[#This Row],[BGG ID]],bgg_cache[id],bgg_cache[title]),_xlfn.XLOOKUP(STOREURL[[#This Row],[BGG ID]],manual_bgg!B:B,manual_bgg!D:D))</f>
        <v>Kingdom Builder</v>
      </c>
      <c r="G157">
        <f>COUNTIF(BUYLIST10[BGG ID],STOREURL[[#This Row],[BGG ID]])</f>
        <v>0</v>
      </c>
    </row>
    <row r="158" spans="1:7" x14ac:dyDescent="0.25">
      <c r="A158" s="8">
        <v>340041</v>
      </c>
      <c r="B158" t="s">
        <v>1875</v>
      </c>
      <c r="F158" t="str">
        <f>IFERROR(_xlfn.XLOOKUP(STOREURL[[#This Row],[BGG ID]],bgg_cache[id],bgg_cache[title]),_xlfn.XLOOKUP(STOREURL[[#This Row],[BGG ID]],manual_bgg!B:B,manual_bgg!D:D))</f>
        <v>Kingdomino Origins</v>
      </c>
      <c r="G158">
        <f>COUNTIF(BUYLIST10[BGG ID],STOREURL[[#This Row],[BGG ID]])</f>
        <v>0</v>
      </c>
    </row>
    <row r="159" spans="1:7" x14ac:dyDescent="0.25">
      <c r="A159" s="8">
        <v>354934</v>
      </c>
      <c r="B159" s="4" t="s">
        <v>463</v>
      </c>
      <c r="F159" t="str">
        <f>IFERROR(_xlfn.XLOOKUP(STOREURL[[#This Row],[BGG ID]],bgg_cache[id],bgg_cache[title]),_xlfn.XLOOKUP(STOREURL[[#This Row],[BGG ID]],manual_bgg!B:B,manual_bgg!D:D))</f>
        <v>Legacy of Yu</v>
      </c>
      <c r="G159">
        <f>COUNTIF(BUYLIST10[BGG ID],STOREURL[[#This Row],[BGG ID]])</f>
        <v>0</v>
      </c>
    </row>
    <row r="160" spans="1:7" x14ac:dyDescent="0.25">
      <c r="A160" s="8">
        <v>147194</v>
      </c>
      <c r="B160" t="s">
        <v>441</v>
      </c>
      <c r="F160" t="str">
        <f>IFERROR(_xlfn.XLOOKUP(STOREURL[[#This Row],[BGG ID]],bgg_cache[id],bgg_cache[title]),_xlfn.XLOOKUP(STOREURL[[#This Row],[BGG ID]],manual_bgg!B:B,manual_bgg!D:D))</f>
        <v>Linkee!</v>
      </c>
      <c r="G160">
        <f>COUNTIF(BUYLIST10[BGG ID],STOREURL[[#This Row],[BGG ID]])</f>
        <v>0</v>
      </c>
    </row>
    <row r="161" spans="1:7" x14ac:dyDescent="0.25">
      <c r="A161" s="8">
        <v>161533</v>
      </c>
      <c r="B161" t="s">
        <v>304</v>
      </c>
      <c r="F161" t="str">
        <f>IFERROR(_xlfn.XLOOKUP(STOREURL[[#This Row],[BGG ID]],bgg_cache[id],bgg_cache[title]),_xlfn.XLOOKUP(STOREURL[[#This Row],[BGG ID]],manual_bgg!B:B,manual_bgg!D:D))</f>
        <v>Lisboa</v>
      </c>
      <c r="G161">
        <f>COUNTIF(BUYLIST10[BGG ID],STOREURL[[#This Row],[BGG ID]])</f>
        <v>0</v>
      </c>
    </row>
    <row r="162" spans="1:7" x14ac:dyDescent="0.25">
      <c r="A162" s="8">
        <v>264241</v>
      </c>
      <c r="B162" t="s">
        <v>439</v>
      </c>
      <c r="D162">
        <v>69.989999999999995</v>
      </c>
      <c r="E162" t="s">
        <v>4027</v>
      </c>
      <c r="F162" t="str">
        <f>IFERROR(_xlfn.XLOOKUP(STOREURL[[#This Row],[BGG ID]],bgg_cache[id],bgg_cache[title]),_xlfn.XLOOKUP(STOREURL[[#This Row],[BGG ID]],manual_bgg!B:B,manual_bgg!D:D))</f>
        <v>Mandala</v>
      </c>
      <c r="G162">
        <f>COUNTIF(BUYLIST10[BGG ID],STOREURL[[#This Row],[BGG ID]])</f>
        <v>1</v>
      </c>
    </row>
    <row r="163" spans="1:7" x14ac:dyDescent="0.25">
      <c r="A163" s="8">
        <v>318977</v>
      </c>
      <c r="B163" t="s">
        <v>233</v>
      </c>
      <c r="C163" t="s">
        <v>723</v>
      </c>
      <c r="D163">
        <v>79.989999999999995</v>
      </c>
      <c r="E163" t="s">
        <v>4024</v>
      </c>
      <c r="F163" t="str">
        <f>IFERROR(_xlfn.XLOOKUP(STOREURL[[#This Row],[BGG ID]],bgg_cache[id],bgg_cache[title]),_xlfn.XLOOKUP(STOREURL[[#This Row],[BGG ID]],manual_bgg!B:B,manual_bgg!D:D))</f>
        <v>MicroMacro: Crime City</v>
      </c>
      <c r="G163">
        <f>COUNTIF(BUYLIST10[BGG ID],STOREURL[[#This Row],[BGG ID]])</f>
        <v>1</v>
      </c>
    </row>
    <row r="164" spans="1:7" x14ac:dyDescent="0.25">
      <c r="A164" s="8">
        <v>364766</v>
      </c>
      <c r="B164" t="s">
        <v>1878</v>
      </c>
      <c r="F164" t="str">
        <f>IFERROR(_xlfn.XLOOKUP(STOREURL[[#This Row],[BGG ID]],bgg_cache[id],bgg_cache[title]),_xlfn.XLOOKUP(STOREURL[[#This Row],[BGG ID]],manual_bgg!B:B,manual_bgg!D:D))</f>
        <v>MicroMacro: Crime City – All In</v>
      </c>
      <c r="G164">
        <f>COUNTIF(BUYLIST10[BGG ID],STOREURL[[#This Row],[BGG ID]])</f>
        <v>0</v>
      </c>
    </row>
    <row r="165" spans="1:7" x14ac:dyDescent="0.25">
      <c r="A165" s="8">
        <v>338834</v>
      </c>
      <c r="B165" t="s">
        <v>1877</v>
      </c>
      <c r="F165" t="str">
        <f>IFERROR(_xlfn.XLOOKUP(STOREURL[[#This Row],[BGG ID]],bgg_cache[id],bgg_cache[title]),_xlfn.XLOOKUP(STOREURL[[#This Row],[BGG ID]],manual_bgg!B:B,manual_bgg!D:D))</f>
        <v>MicroMacro: Crime City – Full House</v>
      </c>
      <c r="G165">
        <f>COUNTIF(BUYLIST10[BGG ID],STOREURL[[#This Row],[BGG ID]])</f>
        <v>0</v>
      </c>
    </row>
    <row r="166" spans="1:7" x14ac:dyDescent="0.25">
      <c r="A166" s="8">
        <v>284653</v>
      </c>
      <c r="B166" t="s">
        <v>450</v>
      </c>
      <c r="F166" t="str">
        <f>IFERROR(_xlfn.XLOOKUP(STOREURL[[#This Row],[BGG ID]],bgg_cache[id],bgg_cache[title]),_xlfn.XLOOKUP(STOREURL[[#This Row],[BGG ID]],manual_bgg!B:B,manual_bgg!D:D))</f>
        <v>Mind MGMT: The Psychic Espionage “Game.”</v>
      </c>
      <c r="G166">
        <f>COUNTIF(BUYLIST10[BGG ID],STOREURL[[#This Row],[BGG ID]])</f>
        <v>0</v>
      </c>
    </row>
    <row r="167" spans="1:7" x14ac:dyDescent="0.25">
      <c r="A167" s="8">
        <v>283152</v>
      </c>
      <c r="B167" t="s">
        <v>424</v>
      </c>
      <c r="C167" t="s">
        <v>725</v>
      </c>
      <c r="F167" t="str">
        <f>IFERROR(_xlfn.XLOOKUP(STOREURL[[#This Row],[BGG ID]],bgg_cache[id],bgg_cache[title]),_xlfn.XLOOKUP(STOREURL[[#This Row],[BGG ID]],manual_bgg!B:B,manual_bgg!D:D))</f>
        <v>Monikers: Serious Nonsense</v>
      </c>
      <c r="G167">
        <f>COUNTIF(BUYLIST10[BGG ID],STOREURL[[#This Row],[BGG ID]])</f>
        <v>0</v>
      </c>
    </row>
    <row r="168" spans="1:7" x14ac:dyDescent="0.25">
      <c r="A168" s="8">
        <v>284435</v>
      </c>
      <c r="B168" t="s">
        <v>437</v>
      </c>
      <c r="F168" t="str">
        <f>IFERROR(_xlfn.XLOOKUP(STOREURL[[#This Row],[BGG ID]],bgg_cache[id],bgg_cache[title]),_xlfn.XLOOKUP(STOREURL[[#This Row],[BGG ID]],manual_bgg!B:B,manual_bgg!D:D))</f>
        <v>Nova Luna</v>
      </c>
      <c r="G168">
        <f>COUNTIF(BUYLIST10[BGG ID],STOREURL[[#This Row],[BGG ID]])</f>
        <v>0</v>
      </c>
    </row>
    <row r="169" spans="1:7" x14ac:dyDescent="0.25">
      <c r="A169" s="8">
        <v>291572</v>
      </c>
      <c r="B169" t="s">
        <v>435</v>
      </c>
      <c r="C169" t="s">
        <v>726</v>
      </c>
      <c r="F169" t="str">
        <f>IFERROR(_xlfn.XLOOKUP(STOREURL[[#This Row],[BGG ID]],bgg_cache[id],bgg_cache[title]),_xlfn.XLOOKUP(STOREURL[[#This Row],[BGG ID]],manual_bgg!B:B,manual_bgg!D:D))</f>
        <v>Oath</v>
      </c>
      <c r="G169">
        <f>COUNTIF(BUYLIST10[BGG ID],STOREURL[[#This Row],[BGG ID]])</f>
        <v>0</v>
      </c>
    </row>
    <row r="170" spans="1:7" x14ac:dyDescent="0.25">
      <c r="A170" s="8">
        <v>184267</v>
      </c>
      <c r="B170" t="s">
        <v>1849</v>
      </c>
      <c r="F170" t="str">
        <f>IFERROR(_xlfn.XLOOKUP(STOREURL[[#This Row],[BGG ID]],bgg_cache[id],bgg_cache[title]),_xlfn.XLOOKUP(STOREURL[[#This Row],[BGG ID]],manual_bgg!B:B,manual_bgg!D:D))</f>
        <v>On Mars</v>
      </c>
      <c r="G170">
        <f>COUNTIF(BUYLIST10[BGG ID],STOREURL[[#This Row],[BGG ID]])</f>
        <v>0</v>
      </c>
    </row>
    <row r="171" spans="1:7" x14ac:dyDescent="0.25">
      <c r="A171" s="8">
        <v>147949</v>
      </c>
      <c r="B171" t="s">
        <v>1848</v>
      </c>
      <c r="F171" t="str">
        <f>IFERROR(_xlfn.XLOOKUP(STOREURL[[#This Row],[BGG ID]],bgg_cache[id],bgg_cache[title]),_xlfn.XLOOKUP(STOREURL[[#This Row],[BGG ID]],manual_bgg!B:B,manual_bgg!D:D))</f>
        <v>One Night Ultimate Werewolf</v>
      </c>
      <c r="G171">
        <f>COUNTIF(BUYLIST10[BGG ID],STOREURL[[#This Row],[BGG ID]])</f>
        <v>0</v>
      </c>
    </row>
    <row r="172" spans="1:7" x14ac:dyDescent="0.25">
      <c r="A172" s="8">
        <v>160477</v>
      </c>
      <c r="B172" t="s">
        <v>690</v>
      </c>
      <c r="D172">
        <v>79.989999999999995</v>
      </c>
      <c r="E172" t="s">
        <v>4024</v>
      </c>
      <c r="F172" t="str">
        <f>IFERROR(_xlfn.XLOOKUP(STOREURL[[#This Row],[BGG ID]],bgg_cache[id],bgg_cache[title]),_xlfn.XLOOKUP(STOREURL[[#This Row],[BGG ID]],manual_bgg!B:B,manual_bgg!D:D))</f>
        <v>Onitama</v>
      </c>
      <c r="G172">
        <f>COUNTIF(BUYLIST10[BGG ID],STOREURL[[#This Row],[BGG ID]])</f>
        <v>1</v>
      </c>
    </row>
    <row r="173" spans="1:7" x14ac:dyDescent="0.25">
      <c r="A173" s="8">
        <v>164928</v>
      </c>
      <c r="B173" t="s">
        <v>1854</v>
      </c>
      <c r="D173">
        <v>124.99</v>
      </c>
      <c r="E173" t="s">
        <v>4025</v>
      </c>
      <c r="F173" t="str">
        <f>IFERROR(_xlfn.XLOOKUP(STOREURL[[#This Row],[BGG ID]],bgg_cache[id],bgg_cache[title]),_xlfn.XLOOKUP(STOREURL[[#This Row],[BGG ID]],manual_bgg!B:B,manual_bgg!D:D))</f>
        <v>Orléans</v>
      </c>
      <c r="G173">
        <f>COUNTIF(BUYLIST10[BGG ID],STOREURL[[#This Row],[BGG ID]])</f>
        <v>1</v>
      </c>
    </row>
    <row r="174" spans="1:7" x14ac:dyDescent="0.25">
      <c r="A174" s="8">
        <v>141572</v>
      </c>
      <c r="B174" t="s">
        <v>464</v>
      </c>
      <c r="E174" t="s">
        <v>4026</v>
      </c>
      <c r="F174" t="str">
        <f>IFERROR(_xlfn.XLOOKUP(STOREURL[[#This Row],[BGG ID]],bgg_cache[id],bgg_cache[title]),_xlfn.XLOOKUP(STOREURL[[#This Row],[BGG ID]],manual_bgg!B:B,manual_bgg!D:D))</f>
        <v>Paperback</v>
      </c>
      <c r="G174">
        <f>COUNTIF(BUYLIST10[BGG ID],STOREURL[[#This Row],[BGG ID]])</f>
        <v>1</v>
      </c>
    </row>
    <row r="175" spans="1:7" x14ac:dyDescent="0.25">
      <c r="A175" s="8">
        <v>437306</v>
      </c>
      <c r="B175" t="s">
        <v>244</v>
      </c>
      <c r="C175" t="s">
        <v>727</v>
      </c>
      <c r="D175">
        <v>114.99</v>
      </c>
      <c r="E175" t="s">
        <v>4024</v>
      </c>
      <c r="F175" t="str">
        <f>IFERROR(_xlfn.XLOOKUP(STOREURL[[#This Row],[BGG ID]],bgg_cache[id],bgg_cache[title]),_xlfn.XLOOKUP(STOREURL[[#This Row],[BGG ID]],manual_bgg!B:B,manual_bgg!D:D))</f>
        <v>Parks (Second Edition)</v>
      </c>
      <c r="G175">
        <f>COUNTIF(BUYLIST10[BGG ID],STOREURL[[#This Row],[BGG ID]])</f>
        <v>1</v>
      </c>
    </row>
    <row r="176" spans="1:7" x14ac:dyDescent="0.25">
      <c r="A176" s="8">
        <v>256960</v>
      </c>
      <c r="B176" t="s">
        <v>1850</v>
      </c>
      <c r="F176" t="str">
        <f>IFERROR(_xlfn.XLOOKUP(STOREURL[[#This Row],[BGG ID]],bgg_cache[id],bgg_cache[title]),_xlfn.XLOOKUP(STOREURL[[#This Row],[BGG ID]],manual_bgg!B:B,manual_bgg!D:D))</f>
        <v>Pax Pamir: Second Edition</v>
      </c>
      <c r="G176">
        <f>COUNTIF(BUYLIST10[BGG ID],STOREURL[[#This Row],[BGG ID]])</f>
        <v>0</v>
      </c>
    </row>
    <row r="177" spans="1:7" x14ac:dyDescent="0.25">
      <c r="A177" s="8">
        <v>272889</v>
      </c>
      <c r="B177" t="s">
        <v>442</v>
      </c>
      <c r="F177" t="str">
        <f>IFERROR(_xlfn.XLOOKUP(STOREURL[[#This Row],[BGG ID]],bgg_cache[id],bgg_cache[title]),_xlfn.XLOOKUP(STOREURL[[#This Row],[BGG ID]],manual_bgg!B:B,manual_bgg!D:D))</f>
        <v>Pictionary Air</v>
      </c>
      <c r="G177">
        <f>COUNTIF(BUYLIST10[BGG ID],STOREURL[[#This Row],[BGG ID]])</f>
        <v>0</v>
      </c>
    </row>
    <row r="178" spans="1:7" x14ac:dyDescent="0.25">
      <c r="A178" s="9">
        <v>284108</v>
      </c>
      <c r="B178" t="s">
        <v>1865</v>
      </c>
      <c r="F178" t="str">
        <f>IFERROR(_xlfn.XLOOKUP(STOREURL[[#This Row],[BGG ID]],bgg_cache[id],bgg_cache[title]),_xlfn.XLOOKUP(STOREURL[[#This Row],[BGG ID]],manual_bgg!B:B,manual_bgg!D:D))</f>
        <v>Pictures</v>
      </c>
      <c r="G178">
        <f>COUNTIF(BUYLIST10[BGG ID],STOREURL[[#This Row],[BGG ID]])</f>
        <v>0</v>
      </c>
    </row>
    <row r="179" spans="1:7" x14ac:dyDescent="0.25">
      <c r="A179" s="8">
        <v>150</v>
      </c>
      <c r="B179" t="s">
        <v>213</v>
      </c>
      <c r="F179" t="str">
        <f>IFERROR(_xlfn.XLOOKUP(STOREURL[[#This Row],[BGG ID]],bgg_cache[id],bgg_cache[title]),_xlfn.XLOOKUP(STOREURL[[#This Row],[BGG ID]],manual_bgg!B:B,manual_bgg!D:D))</f>
        <v>PitchCar</v>
      </c>
      <c r="G179">
        <f>COUNTIF(BUYLIST10[BGG ID],STOREURL[[#This Row],[BGG ID]])</f>
        <v>0</v>
      </c>
    </row>
    <row r="180" spans="1:7" x14ac:dyDescent="0.25">
      <c r="A180" s="8">
        <v>260180</v>
      </c>
      <c r="B180" t="s">
        <v>697</v>
      </c>
      <c r="D180">
        <v>79.989999999999995</v>
      </c>
      <c r="E180" t="s">
        <v>4024</v>
      </c>
      <c r="F180" t="str">
        <f>IFERROR(_xlfn.XLOOKUP(STOREURL[[#This Row],[BGG ID]],bgg_cache[id],bgg_cache[title]),_xlfn.XLOOKUP(STOREURL[[#This Row],[BGG ID]],manual_bgg!B:B,manual_bgg!D:D))</f>
        <v>Project L</v>
      </c>
      <c r="G180">
        <f>COUNTIF(BUYLIST10[BGG ID],STOREURL[[#This Row],[BGG ID]])</f>
        <v>1</v>
      </c>
    </row>
    <row r="181" spans="1:7" x14ac:dyDescent="0.25">
      <c r="A181" s="8">
        <v>318985</v>
      </c>
      <c r="B181" t="s">
        <v>1839</v>
      </c>
      <c r="F181" t="str">
        <f>IFERROR(_xlfn.XLOOKUP(STOREURL[[#This Row],[BGG ID]],bgg_cache[id],bgg_cache[title]),_xlfn.XLOOKUP(STOREURL[[#This Row],[BGG ID]],manual_bgg!B:B,manual_bgg!D:D))</f>
        <v>Puerto Rico</v>
      </c>
      <c r="G181">
        <f>COUNTIF(BUYLIST10[BGG ID],STOREURL[[#This Row],[BGG ID]])</f>
        <v>0</v>
      </c>
    </row>
    <row r="182" spans="1:7" x14ac:dyDescent="0.25">
      <c r="A182">
        <v>25669</v>
      </c>
      <c r="B182" t="s">
        <v>707</v>
      </c>
      <c r="F182" t="str">
        <f>IFERROR(_xlfn.XLOOKUP(STOREURL[[#This Row],[BGG ID]],bgg_cache[id],bgg_cache[title]),_xlfn.XLOOKUP(STOREURL[[#This Row],[BGG ID]],manual_bgg!B:B,manual_bgg!D:D))</f>
        <v>Qwirkle</v>
      </c>
      <c r="G182">
        <f>COUNTIF(BUYLIST10[BGG ID],STOREURL[[#This Row],[BGG ID]])</f>
        <v>0</v>
      </c>
    </row>
    <row r="183" spans="1:7" x14ac:dyDescent="0.25">
      <c r="A183" s="8">
        <v>306881</v>
      </c>
      <c r="B183" t="s">
        <v>466</v>
      </c>
      <c r="F183" t="str">
        <f>IFERROR(_xlfn.XLOOKUP(STOREURL[[#This Row],[BGG ID]],bgg_cache[id],bgg_cache[title]),_xlfn.XLOOKUP(STOREURL[[#This Row],[BGG ID]],manual_bgg!B:B,manual_bgg!D:D))</f>
        <v>Railroad Ink Challenge: Lush Green Edition</v>
      </c>
      <c r="G183">
        <f>COUNTIF(BUYLIST10[BGG ID],STOREURL[[#This Row],[BGG ID]])</f>
        <v>0</v>
      </c>
    </row>
    <row r="184" spans="1:7" x14ac:dyDescent="0.25">
      <c r="A184" s="8">
        <v>244228</v>
      </c>
      <c r="B184" t="s">
        <v>438</v>
      </c>
      <c r="F184" t="str">
        <f>IFERROR(_xlfn.XLOOKUP(STOREURL[[#This Row],[BGG ID]],bgg_cache[id],bgg_cache[title]),_xlfn.XLOOKUP(STOREURL[[#This Row],[BGG ID]],manual_bgg!B:B,manual_bgg!D:D))</f>
        <v>Reef</v>
      </c>
      <c r="G184">
        <f>COUNTIF(BUYLIST10[BGG ID],STOREURL[[#This Row],[BGG ID]])</f>
        <v>0</v>
      </c>
    </row>
    <row r="185" spans="1:7" x14ac:dyDescent="0.25">
      <c r="A185">
        <v>237182</v>
      </c>
      <c r="B185" t="s">
        <v>683</v>
      </c>
      <c r="D185">
        <v>119.99</v>
      </c>
      <c r="E185" t="s">
        <v>4024</v>
      </c>
      <c r="F185" t="str">
        <f>IFERROR(_xlfn.XLOOKUP(STOREURL[[#This Row],[BGG ID]],bgg_cache[id],bgg_cache[title]),_xlfn.XLOOKUP(STOREURL[[#This Row],[BGG ID]],manual_bgg!B:B,manual_bgg!D:D))</f>
        <v>Root</v>
      </c>
      <c r="G185">
        <f>COUNTIF(BUYLIST10[BGG ID],STOREURL[[#This Row],[BGG ID]])</f>
        <v>1</v>
      </c>
    </row>
    <row r="186" spans="1:7" x14ac:dyDescent="0.25">
      <c r="A186">
        <v>194655</v>
      </c>
      <c r="B186" t="s">
        <v>691</v>
      </c>
      <c r="D186">
        <v>144.99</v>
      </c>
      <c r="E186" t="s">
        <v>4024</v>
      </c>
      <c r="F186" t="str">
        <f>IFERROR(_xlfn.XLOOKUP(STOREURL[[#This Row],[BGG ID]],bgg_cache[id],bgg_cache[title]),_xlfn.XLOOKUP(STOREURL[[#This Row],[BGG ID]],manual_bgg!B:B,manual_bgg!D:D))</f>
        <v>Santorini</v>
      </c>
      <c r="G186">
        <f>COUNTIF(BUYLIST10[BGG ID],STOREURL[[#This Row],[BGG ID]])</f>
        <v>1</v>
      </c>
    </row>
    <row r="187" spans="1:7" x14ac:dyDescent="0.25">
      <c r="A187">
        <v>339484</v>
      </c>
      <c r="B187" t="s">
        <v>705</v>
      </c>
      <c r="F187" t="str">
        <f>IFERROR(_xlfn.XLOOKUP(STOREURL[[#This Row],[BGG ID]],bgg_cache[id],bgg_cache[title]),_xlfn.XLOOKUP(STOREURL[[#This Row],[BGG ID]],manual_bgg!B:B,manual_bgg!D:D))</f>
        <v>Savannah Park</v>
      </c>
      <c r="G187">
        <f>COUNTIF(BUYLIST10[BGG ID],STOREURL[[#This Row],[BGG ID]])</f>
        <v>0</v>
      </c>
    </row>
    <row r="188" spans="1:7" x14ac:dyDescent="0.25">
      <c r="A188">
        <v>140795</v>
      </c>
      <c r="B188" t="s">
        <v>448</v>
      </c>
      <c r="F188" t="str">
        <f>IFERROR(_xlfn.XLOOKUP(STOREURL[[#This Row],[BGG ID]],bgg_cache[id],bgg_cache[title]),_xlfn.XLOOKUP(STOREURL[[#This Row],[BGG ID]],manual_bgg!B:B,manual_bgg!D:D))</f>
        <v>Say Bye to the Villains</v>
      </c>
      <c r="G188">
        <f>COUNTIF(BUYLIST10[BGG ID],STOREURL[[#This Row],[BGG ID]])</f>
        <v>0</v>
      </c>
    </row>
    <row r="189" spans="1:7" x14ac:dyDescent="0.25">
      <c r="A189">
        <v>372</v>
      </c>
      <c r="B189" t="s">
        <v>693</v>
      </c>
      <c r="F189" t="str">
        <f>IFERROR(_xlfn.XLOOKUP(STOREURL[[#This Row],[BGG ID]],bgg_cache[id],bgg_cache[title]),_xlfn.XLOOKUP(STOREURL[[#This Row],[BGG ID]],manual_bgg!B:B,manual_bgg!D:D))</f>
        <v>Schotten Totten</v>
      </c>
      <c r="G189">
        <f>COUNTIF(BUYLIST10[BGG ID],STOREURL[[#This Row],[BGG ID]])</f>
        <v>0</v>
      </c>
    </row>
    <row r="190" spans="1:7" x14ac:dyDescent="0.25">
      <c r="A190">
        <v>188834</v>
      </c>
      <c r="B190" t="s">
        <v>423</v>
      </c>
      <c r="C190" t="s">
        <v>732</v>
      </c>
      <c r="F190" t="str">
        <f>IFERROR(_xlfn.XLOOKUP(STOREURL[[#This Row],[BGG ID]],bgg_cache[id],bgg_cache[title]),_xlfn.XLOOKUP(STOREURL[[#This Row],[BGG ID]],manual_bgg!B:B,manual_bgg!D:D))</f>
        <v>Secret Hitler</v>
      </c>
      <c r="G190">
        <f>COUNTIF(BUYLIST10[BGG ID],STOREURL[[#This Row],[BGG ID]])</f>
        <v>0</v>
      </c>
    </row>
    <row r="191" spans="1:7" x14ac:dyDescent="0.25">
      <c r="A191">
        <v>2511</v>
      </c>
      <c r="B191" t="s">
        <v>1853</v>
      </c>
      <c r="F191" t="str">
        <f>IFERROR(_xlfn.XLOOKUP(STOREURL[[#This Row],[BGG ID]],bgg_cache[id],bgg_cache[title]),_xlfn.XLOOKUP(STOREURL[[#This Row],[BGG ID]],manual_bgg!B:B,manual_bgg!D:D))</f>
        <v>Sherlock Holmes Consulting Detective: The Thames Murders &amp; Other Cases</v>
      </c>
      <c r="G191">
        <f>COUNTIF(BUYLIST10[BGG ID],STOREURL[[#This Row],[BGG ID]])</f>
        <v>0</v>
      </c>
    </row>
    <row r="192" spans="1:7" x14ac:dyDescent="0.25">
      <c r="A192">
        <v>232830</v>
      </c>
      <c r="B192" t="s">
        <v>419</v>
      </c>
      <c r="F192" t="str">
        <f>IFERROR(_xlfn.XLOOKUP(STOREURL[[#This Row],[BGG ID]],bgg_cache[id],bgg_cache[title]),_xlfn.XLOOKUP(STOREURL[[#This Row],[BGG ID]],manual_bgg!B:B,manual_bgg!D:D))</f>
        <v>Shifty Eyed Spies</v>
      </c>
      <c r="G192">
        <f>COUNTIF(BUYLIST10[BGG ID],STOREURL[[#This Row],[BGG ID]])</f>
        <v>0</v>
      </c>
    </row>
    <row r="193" spans="1:7" x14ac:dyDescent="0.25">
      <c r="A193">
        <v>332944</v>
      </c>
      <c r="B193" t="s">
        <v>692</v>
      </c>
      <c r="F193" t="str">
        <f>IFERROR(_xlfn.XLOOKUP(STOREURL[[#This Row],[BGG ID]],bgg_cache[id],bgg_cache[title]),_xlfn.XLOOKUP(STOREURL[[#This Row],[BGG ID]],manual_bgg!B:B,manual_bgg!D:D))</f>
        <v>Sobek: 2 Players</v>
      </c>
      <c r="G193">
        <f>COUNTIF(BUYLIST10[BGG ID],STOREURL[[#This Row],[BGG ID]])</f>
        <v>0</v>
      </c>
    </row>
    <row r="194" spans="1:7" x14ac:dyDescent="0.25">
      <c r="A194" s="8">
        <v>242302</v>
      </c>
      <c r="B194" t="s">
        <v>695</v>
      </c>
      <c r="F194" t="str">
        <f>IFERROR(_xlfn.XLOOKUP(STOREURL[[#This Row],[BGG ID]],bgg_cache[id],bgg_cache[title]),_xlfn.XLOOKUP(STOREURL[[#This Row],[BGG ID]],manual_bgg!B:B,manual_bgg!D:D))</f>
        <v>Space Base</v>
      </c>
      <c r="G194">
        <f>COUNTIF(BUYLIST10[BGG ID],STOREURL[[#This Row],[BGG ID]])</f>
        <v>0</v>
      </c>
    </row>
    <row r="195" spans="1:7" x14ac:dyDescent="0.25">
      <c r="A195">
        <v>166384</v>
      </c>
      <c r="B195" t="s">
        <v>416</v>
      </c>
      <c r="C195" t="s">
        <v>734</v>
      </c>
      <c r="F195" t="str">
        <f>IFERROR(_xlfn.XLOOKUP(STOREURL[[#This Row],[BGG ID]],bgg_cache[id],bgg_cache[title]),_xlfn.XLOOKUP(STOREURL[[#This Row],[BGG ID]],manual_bgg!B:B,manual_bgg!D:D))</f>
        <v>Spyfall</v>
      </c>
      <c r="G195">
        <f>COUNTIF(BUYLIST10[BGG ID],STOREURL[[#This Row],[BGG ID]])</f>
        <v>0</v>
      </c>
    </row>
    <row r="196" spans="1:7" x14ac:dyDescent="0.25">
      <c r="A196" s="8">
        <v>230253</v>
      </c>
      <c r="B196" t="s">
        <v>701</v>
      </c>
      <c r="F196" t="str">
        <f>IFERROR(_xlfn.XLOOKUP(STOREURL[[#This Row],[BGG ID]],bgg_cache[id],bgg_cache[title]),_xlfn.XLOOKUP(STOREURL[[#This Row],[BGG ID]],manual_bgg!B:B,manual_bgg!D:D))</f>
        <v>Star Realms: Frontiers</v>
      </c>
      <c r="G196">
        <f>COUNTIF(BUYLIST10[BGG ID],STOREURL[[#This Row],[BGG ID]])</f>
        <v>0</v>
      </c>
    </row>
    <row r="197" spans="1:7" x14ac:dyDescent="0.25">
      <c r="A197" s="8">
        <v>187645</v>
      </c>
      <c r="B197" t="s">
        <v>1841</v>
      </c>
      <c r="E197" t="s">
        <v>4026</v>
      </c>
      <c r="F197" t="str">
        <f>IFERROR(_xlfn.XLOOKUP(STOREURL[[#This Row],[BGG ID]],bgg_cache[id],bgg_cache[title]),_xlfn.XLOOKUP(STOREURL[[#This Row],[BGG ID]],manual_bgg!B:B,manual_bgg!D:D))</f>
        <v>Star Wars: Rebellion</v>
      </c>
      <c r="G197">
        <f>COUNTIF(BUYLIST10[BGG ID],STOREURL[[#This Row],[BGG ID]])</f>
        <v>1</v>
      </c>
    </row>
    <row r="198" spans="1:7" x14ac:dyDescent="0.25">
      <c r="A198" s="8">
        <v>302524</v>
      </c>
      <c r="B198" t="s">
        <v>704</v>
      </c>
      <c r="F198" t="str">
        <f>IFERROR(_xlfn.XLOOKUP(STOREURL[[#This Row],[BGG ID]],bgg_cache[id],bgg_cache[title]),_xlfn.XLOOKUP(STOREURL[[#This Row],[BGG ID]],manual_bgg!B:B,manual_bgg!D:D))</f>
        <v>Super-Skill Pinball: 4-Cade</v>
      </c>
      <c r="G198">
        <f>COUNTIF(BUYLIST10[BGG ID],STOREURL[[#This Row],[BGG ID]])</f>
        <v>0</v>
      </c>
    </row>
    <row r="199" spans="1:7" x14ac:dyDescent="0.25">
      <c r="A199" s="8">
        <v>271869</v>
      </c>
      <c r="B199" t="s">
        <v>457</v>
      </c>
      <c r="F199" t="str">
        <f>IFERROR(_xlfn.XLOOKUP(STOREURL[[#This Row],[BGG ID]],bgg_cache[id],bgg_cache[title]),_xlfn.XLOOKUP(STOREURL[[#This Row],[BGG ID]],manual_bgg!B:B,manual_bgg!D:D))</f>
        <v>Sushi Roll</v>
      </c>
      <c r="G199">
        <f>COUNTIF(BUYLIST10[BGG ID],STOREURL[[#This Row],[BGG ID]])</f>
        <v>0</v>
      </c>
    </row>
    <row r="200" spans="1:7" x14ac:dyDescent="0.25">
      <c r="A200">
        <v>129556</v>
      </c>
      <c r="B200" t="s">
        <v>247</v>
      </c>
      <c r="C200" t="s">
        <v>735</v>
      </c>
      <c r="F200" t="str">
        <f>IFERROR(_xlfn.XLOOKUP(STOREURL[[#This Row],[BGG ID]],bgg_cache[id],bgg_cache[title]),_xlfn.XLOOKUP(STOREURL[[#This Row],[BGG ID]],manual_bgg!B:B,manual_bgg!D:D))</f>
        <v>Tapple</v>
      </c>
      <c r="G200">
        <f>COUNTIF(BUYLIST10[BGG ID],STOREURL[[#This Row],[BGG ID]])</f>
        <v>0</v>
      </c>
    </row>
    <row r="201" spans="1:7" x14ac:dyDescent="0.25">
      <c r="A201" s="8">
        <v>118048</v>
      </c>
      <c r="B201" t="s">
        <v>689</v>
      </c>
      <c r="F201" t="str">
        <f>IFERROR(_xlfn.XLOOKUP(STOREURL[[#This Row],[BGG ID]],bgg_cache[id],bgg_cache[title]),_xlfn.XLOOKUP(STOREURL[[#This Row],[BGG ID]],manual_bgg!B:B,manual_bgg!D:D))</f>
        <v>Targi</v>
      </c>
      <c r="G201">
        <f>COUNTIF(BUYLIST10[BGG ID],STOREURL[[#This Row],[BGG ID]])</f>
        <v>0</v>
      </c>
    </row>
    <row r="202" spans="1:7" x14ac:dyDescent="0.25">
      <c r="A202" s="8">
        <v>153016</v>
      </c>
      <c r="B202" t="s">
        <v>1858</v>
      </c>
      <c r="F202" t="str">
        <f>IFERROR(_xlfn.XLOOKUP(STOREURL[[#This Row],[BGG ID]],bgg_cache[id],bgg_cache[title]),_xlfn.XLOOKUP(STOREURL[[#This Row],[BGG ID]],manual_bgg!B:B,manual_bgg!D:D))</f>
        <v>Telestrations: 12 Player Party Pack</v>
      </c>
      <c r="G202">
        <f>COUNTIF(BUYLIST10[BGG ID],STOREURL[[#This Row],[BGG ID]])</f>
        <v>0</v>
      </c>
    </row>
    <row r="203" spans="1:7" x14ac:dyDescent="0.25">
      <c r="A203" s="8">
        <v>167791</v>
      </c>
      <c r="B203" t="s">
        <v>302</v>
      </c>
      <c r="C203" t="s">
        <v>736</v>
      </c>
      <c r="D203">
        <v>179.99</v>
      </c>
      <c r="E203" t="s">
        <v>4024</v>
      </c>
      <c r="F203" t="str">
        <f>IFERROR(_xlfn.XLOOKUP(STOREURL[[#This Row],[BGG ID]],bgg_cache[id],bgg_cache[title]),_xlfn.XLOOKUP(STOREURL[[#This Row],[BGG ID]],manual_bgg!B:B,manual_bgg!D:D))</f>
        <v>Terraforming Mars</v>
      </c>
      <c r="G203">
        <f>COUNTIF(BUYLIST10[BGG ID],STOREURL[[#This Row],[BGG ID]])</f>
        <v>1</v>
      </c>
    </row>
    <row r="204" spans="1:7" x14ac:dyDescent="0.25">
      <c r="A204" s="8">
        <v>328871</v>
      </c>
      <c r="B204" t="s">
        <v>682</v>
      </c>
      <c r="F204" t="str">
        <f>IFERROR(_xlfn.XLOOKUP(STOREURL[[#This Row],[BGG ID]],bgg_cache[id],bgg_cache[title]),_xlfn.XLOOKUP(STOREURL[[#This Row],[BGG ID]],manual_bgg!B:B,manual_bgg!D:D))</f>
        <v>Terraforming Mars: Ares Expedition</v>
      </c>
      <c r="G204">
        <f>COUNTIF(BUYLIST10[BGG ID],STOREURL[[#This Row],[BGG ID]])</f>
        <v>0</v>
      </c>
    </row>
    <row r="205" spans="1:7" x14ac:dyDescent="0.25">
      <c r="A205" s="8">
        <v>375651</v>
      </c>
      <c r="B205" t="s">
        <v>1866</v>
      </c>
      <c r="F205" t="str">
        <f>IFERROR(_xlfn.XLOOKUP(STOREURL[[#This Row],[BGG ID]],bgg_cache[id],bgg_cache[title]),_xlfn.XLOOKUP(STOREURL[[#This Row],[BGG ID]],manual_bgg!B:B,manual_bgg!D:D))</f>
        <v>That's Not a Hat</v>
      </c>
      <c r="G205">
        <f>COUNTIF(BUYLIST10[BGG ID],STOREURL[[#This Row],[BGG ID]])</f>
        <v>0</v>
      </c>
    </row>
    <row r="206" spans="1:7" x14ac:dyDescent="0.25">
      <c r="A206" s="8">
        <v>271320</v>
      </c>
      <c r="B206" t="s">
        <v>1838</v>
      </c>
      <c r="F206" t="str">
        <f>IFERROR(_xlfn.XLOOKUP(STOREURL[[#This Row],[BGG ID]],bgg_cache[id],bgg_cache[title]),_xlfn.XLOOKUP(STOREURL[[#This Row],[BGG ID]],manual_bgg!B:B,manual_bgg!D:D))</f>
        <v>The Castles of Burgundy</v>
      </c>
      <c r="G206">
        <f>COUNTIF(BUYLIST10[BGG ID],STOREURL[[#This Row],[BGG ID]])</f>
        <v>0</v>
      </c>
    </row>
    <row r="207" spans="1:7" x14ac:dyDescent="0.25">
      <c r="A207" s="8">
        <v>249381</v>
      </c>
      <c r="B207" t="s">
        <v>452</v>
      </c>
      <c r="F207" t="str">
        <f>IFERROR(_xlfn.XLOOKUP(STOREURL[[#This Row],[BGG ID]],bgg_cache[id],bgg_cache[title]),_xlfn.XLOOKUP(STOREURL[[#This Row],[BGG ID]],manual_bgg!B:B,manual_bgg!D:D))</f>
        <v>The Estates</v>
      </c>
      <c r="G207">
        <f>COUNTIF(BUYLIST10[BGG ID],STOREURL[[#This Row],[BGG ID]])</f>
        <v>0</v>
      </c>
    </row>
    <row r="208" spans="1:7" x14ac:dyDescent="0.25">
      <c r="A208" s="8">
        <v>319966</v>
      </c>
      <c r="B208" t="s">
        <v>1880</v>
      </c>
      <c r="F208" t="str">
        <f>IFERROR(_xlfn.XLOOKUP(STOREURL[[#This Row],[BGG ID]],bgg_cache[id],bgg_cache[title]),_xlfn.XLOOKUP(STOREURL[[#This Row],[BGG ID]],manual_bgg!B:B,manual_bgg!D:D))</f>
        <v>The King Is Dead: Second Edition</v>
      </c>
      <c r="G208">
        <f>COUNTIF(BUYLIST10[BGG ID],STOREURL[[#This Row],[BGG ID]])</f>
        <v>0</v>
      </c>
    </row>
    <row r="209" spans="1:7" x14ac:dyDescent="0.25">
      <c r="A209" s="8">
        <v>316412</v>
      </c>
      <c r="B209" t="s">
        <v>703</v>
      </c>
      <c r="E209" t="s">
        <v>4026</v>
      </c>
      <c r="F209" t="str">
        <f>IFERROR(_xlfn.XLOOKUP(STOREURL[[#This Row],[BGG ID]],bgg_cache[id],bgg_cache[title]),_xlfn.XLOOKUP(STOREURL[[#This Row],[BGG ID]],manual_bgg!B:B,manual_bgg!D:D))</f>
        <v>The LOOP</v>
      </c>
      <c r="G209">
        <f>COUNTIF(BUYLIST10[BGG ID],STOREURL[[#This Row],[BGG ID]])</f>
        <v>1</v>
      </c>
    </row>
    <row r="210" spans="1:7" x14ac:dyDescent="0.25">
      <c r="A210">
        <v>316597</v>
      </c>
      <c r="B210" t="s">
        <v>1872</v>
      </c>
      <c r="F210" t="str">
        <f>IFERROR(_xlfn.XLOOKUP(STOREURL[[#This Row],[BGG ID]],bgg_cache[id],bgg_cache[title]),_xlfn.XLOOKUP(STOREURL[[#This Row],[BGG ID]],manual_bgg!B:B,manual_bgg!D:D))</f>
        <v>The Quacks of Quedlinburg: The Alchemists</v>
      </c>
      <c r="G210">
        <f>COUNTIF(BUYLIST10[BGG ID],STOREURL[[#This Row],[BGG ID]])</f>
        <v>0</v>
      </c>
    </row>
    <row r="211" spans="1:7" x14ac:dyDescent="0.25">
      <c r="A211">
        <v>269259</v>
      </c>
      <c r="B211" t="s">
        <v>434</v>
      </c>
      <c r="F211" t="str">
        <f>IFERROR(_xlfn.XLOOKUP(STOREURL[[#This Row],[BGG ID]],bgg_cache[id],bgg_cache[title]),_xlfn.XLOOKUP(STOREURL[[#This Row],[BGG ID]],manual_bgg!B:B,manual_bgg!D:D))</f>
        <v>The Quacks of Quedlinburg: The Herb Witches</v>
      </c>
      <c r="G211">
        <f>COUNTIF(BUYLIST10[BGG ID],STOREURL[[#This Row],[BGG ID]])</f>
        <v>0</v>
      </c>
    </row>
    <row r="212" spans="1:7" x14ac:dyDescent="0.25">
      <c r="A212">
        <v>269207</v>
      </c>
      <c r="B212" t="s">
        <v>433</v>
      </c>
      <c r="F212" t="str">
        <f>IFERROR(_xlfn.XLOOKUP(STOREURL[[#This Row],[BGG ID]],bgg_cache[id],bgg_cache[title]),_xlfn.XLOOKUP(STOREURL[[#This Row],[BGG ID]],manual_bgg!B:B,manual_bgg!D:D))</f>
        <v>The Taverns of Tiefenthal</v>
      </c>
      <c r="G212">
        <f>COUNTIF(BUYLIST10[BGG ID],STOREURL[[#This Row],[BGG ID]])</f>
        <v>0</v>
      </c>
    </row>
    <row r="213" spans="1:7" x14ac:dyDescent="0.25">
      <c r="A213">
        <v>274533</v>
      </c>
      <c r="B213" t="s">
        <v>420</v>
      </c>
      <c r="C213" t="s">
        <v>738</v>
      </c>
      <c r="F213" t="str">
        <f>IFERROR(_xlfn.XLOOKUP(STOREURL[[#This Row],[BGG ID]],bgg_cache[id],bgg_cache[title]),_xlfn.XLOOKUP(STOREURL[[#This Row],[BGG ID]],manual_bgg!B:B,manual_bgg!D:D))</f>
        <v>Throw Throw Burrito</v>
      </c>
      <c r="G213">
        <f>COUNTIF(BUYLIST10[BGG ID],STOREURL[[#This Row],[BGG ID]])</f>
        <v>0</v>
      </c>
    </row>
    <row r="214" spans="1:7" x14ac:dyDescent="0.25">
      <c r="A214">
        <v>9209</v>
      </c>
      <c r="B214" t="s">
        <v>1837</v>
      </c>
      <c r="F214" t="str">
        <f>IFERROR(_xlfn.XLOOKUP(STOREURL[[#This Row],[BGG ID]],bgg_cache[id],bgg_cache[title]),_xlfn.XLOOKUP(STOREURL[[#This Row],[BGG ID]],manual_bgg!B:B,manual_bgg!D:D))</f>
        <v>Ticket to Ride</v>
      </c>
      <c r="G214">
        <f>COUNTIF(BUYLIST10[BGG ID],STOREURL[[#This Row],[BGG ID]])</f>
        <v>0</v>
      </c>
    </row>
    <row r="215" spans="1:7" x14ac:dyDescent="0.25">
      <c r="A215">
        <v>31627</v>
      </c>
      <c r="B215" t="s">
        <v>1868</v>
      </c>
      <c r="F215" t="str">
        <f>IFERROR(_xlfn.XLOOKUP(STOREURL[[#This Row],[BGG ID]],bgg_cache[id],bgg_cache[title]),_xlfn.XLOOKUP(STOREURL[[#This Row],[BGG ID]],manual_bgg!B:B,manual_bgg!D:D))</f>
        <v>Ticket to Ride: Nordic Countries</v>
      </c>
      <c r="G215">
        <f>COUNTIF(BUYLIST10[BGG ID],STOREURL[[#This Row],[BGG ID]])</f>
        <v>0</v>
      </c>
    </row>
    <row r="216" spans="1:7" x14ac:dyDescent="0.25">
      <c r="A216" s="8">
        <v>24439</v>
      </c>
      <c r="B216" t="s">
        <v>1867</v>
      </c>
      <c r="F216" t="str">
        <f>IFERROR(_xlfn.XLOOKUP(STOREURL[[#This Row],[BGG ID]],bgg_cache[id],bgg_cache[title]),_xlfn.XLOOKUP(STOREURL[[#This Row],[BGG ID]],manual_bgg!B:B,manual_bgg!D:D))</f>
        <v>Ticket to Ride: USA 1910</v>
      </c>
      <c r="G216">
        <f>COUNTIF(BUYLIST10[BGG ID],STOREURL[[#This Row],[BGG ID]])</f>
        <v>0</v>
      </c>
    </row>
    <row r="217" spans="1:7" x14ac:dyDescent="0.25">
      <c r="A217">
        <v>42</v>
      </c>
      <c r="B217" t="s">
        <v>1856</v>
      </c>
      <c r="E217" t="s">
        <v>4026</v>
      </c>
      <c r="F217" t="str">
        <f>IFERROR(_xlfn.XLOOKUP(STOREURL[[#This Row],[BGG ID]],bgg_cache[id],bgg_cache[title]),_xlfn.XLOOKUP(STOREURL[[#This Row],[BGG ID]],manual_bgg!B:B,manual_bgg!D:D))</f>
        <v>Tigris &amp; Euphrates</v>
      </c>
      <c r="G217">
        <f>COUNTIF(BUYLIST10[BGG ID],STOREURL[[#This Row],[BGG ID]])</f>
        <v>1</v>
      </c>
    </row>
    <row r="218" spans="1:7" x14ac:dyDescent="0.25">
      <c r="A218">
        <v>215463</v>
      </c>
      <c r="B218" t="s">
        <v>687</v>
      </c>
      <c r="F218" t="str">
        <f>IFERROR(_xlfn.XLOOKUP(STOREURL[[#This Row],[BGG ID]],bgg_cache[id],bgg_cache[title]),_xlfn.XLOOKUP(STOREURL[[#This Row],[BGG ID]],manual_bgg!B:B,manual_bgg!D:D))</f>
        <v>Tokyo Highway</v>
      </c>
      <c r="G218">
        <f>COUNTIF(BUYLIST10[BGG ID],STOREURL[[#This Row],[BGG ID]])</f>
        <v>0</v>
      </c>
    </row>
    <row r="219" spans="1:7" x14ac:dyDescent="0.25">
      <c r="A219">
        <v>374266</v>
      </c>
      <c r="B219" t="s">
        <v>468</v>
      </c>
      <c r="F219" t="str">
        <f>IFERROR(_xlfn.XLOOKUP(STOREURL[[#This Row],[BGG ID]],bgg_cache[id],bgg_cache[title]),_xlfn.XLOOKUP(STOREURL[[#This Row],[BGG ID]],manual_bgg!B:B,manual_bgg!D:D))</f>
        <v>Tragedy Looper: New Tragedies</v>
      </c>
      <c r="G219">
        <f>COUNTIF(BUYLIST10[BGG ID],STOREURL[[#This Row],[BGG ID]])</f>
        <v>0</v>
      </c>
    </row>
    <row r="220" spans="1:7" x14ac:dyDescent="0.25">
      <c r="A220">
        <v>338628</v>
      </c>
      <c r="B220" t="s">
        <v>1873</v>
      </c>
      <c r="E220" t="s">
        <v>4026</v>
      </c>
      <c r="F220" t="str">
        <f>IFERROR(_xlfn.XLOOKUP(STOREURL[[#This Row],[BGG ID]],bgg_cache[id],bgg_cache[title]),_xlfn.XLOOKUP(STOREURL[[#This Row],[BGG ID]],manual_bgg!B:B,manual_bgg!D:D))</f>
        <v>Trails</v>
      </c>
      <c r="G220">
        <f>COUNTIF(BUYLIST10[BGG ID],STOREURL[[#This Row],[BGG ID]])</f>
        <v>1</v>
      </c>
    </row>
    <row r="221" spans="1:7" x14ac:dyDescent="0.25">
      <c r="A221">
        <v>282171</v>
      </c>
      <c r="B221" t="s">
        <v>462</v>
      </c>
      <c r="F221" t="str">
        <f>IFERROR(_xlfn.XLOOKUP(STOREURL[[#This Row],[BGG ID]],bgg_cache[id],bgg_cache[title]),_xlfn.XLOOKUP(STOREURL[[#This Row],[BGG ID]],manual_bgg!B:B,manual_bgg!D:D))</f>
        <v>Trial by Trolley</v>
      </c>
      <c r="G221">
        <f>COUNTIF(BUYLIST10[BGG ID],STOREURL[[#This Row],[BGG ID]])</f>
        <v>0</v>
      </c>
    </row>
    <row r="222" spans="1:7" x14ac:dyDescent="0.25">
      <c r="A222" s="8">
        <v>16747</v>
      </c>
      <c r="B222" t="s">
        <v>250</v>
      </c>
      <c r="F222" t="str">
        <f>IFERROR(_xlfn.XLOOKUP(STOREURL[[#This Row],[BGG ID]],bgg_cache[id],bgg_cache[title]),_xlfn.XLOOKUP(STOREURL[[#This Row],[BGG ID]],manual_bgg!B:B,manual_bgg!D:D))</f>
        <v>Tumblin' Dice</v>
      </c>
      <c r="G222">
        <f>COUNTIF(BUYLIST10[BGG ID],STOREURL[[#This Row],[BGG ID]])</f>
        <v>0</v>
      </c>
    </row>
    <row r="223" spans="1:7" x14ac:dyDescent="0.25">
      <c r="A223">
        <v>180591</v>
      </c>
      <c r="B223" t="s">
        <v>467</v>
      </c>
      <c r="F223" t="str">
        <f>IFERROR(_xlfn.XLOOKUP(STOREURL[[#This Row],[BGG ID]],bgg_cache[id],bgg_cache[title]),_xlfn.XLOOKUP(STOREURL[[#This Row],[BGG ID]],manual_bgg!B:B,manual_bgg!D:D))</f>
        <v>Tumult Royale</v>
      </c>
      <c r="G223">
        <f>COUNTIF(BUYLIST10[BGG ID],STOREURL[[#This Row],[BGG ID]])</f>
        <v>0</v>
      </c>
    </row>
    <row r="224" spans="1:7" x14ac:dyDescent="0.25">
      <c r="A224" s="8">
        <v>356123</v>
      </c>
      <c r="B224" t="s">
        <v>1876</v>
      </c>
      <c r="F224" t="str">
        <f>IFERROR(_xlfn.XLOOKUP(STOREURL[[#This Row],[BGG ID]],bgg_cache[id],bgg_cache[title]),_xlfn.XLOOKUP(STOREURL[[#This Row],[BGG ID]],manual_bgg!B:B,manual_bgg!D:D))</f>
        <v>Turing Machine</v>
      </c>
      <c r="G224">
        <f>COUNTIF(BUYLIST10[BGG ID],STOREURL[[#This Row],[BGG ID]])</f>
        <v>0</v>
      </c>
    </row>
    <row r="225" spans="1:7" x14ac:dyDescent="0.25">
      <c r="A225">
        <v>247763</v>
      </c>
      <c r="B225" t="s">
        <v>1862</v>
      </c>
      <c r="D225">
        <v>169.99</v>
      </c>
      <c r="E225" t="s">
        <v>4025</v>
      </c>
      <c r="F225" t="str">
        <f>IFERROR(_xlfn.XLOOKUP(STOREURL[[#This Row],[BGG ID]],bgg_cache[id],bgg_cache[title]),_xlfn.XLOOKUP(STOREURL[[#This Row],[BGG ID]],manual_bgg!B:B,manual_bgg!D:D))</f>
        <v>Underwater Cities</v>
      </c>
      <c r="G225">
        <f>COUNTIF(BUYLIST10[BGG ID],STOREURL[[#This Row],[BGG ID]])</f>
        <v>1</v>
      </c>
    </row>
    <row r="226" spans="1:7" x14ac:dyDescent="0.25">
      <c r="A226">
        <v>274637</v>
      </c>
      <c r="B226" t="s">
        <v>1861</v>
      </c>
      <c r="F226" t="str">
        <f>IFERROR(_xlfn.XLOOKUP(STOREURL[[#This Row],[BGG ID]],bgg_cache[id],bgg_cache[title]),_xlfn.XLOOKUP(STOREURL[[#This Row],[BGG ID]],manual_bgg!B:B,manual_bgg!D:D))</f>
        <v>Unmatched: Battle of Legends, Volume One</v>
      </c>
      <c r="G226">
        <f>COUNTIF(BUYLIST10[BGG ID],STOREURL[[#This Row],[BGG ID]])</f>
        <v>0</v>
      </c>
    </row>
    <row r="227" spans="1:7" x14ac:dyDescent="0.25">
      <c r="A227">
        <v>115746</v>
      </c>
      <c r="B227" t="s">
        <v>1840</v>
      </c>
      <c r="F227" t="str">
        <f>IFERROR(_xlfn.XLOOKUP(STOREURL[[#This Row],[BGG ID]],bgg_cache[id],bgg_cache[title]),_xlfn.XLOOKUP(STOREURL[[#This Row],[BGG ID]],manual_bgg!B:B,manual_bgg!D:D))</f>
        <v>War of the Ring: Second Edition</v>
      </c>
      <c r="G227">
        <f>COUNTIF(BUYLIST10[BGG ID],STOREURL[[#This Row],[BGG ID]])</f>
        <v>0</v>
      </c>
    </row>
    <row r="228" spans="1:7" x14ac:dyDescent="0.25">
      <c r="A228">
        <v>20100</v>
      </c>
      <c r="B228" t="s">
        <v>428</v>
      </c>
      <c r="F228" t="str">
        <f>IFERROR(_xlfn.XLOOKUP(STOREURL[[#This Row],[BGG ID]],bgg_cache[id],bgg_cache[title]),_xlfn.XLOOKUP(STOREURL[[#This Row],[BGG ID]],manual_bgg!B:B,manual_bgg!D:D))</f>
        <v>Wits &amp; Wagers</v>
      </c>
      <c r="G228">
        <f>COUNTIF(BUYLIST10[BGG ID],STOREURL[[#This Row],[BGG ID]])</f>
        <v>0</v>
      </c>
    </row>
    <row r="229" spans="1:7" x14ac:dyDescent="0.25">
      <c r="A229">
        <v>178336</v>
      </c>
      <c r="B229" t="s">
        <v>451</v>
      </c>
      <c r="F229" t="str">
        <f>IFERROR(_xlfn.XLOOKUP(STOREURL[[#This Row],[BGG ID]],bgg_cache[id],bgg_cache[title]),_xlfn.XLOOKUP(STOREURL[[#This Row],[BGG ID]],manual_bgg!B:B,manual_bgg!D:D))</f>
        <v>World's Fair 1893</v>
      </c>
      <c r="G229">
        <f>COUNTIF(BUYLIST10[BGG ID],STOREURL[[#This Row],[BGG ID]])</f>
        <v>0</v>
      </c>
    </row>
    <row r="230" spans="1:7" x14ac:dyDescent="0.25">
      <c r="A230" s="8">
        <v>2582</v>
      </c>
      <c r="B230" t="s">
        <v>4057</v>
      </c>
      <c r="F230" t="str">
        <f>IFERROR(_xlfn.XLOOKUP(STOREURL[[#This Row],[BGG ID]],bgg_cache[id],bgg_cache[title]),_xlfn.XLOOKUP(STOREURL[[#This Row],[BGG ID]],manual_bgg!B:B,manual_bgg!D:D))</f>
        <v>Catch Phrase!</v>
      </c>
      <c r="G230">
        <f>COUNTIF(BUYLIST10[BGG ID],STOREURL[[#This Row],[BGG ID]])</f>
        <v>0</v>
      </c>
    </row>
    <row r="231" spans="1:7" x14ac:dyDescent="0.25">
      <c r="A231" s="8">
        <v>135262</v>
      </c>
      <c r="B231" t="s">
        <v>4058</v>
      </c>
      <c r="F231" t="str">
        <f>IFERROR(_xlfn.XLOOKUP(STOREURL[[#This Row],[BGG ID]],bgg_cache[id],bgg_cache[title]),_xlfn.XLOOKUP(STOREURL[[#This Row],[BGG ID]],manual_bgg!B:B,manual_bgg!D:D))</f>
        <v>Electronic Catch Phrase</v>
      </c>
      <c r="G231">
        <f>COUNTIF(BUYLIST10[BGG ID],STOREURL[[#This Row],[BGG ID]])</f>
        <v>0</v>
      </c>
    </row>
    <row r="232" spans="1:7" x14ac:dyDescent="0.25">
      <c r="A232" s="12">
        <v>217372</v>
      </c>
      <c r="B232" t="s">
        <v>5375</v>
      </c>
      <c r="E232" t="s">
        <v>4026</v>
      </c>
      <c r="F232" t="str">
        <f>IFERROR(_xlfn.XLOOKUP(STOREURL[[#This Row],[BGG ID]],bgg_cache[id],bgg_cache[title]),_xlfn.XLOOKUP(STOREURL[[#This Row],[BGG ID]],manual_bgg!B:B,manual_bgg!D:D))</f>
        <v>The Quest for El Dorado</v>
      </c>
      <c r="G232">
        <f>COUNTIF(BUYLIST10[BGG ID],STOREURL[[#This Row],[BGG ID]])</f>
        <v>1</v>
      </c>
    </row>
    <row r="233" spans="1:7" x14ac:dyDescent="0.25">
      <c r="A233" s="8">
        <v>191189</v>
      </c>
      <c r="D233">
        <v>134.99</v>
      </c>
      <c r="E233" t="s">
        <v>4025</v>
      </c>
      <c r="F233" t="str">
        <f>IFERROR(_xlfn.XLOOKUP(STOREURL[[#This Row],[BGG ID]],bgg_cache[id],bgg_cache[title]),_xlfn.XLOOKUP(STOREURL[[#This Row],[BGG ID]],manual_bgg!B:B,manual_bgg!D:D))</f>
        <v>Aeon's End</v>
      </c>
      <c r="G233">
        <f>COUNTIF(BUYLIST10[BGG ID],STOREURL[[#This Row],[BGG ID]])</f>
        <v>1</v>
      </c>
    </row>
    <row r="234" spans="1:7" x14ac:dyDescent="0.25">
      <c r="A234" s="8">
        <v>276025</v>
      </c>
      <c r="B234" t="s">
        <v>5376</v>
      </c>
      <c r="D234">
        <v>164.99</v>
      </c>
      <c r="E234" t="s">
        <v>5373</v>
      </c>
      <c r="F234" t="str">
        <f>IFERROR(_xlfn.XLOOKUP(STOREURL[[#This Row],[BGG ID]],bgg_cache[id],bgg_cache[title]),_xlfn.XLOOKUP(STOREURL[[#This Row],[BGG ID]],manual_bgg!B:B,manual_bgg!D:D))</f>
        <v>Maracaibo</v>
      </c>
      <c r="G234">
        <f>COUNTIF(BUYLIST10[BGG ID],STOREURL[[#This Row],[BGG ID]])</f>
        <v>1</v>
      </c>
    </row>
    <row r="235" spans="1:7" x14ac:dyDescent="0.25">
      <c r="A235" s="8">
        <v>300531</v>
      </c>
      <c r="D235">
        <v>144.99</v>
      </c>
      <c r="E235" t="s">
        <v>4024</v>
      </c>
      <c r="F235" t="str">
        <f>IFERROR(_xlfn.XLOOKUP(STOREURL[[#This Row],[BGG ID]],bgg_cache[id],bgg_cache[title]),_xlfn.XLOOKUP(STOREURL[[#This Row],[BGG ID]],manual_bgg!B:B,manual_bgg!D:D))</f>
        <v>Paleo</v>
      </c>
      <c r="G235">
        <f>COUNTIF(BUYLIST10[BGG ID],STOREURL[[#This Row],[BGG ID]])</f>
        <v>1</v>
      </c>
    </row>
    <row r="236" spans="1:7" x14ac:dyDescent="0.25">
      <c r="A236" s="8">
        <v>183251</v>
      </c>
      <c r="B236" t="s">
        <v>5377</v>
      </c>
      <c r="E236" t="s">
        <v>4026</v>
      </c>
      <c r="F236" t="str">
        <f>IFERROR(_xlfn.XLOOKUP(STOREURL[[#This Row],[BGG ID]],bgg_cache[id],bgg_cache[title]),_xlfn.XLOOKUP(STOREURL[[#This Row],[BGG ID]],manual_bgg!B:B,manual_bgg!D:D))</f>
        <v>Karuba</v>
      </c>
      <c r="G236">
        <f>COUNTIF(BUYLIST10[BGG ID],STOREURL[[#This Row],[BGG ID]])</f>
        <v>1</v>
      </c>
    </row>
    <row r="237" spans="1:7" x14ac:dyDescent="0.25">
      <c r="A237" s="8">
        <v>219215</v>
      </c>
      <c r="D237">
        <v>33.99</v>
      </c>
      <c r="E237" t="s">
        <v>4027</v>
      </c>
      <c r="F237" t="str">
        <f>IFERROR(_xlfn.XLOOKUP(STOREURL[[#This Row],[BGG ID]],bgg_cache[id],bgg_cache[title]),_xlfn.XLOOKUP(STOREURL[[#This Row],[BGG ID]],manual_bgg!B:B,manual_bgg!D:D))</f>
        <v>Werewords</v>
      </c>
      <c r="G237">
        <f>COUNTIF(BUYLIST10[BGG ID],STOREURL[[#This Row],[BGG ID]])</f>
        <v>1</v>
      </c>
    </row>
    <row r="238" spans="1:7" x14ac:dyDescent="0.25">
      <c r="A238" s="8">
        <v>300580</v>
      </c>
      <c r="D238">
        <v>79.989999999999995</v>
      </c>
      <c r="E238" t="s">
        <v>4027</v>
      </c>
      <c r="F238" t="str">
        <f>IFERROR(_xlfn.XLOOKUP(STOREURL[[#This Row],[BGG ID]],bgg_cache[id],bgg_cache[title]),_xlfn.XLOOKUP(STOREURL[[#This Row],[BGG ID]],manual_bgg!B:B,manual_bgg!D:D))</f>
        <v>Wingspan: Oceania Expansion</v>
      </c>
      <c r="G238">
        <f>COUNTIF(BUYLIST10[BGG ID],STOREURL[[#This Row],[BGG ID]])</f>
        <v>1</v>
      </c>
    </row>
    <row r="239" spans="1:7" x14ac:dyDescent="0.25">
      <c r="A239">
        <v>385318</v>
      </c>
      <c r="D239">
        <v>79.989999999999995</v>
      </c>
      <c r="E239" t="s">
        <v>4024</v>
      </c>
      <c r="F239" t="str">
        <f>IFERROR(_xlfn.XLOOKUP(STOREURL[[#This Row],[BGG ID]],bgg_cache[id],bgg_cache[title]),_xlfn.XLOOKUP(STOREURL[[#This Row],[BGG ID]],manual_bgg!B:B,manual_bgg!D:D))</f>
        <v>Cascadia: Landmarks</v>
      </c>
      <c r="G239">
        <f>COUNTIF(BUYLIST10[BGG ID],STOREURL[[#This Row],[BGG ID]])</f>
        <v>1</v>
      </c>
    </row>
    <row r="240" spans="1:7" x14ac:dyDescent="0.25">
      <c r="A240">
        <v>410291</v>
      </c>
      <c r="B240" t="s">
        <v>5378</v>
      </c>
      <c r="E240" t="s">
        <v>4026</v>
      </c>
      <c r="F240" t="str">
        <f>IFERROR(_xlfn.XLOOKUP(STOREURL[[#This Row],[BGG ID]],bgg_cache[id],bgg_cache[title]),_xlfn.XLOOKUP(STOREURL[[#This Row],[BGG ID]],manual_bgg!B:B,manual_bgg!D:D))</f>
        <v>Heat: Heavy Rain Expansion</v>
      </c>
      <c r="G240">
        <f>COUNTIF(BUYLIST10[BGG ID],STOREURL[[#This Row],[BGG ID]])</f>
        <v>1</v>
      </c>
    </row>
    <row r="241" spans="1:7" x14ac:dyDescent="0.25">
      <c r="A241">
        <v>233891</v>
      </c>
      <c r="D241">
        <v>94.99</v>
      </c>
      <c r="E241" t="s">
        <v>4027</v>
      </c>
      <c r="F241" t="str">
        <f>IFERROR(_xlfn.XLOOKUP(STOREURL[[#This Row],[BGG ID]],bgg_cache[id],bgg_cache[title]),_xlfn.XLOOKUP(STOREURL[[#This Row],[BGG ID]],manual_bgg!B:B,manual_bgg!D:D))</f>
        <v>Ticket to Ride Map Collection Vol. 6 – France &amp; Old West</v>
      </c>
      <c r="G241">
        <f>COUNTIF(BUYLIST10[BGG ID],STOREURL[[#This Row],[BGG ID]])</f>
        <v>1</v>
      </c>
    </row>
    <row r="242" spans="1:7" x14ac:dyDescent="0.25">
      <c r="A242">
        <v>273938</v>
      </c>
      <c r="D242">
        <v>31.99</v>
      </c>
      <c r="E242" t="s">
        <v>4024</v>
      </c>
      <c r="F242" t="str">
        <f>IFERROR(_xlfn.XLOOKUP(STOREURL[[#This Row],[BGG ID]],bgg_cache[id],bgg_cache[title]),_xlfn.XLOOKUP(STOREURL[[#This Row],[BGG ID]],manual_bgg!B:B,manual_bgg!D:D))</f>
        <v>Decrypto: Expansion #01 – Laserdrive</v>
      </c>
      <c r="G242">
        <f>COUNTIF(BUYLIST10[BGG ID],STOREURL[[#This Row],[BGG ID]])</f>
        <v>1</v>
      </c>
    </row>
    <row r="243" spans="1:7" x14ac:dyDescent="0.25">
      <c r="A243" s="8">
        <v>306735</v>
      </c>
      <c r="D243">
        <v>69.989999999999995</v>
      </c>
      <c r="E243" t="s">
        <v>4027</v>
      </c>
      <c r="F243" t="str">
        <f>IFERROR(_xlfn.XLOOKUP(STOREURL[[#This Row],[BGG ID]],bgg_cache[id],bgg_cache[title]),_xlfn.XLOOKUP(STOREURL[[#This Row],[BGG ID]],manual_bgg!B:B,manual_bgg!D:D))</f>
        <v>Under Falling Skies</v>
      </c>
      <c r="G243">
        <f>COUNTIF(BUYLIST10[BGG ID],STOREURL[[#This Row],[BGG ID]])</f>
        <v>1</v>
      </c>
    </row>
    <row r="244" spans="1:7" x14ac:dyDescent="0.25">
      <c r="A244">
        <v>262712</v>
      </c>
      <c r="B244" t="s">
        <v>5379</v>
      </c>
      <c r="E244" t="s">
        <v>4026</v>
      </c>
      <c r="F244" t="str">
        <f>IFERROR(_xlfn.XLOOKUP(STOREURL[[#This Row],[BGG ID]],bgg_cache[id],bgg_cache[title]),_xlfn.XLOOKUP(STOREURL[[#This Row],[BGG ID]],manual_bgg!B:B,manual_bgg!D:D))</f>
        <v>Res Arcana</v>
      </c>
      <c r="G244">
        <f>COUNTIF(BUYLIST10[BGG ID],STOREURL[[#This Row],[BGG ID]])</f>
        <v>1</v>
      </c>
    </row>
    <row r="245" spans="1:7" x14ac:dyDescent="0.25">
      <c r="A245">
        <v>216132</v>
      </c>
      <c r="B245" t="s">
        <v>5380</v>
      </c>
      <c r="E245" t="s">
        <v>4026</v>
      </c>
      <c r="F245" t="str">
        <f>IFERROR(_xlfn.XLOOKUP(STOREURL[[#This Row],[BGG ID]],bgg_cache[id],bgg_cache[title]),_xlfn.XLOOKUP(STOREURL[[#This Row],[BGG ID]],manual_bgg!B:B,manual_bgg!D:D))</f>
        <v>Clans of Caledonia</v>
      </c>
      <c r="G245">
        <f>COUNTIF(BUYLIST10[BGG ID],STOREURL[[#This Row],[BGG ID]])</f>
        <v>1</v>
      </c>
    </row>
    <row r="246" spans="1:7" x14ac:dyDescent="0.25">
      <c r="A246" s="8">
        <v>312679</v>
      </c>
      <c r="B246" t="s">
        <v>5381</v>
      </c>
      <c r="E246" t="s">
        <v>4026</v>
      </c>
      <c r="F246" t="str">
        <f>IFERROR(_xlfn.XLOOKUP(STOREURL[[#This Row],[BGG ID]],bgg_cache[id],bgg_cache[title]),_xlfn.XLOOKUP(STOREURL[[#This Row],[BGG ID]],manual_bgg!B:B,manual_bgg!D:D))</f>
        <v>Nidavellir</v>
      </c>
      <c r="G246">
        <f>COUNTIF(BUYLIST10[BGG ID],STOREURL[[#This Row],[BGG ID]])</f>
        <v>1</v>
      </c>
    </row>
    <row r="247" spans="1:7" x14ac:dyDescent="0.25">
      <c r="A247" s="8">
        <v>140934</v>
      </c>
      <c r="D247">
        <v>49.99</v>
      </c>
      <c r="E247" t="s">
        <v>4024</v>
      </c>
      <c r="F247" t="str">
        <f>IFERROR(_xlfn.XLOOKUP(STOREURL[[#This Row],[BGG ID]],bgg_cache[id],bgg_cache[title]),_xlfn.XLOOKUP(STOREURL[[#This Row],[BGG ID]],manual_bgg!B:B,manual_bgg!D:D))</f>
        <v>Arboretum</v>
      </c>
      <c r="G247">
        <f>COUNTIF(BUYLIST10[BGG ID],STOREURL[[#This Row],[BGG ID]])</f>
        <v>1</v>
      </c>
    </row>
    <row r="248" spans="1:7" x14ac:dyDescent="0.25">
      <c r="A248" s="8">
        <v>251849</v>
      </c>
      <c r="D248">
        <v>29.99</v>
      </c>
      <c r="E248" t="s">
        <v>4024</v>
      </c>
      <c r="F248" t="str">
        <f>IFERROR(_xlfn.XLOOKUP(STOREURL[[#This Row],[BGG ID]],bgg_cache[id],bgg_cache[title]),_xlfn.XLOOKUP(STOREURL[[#This Row],[BGG ID]],manual_bgg!B:B,manual_bgg!D:D))</f>
        <v>Sprawlopolis</v>
      </c>
      <c r="G248">
        <f>COUNTIF(BUYLIST10[BGG ID],STOREURL[[#This Row],[BGG ID]])</f>
        <v>1</v>
      </c>
    </row>
    <row r="249" spans="1:7" x14ac:dyDescent="0.25">
      <c r="A249">
        <v>265736</v>
      </c>
      <c r="D249">
        <v>124.99</v>
      </c>
      <c r="E249" t="s">
        <v>4024</v>
      </c>
      <c r="F249" t="str">
        <f>IFERROR(_xlfn.XLOOKUP(STOREURL[[#This Row],[BGG ID]],bgg_cache[id],bgg_cache[title]),_xlfn.XLOOKUP(STOREURL[[#This Row],[BGG ID]],manual_bgg!B:B,manual_bgg!D:D))</f>
        <v>Tiny Towns</v>
      </c>
      <c r="G249">
        <f>COUNTIF(BUYLIST10[BGG ID],STOREURL[[#This Row],[BGG ID]])</f>
        <v>1</v>
      </c>
    </row>
    <row r="250" spans="1:7" x14ac:dyDescent="0.25">
      <c r="A250">
        <v>281259</v>
      </c>
      <c r="D250">
        <v>104.99</v>
      </c>
      <c r="E250" t="s">
        <v>4024</v>
      </c>
      <c r="F250" t="str">
        <f>IFERROR(_xlfn.XLOOKUP(STOREURL[[#This Row],[BGG ID]],bgg_cache[id],bgg_cache[title]),_xlfn.XLOOKUP(STOREURL[[#This Row],[BGG ID]],manual_bgg!B:B,manual_bgg!D:D))</f>
        <v>The Isle of Cats</v>
      </c>
      <c r="G250">
        <f>COUNTIF(BUYLIST10[BGG ID],STOREURL[[#This Row],[BGG ID]])</f>
        <v>1</v>
      </c>
    </row>
    <row r="251" spans="1:7" x14ac:dyDescent="0.25">
      <c r="A251" s="8">
        <v>350933</v>
      </c>
      <c r="D251">
        <v>124.99</v>
      </c>
      <c r="E251" t="s">
        <v>4024</v>
      </c>
      <c r="F251" t="str">
        <f>IFERROR(_xlfn.XLOOKUP(STOREURL[[#This Row],[BGG ID]],bgg_cache[id],bgg_cache[title]),_xlfn.XLOOKUP(STOREURL[[#This Row],[BGG ID]],manual_bgg!B:B,manual_bgg!D:D))</f>
        <v>The Guild of Merchant Explorers</v>
      </c>
      <c r="G251">
        <f>COUNTIF(BUYLIST10[BGG ID],STOREURL[[#This Row],[BGG ID]])</f>
        <v>1</v>
      </c>
    </row>
    <row r="252" spans="1:7" x14ac:dyDescent="0.25">
      <c r="A252">
        <v>216600</v>
      </c>
      <c r="D252">
        <v>94.99</v>
      </c>
      <c r="E252" t="s">
        <v>4027</v>
      </c>
      <c r="F252" t="str">
        <f>IFERROR(_xlfn.XLOOKUP(STOREURL[[#This Row],[BGG ID]],bgg_cache[id],bgg_cache[title]),_xlfn.XLOOKUP(STOREURL[[#This Row],[BGG ID]],manual_bgg!B:B,manual_bgg!D:D))</f>
        <v>Fantastic Factories</v>
      </c>
      <c r="G252">
        <f>COUNTIF(BUYLIST10[BGG ID],STOREURL[[#This Row],[BGG ID]])</f>
        <v>1</v>
      </c>
    </row>
    <row r="253" spans="1:7" x14ac:dyDescent="0.25">
      <c r="A253">
        <v>368017</v>
      </c>
      <c r="D253">
        <v>59.99</v>
      </c>
      <c r="E253" t="s">
        <v>4024</v>
      </c>
      <c r="F253" t="str">
        <f>IFERROR(_xlfn.XLOOKUP(STOREURL[[#This Row],[BGG ID]],bgg_cache[id],bgg_cache[title]),_xlfn.XLOOKUP(STOREURL[[#This Row],[BGG ID]],manual_bgg!B:B,manual_bgg!D:D))</f>
        <v>Point City</v>
      </c>
      <c r="G253">
        <f>COUNTIF(BUYLIST10[BGG ID],STOREURL[[#This Row],[BGG ID]])</f>
        <v>1</v>
      </c>
    </row>
    <row r="254" spans="1:7" x14ac:dyDescent="0.25">
      <c r="A254" s="8">
        <v>158600</v>
      </c>
      <c r="B254" t="s">
        <v>5382</v>
      </c>
      <c r="E254" t="s">
        <v>4026</v>
      </c>
      <c r="F254" t="str">
        <f>IFERROR(_xlfn.XLOOKUP(STOREURL[[#This Row],[BGG ID]],bgg_cache[id],bgg_cache[title]),_xlfn.XLOOKUP(STOREURL[[#This Row],[BGG ID]],manual_bgg!B:B,manual_bgg!D:D))</f>
        <v>Hanamikoji</v>
      </c>
      <c r="G254">
        <f>COUNTIF(BUYLIST10[BGG ID],STOREURL[[#This Row],[BGG ID]])</f>
        <v>1</v>
      </c>
    </row>
    <row r="255" spans="1:7" x14ac:dyDescent="0.25">
      <c r="A255" s="8">
        <v>131357</v>
      </c>
      <c r="D255">
        <v>37.99</v>
      </c>
      <c r="E255" t="s">
        <v>4024</v>
      </c>
      <c r="F255" t="str">
        <f>IFERROR(_xlfn.XLOOKUP(STOREURL[[#This Row],[BGG ID]],bgg_cache[id],bgg_cache[title]),_xlfn.XLOOKUP(STOREURL[[#This Row],[BGG ID]],manual_bgg!B:B,manual_bgg!D:D))</f>
        <v>Coup</v>
      </c>
      <c r="G255">
        <f>COUNTIF(BUYLIST10[BGG ID],STOREURL[[#This Row],[BGG ID]])</f>
        <v>1</v>
      </c>
    </row>
    <row r="256" spans="1:7" x14ac:dyDescent="0.25">
      <c r="A256">
        <v>150145</v>
      </c>
      <c r="D256">
        <v>41.99</v>
      </c>
      <c r="E256" t="s">
        <v>4024</v>
      </c>
      <c r="F256" t="str">
        <f>IFERROR(_xlfn.XLOOKUP(STOREURL[[#This Row],[BGG ID]],bgg_cache[id],bgg_cache[title]),_xlfn.XLOOKUP(STOREURL[[#This Row],[BGG ID]],manual_bgg!B:B,manual_bgg!D:D))</f>
        <v>Skull King</v>
      </c>
      <c r="G256">
        <f>COUNTIF(BUYLIST10[BGG ID],STOREURL[[#This Row],[BGG ID]])</f>
        <v>1</v>
      </c>
    </row>
    <row r="257" spans="1:7" x14ac:dyDescent="0.25">
      <c r="A257">
        <v>271324</v>
      </c>
      <c r="B257" t="s">
        <v>5383</v>
      </c>
      <c r="E257" t="s">
        <v>4026</v>
      </c>
      <c r="F257" t="str">
        <f>IFERROR(_xlfn.XLOOKUP(STOREURL[[#This Row],[BGG ID]],bgg_cache[id],bgg_cache[title]),_xlfn.XLOOKUP(STOREURL[[#This Row],[BGG ID]],manual_bgg!B:B,manual_bgg!D:D))</f>
        <v>L.L.A.M.A.</v>
      </c>
      <c r="G257">
        <f>COUNTIF(BUYLIST10[BGG ID],STOREURL[[#This Row],[BGG ID]])</f>
        <v>1</v>
      </c>
    </row>
    <row r="258" spans="1:7" x14ac:dyDescent="0.25">
      <c r="A258">
        <v>364073</v>
      </c>
      <c r="D258">
        <v>54.99</v>
      </c>
      <c r="E258" t="s">
        <v>4024</v>
      </c>
      <c r="F258" t="str">
        <f>IFERROR(_xlfn.XLOOKUP(STOREURL[[#This Row],[BGG ID]],bgg_cache[id],bgg_cache[title]),_xlfn.XLOOKUP(STOREURL[[#This Row],[BGG ID]],manual_bgg!B:B,manual_bgg!D:D))</f>
        <v>Splendor Duel</v>
      </c>
      <c r="G258">
        <f>COUNTIF(BUYLIST10[BGG ID],STOREURL[[#This Row],[BGG ID]])</f>
        <v>1</v>
      </c>
    </row>
    <row r="259" spans="1:7" x14ac:dyDescent="0.25">
      <c r="A259" s="8">
        <v>315767</v>
      </c>
      <c r="D259">
        <v>54.99</v>
      </c>
      <c r="E259" t="s">
        <v>4024</v>
      </c>
      <c r="F259" t="str">
        <f>IFERROR(_xlfn.XLOOKUP(STOREURL[[#This Row],[BGG ID]],bgg_cache[id],bgg_cache[title]),_xlfn.XLOOKUP(STOREURL[[#This Row],[BGG ID]],manual_bgg!B:B,manual_bgg!D:D))</f>
        <v>Cartographers Heroes</v>
      </c>
      <c r="G259">
        <f>COUNTIF(BUYLIST10[BGG ID],STOREURL[[#This Row],[BGG ID]])</f>
        <v>1</v>
      </c>
    </row>
    <row r="260" spans="1:7" x14ac:dyDescent="0.25">
      <c r="A260" s="8">
        <v>43015</v>
      </c>
      <c r="D260">
        <v>134.99</v>
      </c>
      <c r="E260" t="s">
        <v>4024</v>
      </c>
      <c r="F260" t="str">
        <f>IFERROR(_xlfn.XLOOKUP(STOREURL[[#This Row],[BGG ID]],bgg_cache[id],bgg_cache[title]),_xlfn.XLOOKUP(STOREURL[[#This Row],[BGG ID]],manual_bgg!B:B,manual_bgg!D:D))</f>
        <v>Hansa Teutonica</v>
      </c>
      <c r="G260">
        <f>COUNTIF(BUYLIST10[BGG ID],STOREURL[[#This Row],[BGG ID]])</f>
        <v>1</v>
      </c>
    </row>
    <row r="261" spans="1:7" x14ac:dyDescent="0.25">
      <c r="A261" s="8">
        <v>172081</v>
      </c>
      <c r="B261" t="s">
        <v>5384</v>
      </c>
      <c r="E261" t="s">
        <v>4026</v>
      </c>
      <c r="F261" t="str">
        <f>IFERROR(_xlfn.XLOOKUP(STOREURL[[#This Row],[BGG ID]],bgg_cache[id],bgg_cache[title]),_xlfn.XLOOKUP(STOREURL[[#This Row],[BGG ID]],manual_bgg!B:B,manual_bgg!D:D))</f>
        <v>Burgle Bros.</v>
      </c>
      <c r="G261">
        <f>COUNTIF(BUYLIST10[BGG ID],STOREURL[[#This Row],[BGG ID]])</f>
        <v>1</v>
      </c>
    </row>
    <row r="262" spans="1:7" x14ac:dyDescent="0.25">
      <c r="A262">
        <v>163967</v>
      </c>
      <c r="D262">
        <v>64.989999999999995</v>
      </c>
      <c r="E262" t="s">
        <v>4027</v>
      </c>
      <c r="F262" t="str">
        <f>IFERROR(_xlfn.XLOOKUP(STOREURL[[#This Row],[BGG ID]],bgg_cache[id],bgg_cache[title]),_xlfn.XLOOKUP(STOREURL[[#This Row],[BGG ID]],manual_bgg!B:B,manual_bgg!D:D))</f>
        <v>Tiny Epic Galaxies</v>
      </c>
      <c r="G262">
        <f>COUNTIF(BUYLIST10[BGG ID],STOREURL[[#This Row],[BGG ID]])</f>
        <v>1</v>
      </c>
    </row>
    <row r="263" spans="1:7" x14ac:dyDescent="0.25">
      <c r="A263">
        <v>298729</v>
      </c>
      <c r="B263" t="s">
        <v>5385</v>
      </c>
      <c r="E263" t="s">
        <v>4026</v>
      </c>
      <c r="F263" t="str">
        <f>IFERROR(_xlfn.XLOOKUP(STOREURL[[#This Row],[BGG ID]],bgg_cache[id],bgg_cache[title]),_xlfn.XLOOKUP(STOREURL[[#This Row],[BGG ID]],manual_bgg!B:B,manual_bgg!D:D))</f>
        <v>PARKS: Nightfall</v>
      </c>
      <c r="G263">
        <f>COUNTIF(BUYLIST10[BGG ID],STOREURL[[#This Row],[BGG ID]])</f>
        <v>1</v>
      </c>
    </row>
    <row r="264" spans="1:7" x14ac:dyDescent="0.25">
      <c r="A264">
        <v>202174</v>
      </c>
      <c r="D264">
        <v>79.989999999999995</v>
      </c>
      <c r="E264" t="s">
        <v>4027</v>
      </c>
      <c r="F264" t="str">
        <f>IFERROR(_xlfn.XLOOKUP(STOREURL[[#This Row],[BGG ID]],bgg_cache[id],bgg_cache[title]),_xlfn.XLOOKUP(STOREURL[[#This Row],[BGG ID]],manual_bgg!B:B,manual_bgg!D:D))</f>
        <v>Viticulture: Tuscany Essential Edition</v>
      </c>
      <c r="G264">
        <f>COUNTIF(BUYLIST10[BGG ID],STOREURL[[#This Row],[BGG ID]])</f>
        <v>1</v>
      </c>
    </row>
    <row r="265" spans="1:7" x14ac:dyDescent="0.25">
      <c r="A265">
        <v>216734</v>
      </c>
      <c r="D265">
        <v>69.989999999999995</v>
      </c>
      <c r="E265" t="s">
        <v>4024</v>
      </c>
      <c r="F265" t="str">
        <f>IFERROR(_xlfn.XLOOKUP(STOREURL[[#This Row],[BGG ID]],bgg_cache[id],bgg_cache[title]),_xlfn.XLOOKUP(STOREURL[[#This Row],[BGG ID]],manual_bgg!B:B,manual_bgg!D:D))</f>
        <v>Dice Throne: Season One</v>
      </c>
      <c r="G265">
        <f>COUNTIF(BUYLIST10[BGG ID],STOREURL[[#This Row],[BGG ID]])</f>
        <v>1</v>
      </c>
    </row>
    <row r="266" spans="1:7" x14ac:dyDescent="0.25">
      <c r="A266">
        <v>233371</v>
      </c>
      <c r="D266">
        <v>134.99</v>
      </c>
      <c r="E266" t="s">
        <v>4024</v>
      </c>
      <c r="F266" t="str">
        <f>IFERROR(_xlfn.XLOOKUP(STOREURL[[#This Row],[BGG ID]],bgg_cache[id],bgg_cache[title]),_xlfn.XLOOKUP(STOREURL[[#This Row],[BGG ID]],manual_bgg!B:B,manual_bgg!D:D))</f>
        <v>Clank! In! Space!</v>
      </c>
      <c r="G266">
        <f>COUNTIF(BUYLIST10[BGG ID],STOREURL[[#This Row],[BGG ID]])</f>
        <v>1</v>
      </c>
    </row>
    <row r="267" spans="1:7" x14ac:dyDescent="0.25">
      <c r="A267">
        <v>223040</v>
      </c>
      <c r="D267">
        <v>64.989999999999995</v>
      </c>
      <c r="E267" t="s">
        <v>4024</v>
      </c>
      <c r="F267" t="str">
        <f>IFERROR(_xlfn.XLOOKUP(STOREURL[[#This Row],[BGG ID]],bgg_cache[id],bgg_cache[title]),_xlfn.XLOOKUP(STOREURL[[#This Row],[BGG ID]],manual_bgg!B:B,manual_bgg!D:D))</f>
        <v>Cat Lady</v>
      </c>
      <c r="G267">
        <f>COUNTIF(BUYLIST10[BGG ID],STOREURL[[#This Row],[BGG ID]])</f>
        <v>1</v>
      </c>
    </row>
    <row r="268" spans="1:7" x14ac:dyDescent="0.25">
      <c r="A268">
        <v>269752</v>
      </c>
      <c r="B268" t="s">
        <v>5386</v>
      </c>
      <c r="E268" t="s">
        <v>4026</v>
      </c>
      <c r="F268" t="str">
        <f>IFERROR(_xlfn.XLOOKUP(STOREURL[[#This Row],[BGG ID]],bgg_cache[id],bgg_cache[title]),_xlfn.XLOOKUP(STOREURL[[#This Row],[BGG ID]],manual_bgg!B:B,manual_bgg!D:D))</f>
        <v>Noctiluca</v>
      </c>
      <c r="G268">
        <f>COUNTIF(BUYLIST10[BGG ID],STOREURL[[#This Row],[BGG ID]])</f>
        <v>1</v>
      </c>
    </row>
    <row r="269" spans="1:7" x14ac:dyDescent="0.25">
      <c r="A269">
        <v>180593</v>
      </c>
      <c r="B269" t="s">
        <v>5387</v>
      </c>
      <c r="E269" t="s">
        <v>4026</v>
      </c>
      <c r="F269" t="str">
        <f>IFERROR(_xlfn.XLOOKUP(STOREURL[[#This Row],[BGG ID]],bgg_cache[id],bgg_cache[title]),_xlfn.XLOOKUP(STOREURL[[#This Row],[BGG ID]],manual_bgg!B:B,manual_bgg!D:D))</f>
        <v>The Bloody Inn</v>
      </c>
      <c r="G269">
        <f>COUNTIF(BUYLIST10[BGG ID],STOREURL[[#This Row],[BGG ID]])</f>
        <v>1</v>
      </c>
    </row>
    <row r="270" spans="1:7" x14ac:dyDescent="0.25">
      <c r="A270" s="8">
        <v>171908</v>
      </c>
      <c r="B270" t="s">
        <v>5388</v>
      </c>
      <c r="E270" t="s">
        <v>4026</v>
      </c>
      <c r="F270" t="str">
        <f>IFERROR(_xlfn.XLOOKUP(STOREURL[[#This Row],[BGG ID]],bgg_cache[id],bgg_cache[title]),_xlfn.XLOOKUP(STOREURL[[#This Row],[BGG ID]],manual_bgg!B:B,manual_bgg!D:D))</f>
        <v>El Grande: Big Box</v>
      </c>
      <c r="G270">
        <f>COUNTIF(BUYLIST10[BGG ID],STOREURL[[#This Row],[BGG ID]])</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C3E0-215D-40CB-A186-20562D7D63A0}">
  <dimension ref="A1:M104"/>
  <sheetViews>
    <sheetView workbookViewId="0">
      <selection sqref="A1:M104"/>
    </sheetView>
  </sheetViews>
  <sheetFormatPr defaultRowHeight="15" x14ac:dyDescent="0.25"/>
  <cols>
    <col min="1" max="1" width="13.42578125" bestFit="1" customWidth="1"/>
    <col min="2" max="2" width="36.140625" bestFit="1" customWidth="1"/>
    <col min="3" max="3" width="16.7109375" bestFit="1" customWidth="1"/>
    <col min="4" max="4" width="28.7109375" bestFit="1" customWidth="1"/>
    <col min="5" max="5" width="26.42578125" bestFit="1" customWidth="1"/>
    <col min="6" max="6" width="25.42578125" bestFit="1" customWidth="1"/>
    <col min="7" max="7" width="21.140625" bestFit="1" customWidth="1"/>
    <col min="8" max="8" width="25.7109375" bestFit="1" customWidth="1"/>
    <col min="9" max="9" width="14.7109375" bestFit="1" customWidth="1"/>
    <col min="10" max="10" width="19.85546875" bestFit="1" customWidth="1"/>
    <col min="11" max="11" width="36.42578125" bestFit="1" customWidth="1"/>
    <col min="12" max="12" width="28.42578125" bestFit="1" customWidth="1"/>
    <col min="13" max="13" width="29.140625" bestFit="1" customWidth="1"/>
    <col min="14" max="14" width="7.85546875" bestFit="1" customWidth="1"/>
  </cols>
  <sheetData>
    <row r="1" spans="1:13" x14ac:dyDescent="0.25">
      <c r="A1" t="s">
        <v>145</v>
      </c>
      <c r="B1" t="s">
        <v>146</v>
      </c>
      <c r="C1" t="s">
        <v>147</v>
      </c>
      <c r="D1" t="s">
        <v>150</v>
      </c>
      <c r="E1" t="s">
        <v>152</v>
      </c>
      <c r="F1" t="s">
        <v>153</v>
      </c>
      <c r="G1" t="s">
        <v>154</v>
      </c>
      <c r="H1" t="s">
        <v>155</v>
      </c>
      <c r="I1" t="s">
        <v>156</v>
      </c>
      <c r="J1" t="s">
        <v>148</v>
      </c>
      <c r="K1" t="s">
        <v>149</v>
      </c>
      <c r="L1" t="s">
        <v>151</v>
      </c>
      <c r="M1" t="s">
        <v>157</v>
      </c>
    </row>
    <row r="2" spans="1:13" x14ac:dyDescent="0.25">
      <c r="A2" s="3">
        <v>46000.609282407408</v>
      </c>
      <c r="B2" t="s">
        <v>399</v>
      </c>
      <c r="C2">
        <v>49.09</v>
      </c>
      <c r="D2">
        <v>7.11</v>
      </c>
      <c r="E2">
        <v>49.16</v>
      </c>
      <c r="F2">
        <v>49.16</v>
      </c>
      <c r="G2" t="s">
        <v>160</v>
      </c>
      <c r="H2">
        <v>14.78</v>
      </c>
      <c r="I2">
        <v>41.83</v>
      </c>
      <c r="J2">
        <v>41.98</v>
      </c>
      <c r="K2" t="s">
        <v>4013</v>
      </c>
      <c r="L2">
        <v>14.48</v>
      </c>
      <c r="M2">
        <v>-0.29999999999999893</v>
      </c>
    </row>
    <row r="3" spans="1:13" x14ac:dyDescent="0.25">
      <c r="A3" s="3">
        <v>45911</v>
      </c>
      <c r="B3" t="s">
        <v>370</v>
      </c>
      <c r="C3">
        <v>0</v>
      </c>
      <c r="J3">
        <v>0</v>
      </c>
      <c r="K3" t="s">
        <v>3963</v>
      </c>
    </row>
    <row r="4" spans="1:13" x14ac:dyDescent="0.25">
      <c r="A4" s="3">
        <v>46000.609282407408</v>
      </c>
      <c r="B4" t="s">
        <v>291</v>
      </c>
      <c r="C4">
        <v>152.01</v>
      </c>
      <c r="D4">
        <v>54.01</v>
      </c>
      <c r="E4">
        <v>153.91</v>
      </c>
      <c r="F4">
        <v>153.82</v>
      </c>
      <c r="G4" t="s">
        <v>160</v>
      </c>
      <c r="H4">
        <v>35.53</v>
      </c>
      <c r="I4">
        <v>98</v>
      </c>
      <c r="J4">
        <v>98</v>
      </c>
      <c r="K4" t="s">
        <v>4011</v>
      </c>
      <c r="L4">
        <v>35.53</v>
      </c>
      <c r="M4">
        <v>0</v>
      </c>
    </row>
    <row r="5" spans="1:13" x14ac:dyDescent="0.25">
      <c r="A5" s="3">
        <v>45922</v>
      </c>
      <c r="B5" t="s">
        <v>2268</v>
      </c>
      <c r="C5">
        <v>0</v>
      </c>
      <c r="J5">
        <v>0</v>
      </c>
      <c r="K5" t="s">
        <v>4002</v>
      </c>
    </row>
    <row r="6" spans="1:13" x14ac:dyDescent="0.25">
      <c r="A6" s="3">
        <v>45922</v>
      </c>
      <c r="B6" t="s">
        <v>2344</v>
      </c>
      <c r="C6">
        <v>0</v>
      </c>
      <c r="J6">
        <v>0</v>
      </c>
      <c r="K6" t="s">
        <v>4002</v>
      </c>
    </row>
    <row r="7" spans="1:13" x14ac:dyDescent="0.25">
      <c r="A7" s="3">
        <v>46000.609282407408</v>
      </c>
      <c r="B7" t="s">
        <v>631</v>
      </c>
      <c r="C7">
        <v>74.150000000000006</v>
      </c>
      <c r="D7">
        <v>21.3</v>
      </c>
      <c r="E7">
        <v>77.05</v>
      </c>
      <c r="F7">
        <v>77.459999999999994</v>
      </c>
      <c r="G7" t="s">
        <v>160</v>
      </c>
      <c r="H7">
        <v>28.97</v>
      </c>
      <c r="I7">
        <v>52.67</v>
      </c>
      <c r="J7">
        <v>52.85</v>
      </c>
      <c r="K7" t="s">
        <v>4013</v>
      </c>
      <c r="L7">
        <v>28.73</v>
      </c>
      <c r="M7">
        <v>-0.23999999999999844</v>
      </c>
    </row>
    <row r="8" spans="1:13" x14ac:dyDescent="0.25">
      <c r="A8" s="3">
        <v>46000.609282407408</v>
      </c>
      <c r="B8" t="s">
        <v>223</v>
      </c>
      <c r="C8">
        <v>78.66</v>
      </c>
      <c r="D8">
        <v>15.52</v>
      </c>
      <c r="E8">
        <v>82.66</v>
      </c>
      <c r="F8">
        <v>79.27</v>
      </c>
      <c r="G8" t="s">
        <v>160</v>
      </c>
      <c r="H8">
        <v>20.190000000000001</v>
      </c>
      <c r="I8">
        <v>62.78</v>
      </c>
      <c r="J8">
        <v>63.14</v>
      </c>
      <c r="K8" t="s">
        <v>5389</v>
      </c>
      <c r="L8">
        <v>19.73</v>
      </c>
      <c r="M8">
        <v>-0.46000000000000085</v>
      </c>
    </row>
    <row r="9" spans="1:13" x14ac:dyDescent="0.25">
      <c r="A9" s="3">
        <v>46000.609282407408</v>
      </c>
      <c r="B9" t="s">
        <v>2193</v>
      </c>
      <c r="C9">
        <v>205.64</v>
      </c>
      <c r="D9">
        <v>31.05</v>
      </c>
      <c r="E9">
        <v>205.98</v>
      </c>
      <c r="F9">
        <v>205.98</v>
      </c>
      <c r="G9" t="s">
        <v>160</v>
      </c>
      <c r="H9">
        <v>15.58</v>
      </c>
      <c r="I9">
        <v>173.59</v>
      </c>
      <c r="J9">
        <v>174.59</v>
      </c>
      <c r="K9" t="s">
        <v>5389</v>
      </c>
      <c r="L9">
        <v>15.1</v>
      </c>
      <c r="M9">
        <v>-0.48000000000000043</v>
      </c>
    </row>
    <row r="10" spans="1:13" x14ac:dyDescent="0.25">
      <c r="A10" s="3">
        <v>46000.609282407408</v>
      </c>
      <c r="B10" t="s">
        <v>2183</v>
      </c>
      <c r="C10">
        <v>147.34</v>
      </c>
      <c r="D10">
        <v>40.43</v>
      </c>
      <c r="E10">
        <v>160.09</v>
      </c>
      <c r="F10">
        <v>152.1</v>
      </c>
      <c r="G10" t="s">
        <v>160</v>
      </c>
      <c r="H10">
        <v>27.7</v>
      </c>
      <c r="I10">
        <v>106.53</v>
      </c>
      <c r="J10">
        <v>106.91</v>
      </c>
      <c r="K10" t="s">
        <v>4013</v>
      </c>
      <c r="L10">
        <v>27.44</v>
      </c>
      <c r="M10">
        <v>-0.25999999999999801</v>
      </c>
    </row>
    <row r="11" spans="1:13" x14ac:dyDescent="0.25">
      <c r="A11" s="3">
        <v>46000.609282407408</v>
      </c>
      <c r="B11" t="s">
        <v>297</v>
      </c>
      <c r="C11">
        <v>262.39</v>
      </c>
      <c r="D11">
        <v>34.950000000000003</v>
      </c>
      <c r="E11">
        <v>265.58</v>
      </c>
      <c r="F11">
        <v>262.81</v>
      </c>
      <c r="G11" t="s">
        <v>160</v>
      </c>
      <c r="H11">
        <v>13.81</v>
      </c>
      <c r="I11">
        <v>226.14</v>
      </c>
      <c r="J11">
        <v>227.44</v>
      </c>
      <c r="K11" t="s">
        <v>5389</v>
      </c>
      <c r="L11">
        <v>13.32</v>
      </c>
      <c r="M11">
        <v>-0.49000000000000021</v>
      </c>
    </row>
    <row r="12" spans="1:13" x14ac:dyDescent="0.25">
      <c r="A12" s="3">
        <v>46000.609282407408</v>
      </c>
      <c r="B12" t="s">
        <v>198</v>
      </c>
      <c r="C12">
        <v>167.53</v>
      </c>
      <c r="D12">
        <v>29.54</v>
      </c>
      <c r="E12">
        <v>169.41</v>
      </c>
      <c r="F12">
        <v>168.55</v>
      </c>
      <c r="G12" t="s">
        <v>160</v>
      </c>
      <c r="H12">
        <v>34.340000000000003</v>
      </c>
      <c r="I12">
        <v>110</v>
      </c>
      <c r="J12">
        <v>137.99</v>
      </c>
      <c r="K12" t="s">
        <v>4010</v>
      </c>
      <c r="L12">
        <v>17.63</v>
      </c>
      <c r="M12">
        <v>-16.710000000000004</v>
      </c>
    </row>
    <row r="13" spans="1:13" x14ac:dyDescent="0.25">
      <c r="A13" s="3">
        <v>46000.609282407408</v>
      </c>
      <c r="B13" t="s">
        <v>5364</v>
      </c>
      <c r="C13">
        <v>84.71</v>
      </c>
      <c r="E13">
        <v>84.71</v>
      </c>
      <c r="G13" t="s">
        <v>160</v>
      </c>
      <c r="H13">
        <v>22.76</v>
      </c>
      <c r="I13">
        <v>65.430000000000007</v>
      </c>
      <c r="K13" t="s">
        <v>160</v>
      </c>
    </row>
    <row r="14" spans="1:13" x14ac:dyDescent="0.25">
      <c r="A14" s="3">
        <v>46000.609282407408</v>
      </c>
      <c r="B14" t="s">
        <v>2322</v>
      </c>
      <c r="C14">
        <v>133.5</v>
      </c>
      <c r="D14">
        <v>0.21</v>
      </c>
      <c r="E14">
        <v>144.09</v>
      </c>
      <c r="F14">
        <v>144.09</v>
      </c>
      <c r="G14" t="s">
        <v>160</v>
      </c>
      <c r="H14">
        <v>7.87</v>
      </c>
      <c r="I14">
        <v>123</v>
      </c>
      <c r="J14">
        <v>133.29</v>
      </c>
      <c r="K14" t="s">
        <v>4013</v>
      </c>
      <c r="L14">
        <v>0.16</v>
      </c>
      <c r="M14">
        <v>-7.71</v>
      </c>
    </row>
    <row r="15" spans="1:13" x14ac:dyDescent="0.25">
      <c r="A15" s="3">
        <v>46000.609282407408</v>
      </c>
      <c r="B15" t="s">
        <v>601</v>
      </c>
      <c r="C15">
        <v>64.069999999999993</v>
      </c>
      <c r="D15">
        <v>8.98</v>
      </c>
      <c r="E15">
        <v>64.56</v>
      </c>
      <c r="F15">
        <v>64.2</v>
      </c>
      <c r="G15" t="s">
        <v>160</v>
      </c>
      <c r="H15">
        <v>14.5</v>
      </c>
      <c r="I15">
        <v>54.78</v>
      </c>
      <c r="J15">
        <v>55.09</v>
      </c>
      <c r="K15" t="s">
        <v>5389</v>
      </c>
      <c r="L15">
        <v>14.02</v>
      </c>
      <c r="M15">
        <v>-0.48000000000000043</v>
      </c>
    </row>
    <row r="16" spans="1:13" x14ac:dyDescent="0.25">
      <c r="A16" s="3">
        <v>45922</v>
      </c>
      <c r="B16" t="s">
        <v>2409</v>
      </c>
      <c r="C16">
        <v>132.43</v>
      </c>
      <c r="J16">
        <v>89.99</v>
      </c>
      <c r="K16" t="s">
        <v>4003</v>
      </c>
      <c r="L16">
        <v>32.049999999999997</v>
      </c>
    </row>
    <row r="17" spans="1:13" x14ac:dyDescent="0.25">
      <c r="A17" s="3">
        <v>45922</v>
      </c>
      <c r="B17" t="s">
        <v>2177</v>
      </c>
      <c r="C17">
        <v>71.989999999999995</v>
      </c>
      <c r="J17">
        <v>71.989999999999995</v>
      </c>
      <c r="K17" t="s">
        <v>4004</v>
      </c>
      <c r="L17">
        <v>0</v>
      </c>
    </row>
    <row r="18" spans="1:13" x14ac:dyDescent="0.25">
      <c r="A18" s="3">
        <v>46000.609282407408</v>
      </c>
      <c r="B18" t="s">
        <v>1713</v>
      </c>
      <c r="C18">
        <v>129.75</v>
      </c>
      <c r="D18">
        <v>18.88</v>
      </c>
      <c r="E18">
        <v>119.65</v>
      </c>
      <c r="F18">
        <v>130.13</v>
      </c>
      <c r="G18" t="s">
        <v>160</v>
      </c>
      <c r="H18">
        <v>15.13</v>
      </c>
      <c r="I18">
        <v>110.12</v>
      </c>
      <c r="J18">
        <v>110.87</v>
      </c>
      <c r="K18" t="s">
        <v>4013</v>
      </c>
      <c r="L18">
        <v>14.55</v>
      </c>
      <c r="M18">
        <v>-0.58000000000000007</v>
      </c>
    </row>
    <row r="19" spans="1:13" x14ac:dyDescent="0.25">
      <c r="A19" s="3">
        <v>46000.609282407408</v>
      </c>
      <c r="B19" t="s">
        <v>1721</v>
      </c>
      <c r="C19">
        <v>139</v>
      </c>
      <c r="D19">
        <v>0</v>
      </c>
      <c r="E19">
        <v>127</v>
      </c>
      <c r="F19">
        <v>139</v>
      </c>
      <c r="G19" t="s">
        <v>160</v>
      </c>
      <c r="H19">
        <v>0</v>
      </c>
      <c r="I19">
        <v>139</v>
      </c>
      <c r="J19">
        <v>139</v>
      </c>
      <c r="K19" t="s">
        <v>4014</v>
      </c>
      <c r="L19">
        <v>0</v>
      </c>
      <c r="M19">
        <v>0</v>
      </c>
    </row>
    <row r="20" spans="1:13" x14ac:dyDescent="0.25">
      <c r="A20" s="3">
        <v>46000.609282407408</v>
      </c>
      <c r="B20" t="s">
        <v>235</v>
      </c>
      <c r="C20">
        <v>182.73</v>
      </c>
      <c r="D20">
        <v>-1.05</v>
      </c>
      <c r="E20">
        <v>183.78</v>
      </c>
      <c r="F20">
        <v>183.78</v>
      </c>
      <c r="G20" t="s">
        <v>160</v>
      </c>
      <c r="H20">
        <v>0</v>
      </c>
      <c r="I20">
        <v>182.73</v>
      </c>
      <c r="J20">
        <v>183.78</v>
      </c>
      <c r="K20" t="s">
        <v>5389</v>
      </c>
      <c r="L20">
        <v>-0.56999999999999995</v>
      </c>
      <c r="M20">
        <v>-0.56999999999999995</v>
      </c>
    </row>
    <row r="21" spans="1:13" x14ac:dyDescent="0.25">
      <c r="A21" s="3">
        <v>45922</v>
      </c>
      <c r="B21" t="s">
        <v>2348</v>
      </c>
      <c r="C21">
        <v>37.729999999999997</v>
      </c>
      <c r="J21">
        <v>37.729999999999997</v>
      </c>
      <c r="K21" t="s">
        <v>4002</v>
      </c>
      <c r="L21">
        <v>0</v>
      </c>
    </row>
    <row r="22" spans="1:13" x14ac:dyDescent="0.25">
      <c r="A22" s="3">
        <v>46000.609282407408</v>
      </c>
      <c r="B22" t="s">
        <v>109</v>
      </c>
      <c r="C22">
        <v>64.95</v>
      </c>
      <c r="E22">
        <v>64.95</v>
      </c>
      <c r="G22" t="s">
        <v>160</v>
      </c>
      <c r="H22">
        <v>0</v>
      </c>
      <c r="I22">
        <v>64.95</v>
      </c>
      <c r="K22" t="s">
        <v>160</v>
      </c>
    </row>
    <row r="23" spans="1:13" x14ac:dyDescent="0.25">
      <c r="A23" s="3">
        <v>46000.609282407408</v>
      </c>
      <c r="B23" t="s">
        <v>123</v>
      </c>
      <c r="C23">
        <v>50.26</v>
      </c>
      <c r="D23">
        <v>4.26</v>
      </c>
      <c r="E23">
        <v>49.33</v>
      </c>
      <c r="F23">
        <v>50.58</v>
      </c>
      <c r="G23" t="s">
        <v>160</v>
      </c>
      <c r="H23">
        <v>8.48</v>
      </c>
      <c r="I23">
        <v>46</v>
      </c>
      <c r="J23">
        <v>46</v>
      </c>
      <c r="K23" t="s">
        <v>4015</v>
      </c>
      <c r="L23">
        <v>8.48</v>
      </c>
      <c r="M23">
        <v>0</v>
      </c>
    </row>
    <row r="24" spans="1:13" x14ac:dyDescent="0.25">
      <c r="A24" s="3">
        <v>46000.609282407408</v>
      </c>
      <c r="B24" t="s">
        <v>4030</v>
      </c>
      <c r="C24">
        <v>129.56</v>
      </c>
      <c r="D24">
        <v>20.46</v>
      </c>
      <c r="E24">
        <v>130.43</v>
      </c>
      <c r="F24">
        <v>129.66999999999999</v>
      </c>
      <c r="G24" t="s">
        <v>160</v>
      </c>
      <c r="H24">
        <v>16.28</v>
      </c>
      <c r="I24">
        <v>108.47</v>
      </c>
      <c r="J24">
        <v>109.1</v>
      </c>
      <c r="K24" t="s">
        <v>5389</v>
      </c>
      <c r="L24">
        <v>15.79</v>
      </c>
      <c r="M24">
        <v>-0.49000000000000199</v>
      </c>
    </row>
    <row r="25" spans="1:13" x14ac:dyDescent="0.25">
      <c r="A25" s="3">
        <v>45911</v>
      </c>
      <c r="B25" t="s">
        <v>666</v>
      </c>
      <c r="C25">
        <v>81.22999999999999</v>
      </c>
      <c r="J25">
        <v>0</v>
      </c>
      <c r="K25" t="s">
        <v>3963</v>
      </c>
    </row>
    <row r="26" spans="1:13" x14ac:dyDescent="0.25">
      <c r="A26" s="3">
        <v>45922</v>
      </c>
      <c r="B26" t="s">
        <v>2394</v>
      </c>
      <c r="C26">
        <v>62.02</v>
      </c>
      <c r="J26">
        <v>62.02</v>
      </c>
      <c r="K26" t="s">
        <v>4002</v>
      </c>
      <c r="L26">
        <v>0</v>
      </c>
    </row>
    <row r="27" spans="1:13" x14ac:dyDescent="0.25">
      <c r="A27" s="3">
        <v>46000.609282407408</v>
      </c>
      <c r="B27" t="s">
        <v>5372</v>
      </c>
      <c r="C27">
        <v>90.26</v>
      </c>
      <c r="E27">
        <v>90.26</v>
      </c>
      <c r="G27" t="s">
        <v>160</v>
      </c>
      <c r="H27">
        <v>9.68</v>
      </c>
      <c r="I27">
        <v>81.52</v>
      </c>
      <c r="K27" t="s">
        <v>160</v>
      </c>
    </row>
    <row r="28" spans="1:13" x14ac:dyDescent="0.25">
      <c r="A28" s="3">
        <v>46000.609282407408</v>
      </c>
      <c r="B28" t="s">
        <v>294</v>
      </c>
      <c r="C28">
        <v>136.37</v>
      </c>
      <c r="D28">
        <v>22.1</v>
      </c>
      <c r="E28">
        <v>139.9</v>
      </c>
      <c r="F28">
        <v>137.19999999999999</v>
      </c>
      <c r="G28" t="s">
        <v>160</v>
      </c>
      <c r="H28">
        <v>29.78</v>
      </c>
      <c r="I28">
        <v>95.76</v>
      </c>
      <c r="J28">
        <v>114.27</v>
      </c>
      <c r="K28" t="s">
        <v>5389</v>
      </c>
      <c r="L28">
        <v>16.21</v>
      </c>
      <c r="M28">
        <v>-13.57</v>
      </c>
    </row>
    <row r="29" spans="1:13" x14ac:dyDescent="0.25">
      <c r="A29" s="3">
        <v>46000.609282407408</v>
      </c>
      <c r="B29" t="s">
        <v>395</v>
      </c>
      <c r="C29">
        <v>78.55</v>
      </c>
      <c r="D29">
        <v>6.5</v>
      </c>
      <c r="E29">
        <v>87.14</v>
      </c>
      <c r="F29">
        <v>80.34</v>
      </c>
      <c r="G29" t="s">
        <v>160</v>
      </c>
      <c r="H29">
        <v>8.6</v>
      </c>
      <c r="I29">
        <v>71.790000000000006</v>
      </c>
      <c r="J29">
        <v>72.05</v>
      </c>
      <c r="K29" t="s">
        <v>4013</v>
      </c>
      <c r="L29">
        <v>8.27</v>
      </c>
      <c r="M29">
        <v>-0.33000000000000007</v>
      </c>
    </row>
    <row r="30" spans="1:13" x14ac:dyDescent="0.25">
      <c r="A30" s="3">
        <v>45922</v>
      </c>
      <c r="B30" t="s">
        <v>2292</v>
      </c>
      <c r="C30">
        <v>241.95</v>
      </c>
      <c r="J30">
        <v>241.95</v>
      </c>
      <c r="K30" t="s">
        <v>5393</v>
      </c>
      <c r="L30">
        <v>0</v>
      </c>
    </row>
    <row r="31" spans="1:13" x14ac:dyDescent="0.25">
      <c r="A31" s="3">
        <v>45911</v>
      </c>
      <c r="B31" t="s">
        <v>378</v>
      </c>
      <c r="C31">
        <v>0</v>
      </c>
      <c r="J31">
        <v>0</v>
      </c>
      <c r="K31" t="s">
        <v>3963</v>
      </c>
    </row>
    <row r="32" spans="1:13" x14ac:dyDescent="0.25">
      <c r="A32" s="3">
        <v>46000.609282407408</v>
      </c>
      <c r="B32" t="s">
        <v>1703</v>
      </c>
      <c r="C32">
        <v>192.5</v>
      </c>
      <c r="D32">
        <v>17.5</v>
      </c>
      <c r="E32">
        <v>179.24</v>
      </c>
      <c r="F32">
        <v>192.5</v>
      </c>
      <c r="G32" t="s">
        <v>160</v>
      </c>
      <c r="H32">
        <v>9.09</v>
      </c>
      <c r="I32">
        <v>175</v>
      </c>
      <c r="J32">
        <v>175</v>
      </c>
      <c r="K32" t="s">
        <v>4016</v>
      </c>
      <c r="L32">
        <v>9.09</v>
      </c>
      <c r="M32">
        <v>0</v>
      </c>
    </row>
    <row r="33" spans="1:13" x14ac:dyDescent="0.25">
      <c r="A33" s="3">
        <v>46000.609282407408</v>
      </c>
      <c r="B33" t="s">
        <v>476</v>
      </c>
      <c r="C33">
        <v>137.72999999999999</v>
      </c>
      <c r="D33">
        <v>17.14</v>
      </c>
      <c r="E33">
        <v>142.65</v>
      </c>
      <c r="F33">
        <v>142.65</v>
      </c>
      <c r="G33" t="s">
        <v>160</v>
      </c>
      <c r="H33">
        <v>26.48</v>
      </c>
      <c r="I33">
        <v>101.25</v>
      </c>
      <c r="J33">
        <v>120.59</v>
      </c>
      <c r="K33" t="s">
        <v>5389</v>
      </c>
      <c r="L33">
        <v>12.44</v>
      </c>
      <c r="M33">
        <v>-14.040000000000001</v>
      </c>
    </row>
    <row r="34" spans="1:13" x14ac:dyDescent="0.25">
      <c r="A34" s="3">
        <v>45922</v>
      </c>
      <c r="B34" t="s">
        <v>138</v>
      </c>
      <c r="C34">
        <v>87.427999999999997</v>
      </c>
      <c r="J34">
        <v>69.989999999999995</v>
      </c>
      <c r="K34" t="s">
        <v>4008</v>
      </c>
      <c r="L34">
        <v>19.95</v>
      </c>
    </row>
    <row r="35" spans="1:13" x14ac:dyDescent="0.25">
      <c r="A35" s="3">
        <v>46000.609282407408</v>
      </c>
      <c r="B35" t="s">
        <v>2051</v>
      </c>
      <c r="C35">
        <v>52.99</v>
      </c>
      <c r="D35">
        <v>0</v>
      </c>
      <c r="E35">
        <v>42.08</v>
      </c>
      <c r="F35">
        <v>52.99</v>
      </c>
      <c r="G35" t="s">
        <v>160</v>
      </c>
      <c r="H35">
        <v>0</v>
      </c>
      <c r="I35">
        <v>52.99</v>
      </c>
      <c r="J35">
        <v>52.99</v>
      </c>
      <c r="K35" t="s">
        <v>4019</v>
      </c>
      <c r="L35">
        <v>0</v>
      </c>
      <c r="M35">
        <v>0</v>
      </c>
    </row>
    <row r="36" spans="1:13" x14ac:dyDescent="0.25">
      <c r="A36" s="3">
        <v>46000.609282407408</v>
      </c>
      <c r="B36" t="s">
        <v>5351</v>
      </c>
      <c r="C36">
        <v>68.540000000000006</v>
      </c>
      <c r="D36">
        <v>10</v>
      </c>
      <c r="E36">
        <v>70.87</v>
      </c>
      <c r="F36">
        <v>70.73</v>
      </c>
      <c r="G36" t="s">
        <v>160</v>
      </c>
      <c r="H36">
        <v>15.08</v>
      </c>
      <c r="I36">
        <v>58.21</v>
      </c>
      <c r="J36">
        <v>58.54</v>
      </c>
      <c r="K36" t="s">
        <v>5389</v>
      </c>
      <c r="L36">
        <v>14.59</v>
      </c>
      <c r="M36">
        <v>-0.49000000000000021</v>
      </c>
    </row>
    <row r="37" spans="1:13" x14ac:dyDescent="0.25">
      <c r="A37" s="3">
        <v>46000.609282407408</v>
      </c>
      <c r="B37" t="s">
        <v>2310</v>
      </c>
      <c r="C37">
        <v>33.869999999999997</v>
      </c>
      <c r="D37">
        <v>-0.54</v>
      </c>
      <c r="E37">
        <v>43.95</v>
      </c>
      <c r="F37">
        <v>34.409999999999997</v>
      </c>
      <c r="G37" t="s">
        <v>160</v>
      </c>
      <c r="H37">
        <v>1.04</v>
      </c>
      <c r="I37">
        <v>33.51</v>
      </c>
      <c r="J37">
        <v>34.409999999999997</v>
      </c>
      <c r="K37" t="s">
        <v>5389</v>
      </c>
      <c r="L37">
        <v>-1.59</v>
      </c>
      <c r="M37">
        <v>-2.63</v>
      </c>
    </row>
    <row r="38" spans="1:13" x14ac:dyDescent="0.25">
      <c r="A38" s="3">
        <v>45922</v>
      </c>
      <c r="B38" t="s">
        <v>2319</v>
      </c>
      <c r="C38">
        <v>136.81</v>
      </c>
      <c r="J38">
        <v>136.81</v>
      </c>
      <c r="K38" t="s">
        <v>4002</v>
      </c>
      <c r="L38">
        <v>0</v>
      </c>
    </row>
    <row r="39" spans="1:13" x14ac:dyDescent="0.25">
      <c r="A39" s="3">
        <v>46000.609282407408</v>
      </c>
      <c r="B39" t="s">
        <v>474</v>
      </c>
      <c r="C39">
        <v>96.16</v>
      </c>
      <c r="D39">
        <v>6.17</v>
      </c>
      <c r="E39">
        <v>90.43</v>
      </c>
      <c r="F39">
        <v>96.16</v>
      </c>
      <c r="G39" t="s">
        <v>160</v>
      </c>
      <c r="H39">
        <v>6.41</v>
      </c>
      <c r="I39">
        <v>89.99</v>
      </c>
      <c r="J39">
        <v>89.99</v>
      </c>
      <c r="K39" t="s">
        <v>4012</v>
      </c>
      <c r="L39">
        <v>6.42</v>
      </c>
      <c r="M39">
        <v>9.9999999999997868E-3</v>
      </c>
    </row>
    <row r="40" spans="1:13" x14ac:dyDescent="0.25">
      <c r="A40" s="3">
        <v>46000.609282407408</v>
      </c>
      <c r="B40" t="s">
        <v>1747</v>
      </c>
      <c r="C40">
        <v>137.13999999999999</v>
      </c>
      <c r="D40">
        <v>22.14</v>
      </c>
      <c r="E40">
        <v>131.02000000000001</v>
      </c>
      <c r="F40">
        <v>134.25</v>
      </c>
      <c r="G40" t="s">
        <v>160</v>
      </c>
      <c r="H40">
        <v>16.14</v>
      </c>
      <c r="I40">
        <v>115</v>
      </c>
      <c r="J40">
        <v>115</v>
      </c>
      <c r="K40" t="s">
        <v>4014</v>
      </c>
      <c r="L40">
        <v>16.14</v>
      </c>
      <c r="M40">
        <v>0</v>
      </c>
    </row>
    <row r="41" spans="1:13" x14ac:dyDescent="0.25">
      <c r="A41" s="3">
        <v>46000.609282407408</v>
      </c>
      <c r="B41" t="s">
        <v>270</v>
      </c>
      <c r="C41">
        <v>93.62</v>
      </c>
      <c r="D41">
        <v>-0.54</v>
      </c>
      <c r="E41">
        <v>94.16</v>
      </c>
      <c r="F41">
        <v>94.16</v>
      </c>
      <c r="G41" t="s">
        <v>160</v>
      </c>
      <c r="H41">
        <v>0</v>
      </c>
      <c r="I41">
        <v>93.62</v>
      </c>
      <c r="J41">
        <v>94.16</v>
      </c>
      <c r="K41" t="s">
        <v>5389</v>
      </c>
      <c r="L41">
        <v>-0.57999999999999996</v>
      </c>
      <c r="M41">
        <v>-0.57999999999999996</v>
      </c>
    </row>
    <row r="42" spans="1:13" x14ac:dyDescent="0.25">
      <c r="A42" s="3">
        <v>46000.609282407408</v>
      </c>
      <c r="B42" t="s">
        <v>2008</v>
      </c>
      <c r="C42">
        <v>76.92</v>
      </c>
      <c r="E42">
        <v>76.92</v>
      </c>
      <c r="G42" t="s">
        <v>160</v>
      </c>
      <c r="H42">
        <v>0</v>
      </c>
      <c r="I42">
        <v>76.92</v>
      </c>
      <c r="K42" t="s">
        <v>160</v>
      </c>
    </row>
    <row r="43" spans="1:13" x14ac:dyDescent="0.25">
      <c r="A43" s="3">
        <v>45911</v>
      </c>
      <c r="B43" t="s">
        <v>217</v>
      </c>
      <c r="C43">
        <v>43.34</v>
      </c>
      <c r="J43">
        <v>32.39</v>
      </c>
      <c r="K43" t="s">
        <v>3963</v>
      </c>
      <c r="L43">
        <v>25.27</v>
      </c>
    </row>
    <row r="44" spans="1:13" x14ac:dyDescent="0.25">
      <c r="A44" s="3">
        <v>46000.609282407408</v>
      </c>
      <c r="B44" t="s">
        <v>5374</v>
      </c>
      <c r="C44">
        <v>23.05</v>
      </c>
      <c r="D44">
        <v>7.49</v>
      </c>
      <c r="E44">
        <v>23.68</v>
      </c>
      <c r="F44">
        <v>23.68</v>
      </c>
      <c r="G44" t="s">
        <v>160</v>
      </c>
      <c r="H44">
        <v>32.76</v>
      </c>
      <c r="I44">
        <v>15.5</v>
      </c>
      <c r="J44">
        <v>15.56</v>
      </c>
      <c r="K44" t="s">
        <v>4013</v>
      </c>
      <c r="L44">
        <v>32.49</v>
      </c>
      <c r="M44">
        <v>-0.26999999999999602</v>
      </c>
    </row>
    <row r="45" spans="1:13" x14ac:dyDescent="0.25">
      <c r="A45" s="3">
        <v>45911</v>
      </c>
      <c r="B45" t="s">
        <v>397</v>
      </c>
      <c r="C45">
        <v>95.909875</v>
      </c>
      <c r="J45">
        <v>89.99</v>
      </c>
      <c r="K45" t="s">
        <v>3964</v>
      </c>
      <c r="L45">
        <v>6.17</v>
      </c>
    </row>
    <row r="46" spans="1:13" x14ac:dyDescent="0.25">
      <c r="A46" s="3">
        <v>45922</v>
      </c>
      <c r="B46" t="s">
        <v>2416</v>
      </c>
      <c r="C46">
        <v>68</v>
      </c>
      <c r="J46">
        <v>68</v>
      </c>
      <c r="K46" t="s">
        <v>4002</v>
      </c>
      <c r="L46">
        <v>0</v>
      </c>
    </row>
    <row r="47" spans="1:13" x14ac:dyDescent="0.25">
      <c r="A47" s="3">
        <v>45911</v>
      </c>
      <c r="B47" t="s">
        <v>643</v>
      </c>
      <c r="C47">
        <v>0</v>
      </c>
      <c r="J47">
        <v>0</v>
      </c>
      <c r="K47" t="s">
        <v>3963</v>
      </c>
    </row>
    <row r="48" spans="1:13" x14ac:dyDescent="0.25">
      <c r="A48" s="3">
        <v>46000.609282407408</v>
      </c>
      <c r="B48" t="s">
        <v>369</v>
      </c>
      <c r="C48">
        <v>49.79</v>
      </c>
      <c r="D48">
        <v>0</v>
      </c>
      <c r="E48">
        <v>49.79</v>
      </c>
      <c r="F48">
        <v>49.79</v>
      </c>
      <c r="G48" t="s">
        <v>160</v>
      </c>
      <c r="H48">
        <v>0</v>
      </c>
      <c r="I48">
        <v>49.79</v>
      </c>
      <c r="J48">
        <v>49.79</v>
      </c>
      <c r="K48" t="s">
        <v>4019</v>
      </c>
      <c r="L48">
        <v>0</v>
      </c>
      <c r="M48">
        <v>0</v>
      </c>
    </row>
    <row r="49" spans="1:13" x14ac:dyDescent="0.25">
      <c r="A49" s="3">
        <v>46000.609282407408</v>
      </c>
      <c r="B49" t="s">
        <v>5349</v>
      </c>
      <c r="C49">
        <v>134.6</v>
      </c>
      <c r="D49">
        <v>35.6</v>
      </c>
      <c r="E49">
        <v>134.6</v>
      </c>
      <c r="F49">
        <v>134.6</v>
      </c>
      <c r="G49" t="s">
        <v>160</v>
      </c>
      <c r="H49">
        <v>26.45</v>
      </c>
      <c r="I49">
        <v>99</v>
      </c>
      <c r="J49">
        <v>99</v>
      </c>
      <c r="K49" t="s">
        <v>4014</v>
      </c>
      <c r="L49">
        <v>26.45</v>
      </c>
      <c r="M49">
        <v>0</v>
      </c>
    </row>
    <row r="50" spans="1:13" x14ac:dyDescent="0.25">
      <c r="A50" s="3">
        <v>45922</v>
      </c>
      <c r="B50" t="s">
        <v>2383</v>
      </c>
      <c r="C50">
        <v>79.95</v>
      </c>
      <c r="J50">
        <v>79.95</v>
      </c>
      <c r="K50" t="s">
        <v>4003</v>
      </c>
      <c r="L50">
        <v>0</v>
      </c>
    </row>
    <row r="51" spans="1:13" x14ac:dyDescent="0.25">
      <c r="A51" s="3">
        <v>45922</v>
      </c>
      <c r="B51" t="s">
        <v>2405</v>
      </c>
      <c r="C51">
        <v>135.24</v>
      </c>
      <c r="J51">
        <v>135.24</v>
      </c>
      <c r="K51" t="s">
        <v>4002</v>
      </c>
      <c r="L51">
        <v>0</v>
      </c>
    </row>
    <row r="52" spans="1:13" x14ac:dyDescent="0.25">
      <c r="A52" s="3">
        <v>46000.609282407408</v>
      </c>
      <c r="B52" t="s">
        <v>218</v>
      </c>
      <c r="C52">
        <v>73.7</v>
      </c>
      <c r="D52">
        <v>10.56</v>
      </c>
      <c r="E52">
        <v>74.33</v>
      </c>
      <c r="F52">
        <v>73.75</v>
      </c>
      <c r="G52" t="s">
        <v>160</v>
      </c>
      <c r="H52">
        <v>14.83</v>
      </c>
      <c r="I52">
        <v>62.78</v>
      </c>
      <c r="J52">
        <v>63.14</v>
      </c>
      <c r="K52" t="s">
        <v>5389</v>
      </c>
      <c r="L52">
        <v>14.33</v>
      </c>
      <c r="M52">
        <v>-0.5</v>
      </c>
    </row>
    <row r="53" spans="1:13" x14ac:dyDescent="0.25">
      <c r="A53" s="3">
        <v>46000.609282407408</v>
      </c>
      <c r="B53" t="s">
        <v>2206</v>
      </c>
      <c r="C53">
        <v>90.75</v>
      </c>
      <c r="D53">
        <v>11.75</v>
      </c>
      <c r="E53">
        <v>90.23</v>
      </c>
      <c r="F53">
        <v>96.3</v>
      </c>
      <c r="G53" t="s">
        <v>160</v>
      </c>
      <c r="H53">
        <v>30.58</v>
      </c>
      <c r="I53">
        <v>63</v>
      </c>
      <c r="J53">
        <v>79</v>
      </c>
      <c r="K53" t="s">
        <v>4015</v>
      </c>
      <c r="L53">
        <v>12.95</v>
      </c>
      <c r="M53">
        <v>-17.63</v>
      </c>
    </row>
    <row r="54" spans="1:13" x14ac:dyDescent="0.25">
      <c r="A54" s="3">
        <v>46000.609282407408</v>
      </c>
      <c r="B54" t="s">
        <v>5356</v>
      </c>
      <c r="C54">
        <v>70.989999999999995</v>
      </c>
      <c r="D54">
        <v>31.41</v>
      </c>
      <c r="E54">
        <v>71.069999999999993</v>
      </c>
      <c r="F54">
        <v>71.069999999999993</v>
      </c>
      <c r="G54" t="s">
        <v>160</v>
      </c>
      <c r="H54">
        <v>44.44</v>
      </c>
      <c r="I54">
        <v>39.44</v>
      </c>
      <c r="J54">
        <v>39.58</v>
      </c>
      <c r="K54" t="s">
        <v>4013</v>
      </c>
      <c r="L54">
        <v>44.25</v>
      </c>
      <c r="M54">
        <v>-0.18999999999999773</v>
      </c>
    </row>
    <row r="55" spans="1:13" x14ac:dyDescent="0.25">
      <c r="A55" s="3">
        <v>46000.609282407408</v>
      </c>
      <c r="B55" t="s">
        <v>5370</v>
      </c>
      <c r="C55">
        <v>77.45</v>
      </c>
      <c r="D55">
        <v>2.5499999999999998</v>
      </c>
      <c r="E55">
        <v>77.45</v>
      </c>
      <c r="F55">
        <v>77.45</v>
      </c>
      <c r="G55" t="s">
        <v>160</v>
      </c>
      <c r="H55">
        <v>3.29</v>
      </c>
      <c r="I55">
        <v>74.900000000000006</v>
      </c>
      <c r="J55">
        <v>74.900000000000006</v>
      </c>
      <c r="K55" t="s">
        <v>4017</v>
      </c>
      <c r="L55">
        <v>3.29</v>
      </c>
      <c r="M55">
        <v>0</v>
      </c>
    </row>
    <row r="56" spans="1:13" x14ac:dyDescent="0.25">
      <c r="A56" s="3">
        <v>45922</v>
      </c>
      <c r="B56" t="s">
        <v>2370</v>
      </c>
      <c r="C56">
        <v>0</v>
      </c>
      <c r="J56">
        <v>0</v>
      </c>
      <c r="K56" t="s">
        <v>4002</v>
      </c>
    </row>
    <row r="57" spans="1:13" x14ac:dyDescent="0.25">
      <c r="A57" s="3">
        <v>46000.609282407408</v>
      </c>
      <c r="B57" t="s">
        <v>613</v>
      </c>
      <c r="C57">
        <v>72.03</v>
      </c>
      <c r="D57">
        <v>5.51</v>
      </c>
      <c r="E57">
        <v>71.14</v>
      </c>
      <c r="F57">
        <v>73</v>
      </c>
      <c r="G57" t="s">
        <v>160</v>
      </c>
      <c r="H57">
        <v>23.64</v>
      </c>
      <c r="I57">
        <v>55</v>
      </c>
      <c r="J57">
        <v>66.52</v>
      </c>
      <c r="K57" t="s">
        <v>4013</v>
      </c>
      <c r="L57">
        <v>7.65</v>
      </c>
      <c r="M57">
        <v>-15.99</v>
      </c>
    </row>
    <row r="58" spans="1:13" x14ac:dyDescent="0.25">
      <c r="A58" s="3">
        <v>46000.609282407408</v>
      </c>
      <c r="B58" t="s">
        <v>1742</v>
      </c>
      <c r="C58">
        <v>106.19</v>
      </c>
      <c r="D58">
        <v>37.31</v>
      </c>
      <c r="E58">
        <v>106.26</v>
      </c>
      <c r="F58">
        <v>106.26</v>
      </c>
      <c r="G58" t="s">
        <v>160</v>
      </c>
      <c r="H58">
        <v>35.5</v>
      </c>
      <c r="I58">
        <v>68.489999999999995</v>
      </c>
      <c r="J58">
        <v>68.88</v>
      </c>
      <c r="K58" t="s">
        <v>5389</v>
      </c>
      <c r="L58">
        <v>35.14</v>
      </c>
      <c r="M58">
        <v>-0.35999999999999943</v>
      </c>
    </row>
    <row r="59" spans="1:13" x14ac:dyDescent="0.25">
      <c r="A59" s="3">
        <v>46000.609282407408</v>
      </c>
      <c r="B59" t="s">
        <v>403</v>
      </c>
      <c r="C59">
        <v>57.06</v>
      </c>
      <c r="D59">
        <v>-0.33</v>
      </c>
      <c r="E59">
        <v>57.39</v>
      </c>
      <c r="F59">
        <v>57.39</v>
      </c>
      <c r="G59" t="s">
        <v>160</v>
      </c>
      <c r="H59">
        <v>0</v>
      </c>
      <c r="I59">
        <v>57.06</v>
      </c>
      <c r="J59">
        <v>57.39</v>
      </c>
      <c r="K59" t="s">
        <v>5389</v>
      </c>
      <c r="L59">
        <v>-0.57999999999999996</v>
      </c>
      <c r="M59">
        <v>-0.57999999999999996</v>
      </c>
    </row>
    <row r="60" spans="1:13" x14ac:dyDescent="0.25">
      <c r="A60" s="3">
        <v>46000.609282407408</v>
      </c>
      <c r="B60" t="s">
        <v>594</v>
      </c>
      <c r="C60">
        <v>102.5</v>
      </c>
      <c r="D60">
        <v>7.5</v>
      </c>
      <c r="E60">
        <v>102.39</v>
      </c>
      <c r="F60">
        <v>102.5</v>
      </c>
      <c r="G60" t="s">
        <v>160</v>
      </c>
      <c r="H60">
        <v>7.32</v>
      </c>
      <c r="I60">
        <v>95</v>
      </c>
      <c r="J60">
        <v>95</v>
      </c>
      <c r="K60" t="s">
        <v>4015</v>
      </c>
      <c r="L60">
        <v>7.32</v>
      </c>
      <c r="M60">
        <v>0</v>
      </c>
    </row>
    <row r="61" spans="1:13" x14ac:dyDescent="0.25">
      <c r="A61" s="3">
        <v>46000.609282407408</v>
      </c>
      <c r="B61" t="s">
        <v>2154</v>
      </c>
      <c r="C61">
        <v>49.99</v>
      </c>
      <c r="D61">
        <v>0</v>
      </c>
      <c r="E61">
        <v>49.95</v>
      </c>
      <c r="F61">
        <v>49.99</v>
      </c>
      <c r="G61" t="s">
        <v>160</v>
      </c>
      <c r="H61">
        <v>0</v>
      </c>
      <c r="I61">
        <v>49.99</v>
      </c>
      <c r="J61">
        <v>49.99</v>
      </c>
      <c r="K61" t="s">
        <v>5390</v>
      </c>
      <c r="L61">
        <v>0</v>
      </c>
      <c r="M61">
        <v>0</v>
      </c>
    </row>
    <row r="62" spans="1:13" x14ac:dyDescent="0.25">
      <c r="A62" s="3">
        <v>46000.609282407408</v>
      </c>
      <c r="B62" t="s">
        <v>1953</v>
      </c>
      <c r="C62">
        <v>176.37</v>
      </c>
      <c r="D62">
        <v>31.28</v>
      </c>
      <c r="E62">
        <v>183.14</v>
      </c>
      <c r="F62">
        <v>175.08</v>
      </c>
      <c r="G62" t="s">
        <v>160</v>
      </c>
      <c r="H62">
        <v>12.69</v>
      </c>
      <c r="I62">
        <v>153.99</v>
      </c>
      <c r="J62">
        <v>145.09</v>
      </c>
      <c r="K62" t="s">
        <v>4013</v>
      </c>
      <c r="L62">
        <v>17.739999999999998</v>
      </c>
      <c r="M62">
        <v>5.0499999999999989</v>
      </c>
    </row>
    <row r="63" spans="1:13" x14ac:dyDescent="0.25">
      <c r="A63" s="3">
        <v>45922</v>
      </c>
      <c r="B63" t="s">
        <v>2386</v>
      </c>
      <c r="C63">
        <v>0</v>
      </c>
      <c r="J63">
        <v>0</v>
      </c>
      <c r="K63" t="s">
        <v>4002</v>
      </c>
    </row>
    <row r="64" spans="1:13" x14ac:dyDescent="0.25">
      <c r="A64" s="3">
        <v>46000.609282407408</v>
      </c>
      <c r="B64" t="s">
        <v>618</v>
      </c>
      <c r="C64">
        <v>66.930000000000007</v>
      </c>
      <c r="D64">
        <v>18.940000000000001</v>
      </c>
      <c r="E64">
        <v>68.05</v>
      </c>
      <c r="F64">
        <v>68.05</v>
      </c>
      <c r="G64" t="s">
        <v>160</v>
      </c>
      <c r="H64">
        <v>29.77</v>
      </c>
      <c r="I64">
        <v>47</v>
      </c>
      <c r="J64">
        <v>47.99</v>
      </c>
      <c r="K64" t="s">
        <v>4013</v>
      </c>
      <c r="L64">
        <v>28.3</v>
      </c>
      <c r="M64">
        <v>-1.4699999999999989</v>
      </c>
    </row>
    <row r="65" spans="1:13" x14ac:dyDescent="0.25">
      <c r="A65" s="3">
        <v>45922</v>
      </c>
      <c r="B65" t="s">
        <v>385</v>
      </c>
      <c r="C65">
        <v>113.005</v>
      </c>
      <c r="J65">
        <v>81.39</v>
      </c>
      <c r="K65" t="s">
        <v>5392</v>
      </c>
      <c r="L65">
        <v>27.98</v>
      </c>
    </row>
    <row r="66" spans="1:13" x14ac:dyDescent="0.25">
      <c r="A66" s="3">
        <v>46000.609282407408</v>
      </c>
      <c r="B66" t="s">
        <v>596</v>
      </c>
      <c r="C66">
        <v>95.66</v>
      </c>
      <c r="D66">
        <v>15.29</v>
      </c>
      <c r="E66">
        <v>94.78</v>
      </c>
      <c r="F66">
        <v>95.19</v>
      </c>
      <c r="G66" t="s">
        <v>160</v>
      </c>
      <c r="H66">
        <v>17.41</v>
      </c>
      <c r="I66">
        <v>79</v>
      </c>
      <c r="J66">
        <v>80.37</v>
      </c>
      <c r="K66" t="s">
        <v>5389</v>
      </c>
      <c r="L66">
        <v>15.98</v>
      </c>
      <c r="M66">
        <v>-1.4299999999999997</v>
      </c>
    </row>
    <row r="67" spans="1:13" x14ac:dyDescent="0.25">
      <c r="A67" s="3">
        <v>46000.609282407408</v>
      </c>
      <c r="B67" t="s">
        <v>586</v>
      </c>
      <c r="C67">
        <v>48.24</v>
      </c>
      <c r="D67">
        <v>12.68</v>
      </c>
      <c r="E67">
        <v>48.29</v>
      </c>
      <c r="F67">
        <v>48.29</v>
      </c>
      <c r="G67" t="s">
        <v>160</v>
      </c>
      <c r="H67">
        <v>26.7</v>
      </c>
      <c r="I67">
        <v>35.36</v>
      </c>
      <c r="J67">
        <v>35.56</v>
      </c>
      <c r="K67" t="s">
        <v>5389</v>
      </c>
      <c r="L67">
        <v>26.29</v>
      </c>
      <c r="M67">
        <v>-0.41000000000000014</v>
      </c>
    </row>
    <row r="68" spans="1:13" x14ac:dyDescent="0.25">
      <c r="A68" s="3">
        <v>45911</v>
      </c>
      <c r="B68" t="s">
        <v>368</v>
      </c>
      <c r="C68">
        <v>0</v>
      </c>
      <c r="J68">
        <v>0</v>
      </c>
      <c r="K68" t="s">
        <v>3963</v>
      </c>
    </row>
    <row r="69" spans="1:13" x14ac:dyDescent="0.25">
      <c r="A69" s="3">
        <v>46000.609282407408</v>
      </c>
      <c r="B69" t="s">
        <v>5354</v>
      </c>
      <c r="C69">
        <v>81</v>
      </c>
      <c r="D69">
        <v>2</v>
      </c>
      <c r="E69">
        <v>77.400000000000006</v>
      </c>
      <c r="F69">
        <v>81</v>
      </c>
      <c r="G69" t="s">
        <v>160</v>
      </c>
      <c r="H69">
        <v>2.4700000000000002</v>
      </c>
      <c r="I69">
        <v>79</v>
      </c>
      <c r="J69">
        <v>79</v>
      </c>
      <c r="K69" t="s">
        <v>4015</v>
      </c>
      <c r="L69">
        <v>2.4700000000000002</v>
      </c>
      <c r="M69">
        <v>0</v>
      </c>
    </row>
    <row r="70" spans="1:13" x14ac:dyDescent="0.25">
      <c r="A70" s="3">
        <v>46000.609282407408</v>
      </c>
      <c r="B70" t="s">
        <v>2111</v>
      </c>
      <c r="C70">
        <v>81.260000000000005</v>
      </c>
      <c r="D70">
        <v>25.02</v>
      </c>
      <c r="E70">
        <v>82.48</v>
      </c>
      <c r="F70">
        <v>82.48</v>
      </c>
      <c r="G70" t="s">
        <v>160</v>
      </c>
      <c r="H70">
        <v>32.31</v>
      </c>
      <c r="I70">
        <v>55</v>
      </c>
      <c r="J70">
        <v>56.24</v>
      </c>
      <c r="K70" t="s">
        <v>5389</v>
      </c>
      <c r="L70">
        <v>30.79</v>
      </c>
      <c r="M70">
        <v>-1.5200000000000031</v>
      </c>
    </row>
    <row r="71" spans="1:13" x14ac:dyDescent="0.25">
      <c r="A71" s="3">
        <v>46000.609282407408</v>
      </c>
      <c r="B71" t="s">
        <v>681</v>
      </c>
      <c r="C71">
        <v>110.22</v>
      </c>
      <c r="D71">
        <v>22.53</v>
      </c>
      <c r="E71">
        <v>110.56</v>
      </c>
      <c r="F71">
        <v>110.56</v>
      </c>
      <c r="G71" t="s">
        <v>160</v>
      </c>
      <c r="H71">
        <v>23.98</v>
      </c>
      <c r="I71">
        <v>83.79</v>
      </c>
      <c r="J71">
        <v>87.69</v>
      </c>
      <c r="K71" t="s">
        <v>4013</v>
      </c>
      <c r="L71">
        <v>20.440000000000001</v>
      </c>
      <c r="M71">
        <v>-3.5399999999999991</v>
      </c>
    </row>
    <row r="72" spans="1:13" x14ac:dyDescent="0.25">
      <c r="A72" s="3">
        <v>46000.609282407408</v>
      </c>
      <c r="B72" t="s">
        <v>614</v>
      </c>
      <c r="C72">
        <v>114.84</v>
      </c>
      <c r="D72">
        <v>-0.67</v>
      </c>
      <c r="E72">
        <v>100.25</v>
      </c>
      <c r="F72">
        <v>115.51</v>
      </c>
      <c r="G72" t="s">
        <v>160</v>
      </c>
      <c r="H72">
        <v>0</v>
      </c>
      <c r="I72">
        <v>114.84</v>
      </c>
      <c r="J72">
        <v>115.51</v>
      </c>
      <c r="K72" t="s">
        <v>4013</v>
      </c>
      <c r="L72">
        <v>-0.57999999999999996</v>
      </c>
      <c r="M72">
        <v>-0.57999999999999996</v>
      </c>
    </row>
    <row r="73" spans="1:13" x14ac:dyDescent="0.25">
      <c r="A73" s="3">
        <v>45911</v>
      </c>
      <c r="B73" t="s">
        <v>379</v>
      </c>
      <c r="C73">
        <v>0</v>
      </c>
      <c r="J73">
        <v>0</v>
      </c>
      <c r="K73" t="s">
        <v>3963</v>
      </c>
    </row>
    <row r="74" spans="1:13" x14ac:dyDescent="0.25">
      <c r="A74" s="3">
        <v>46000.609282407408</v>
      </c>
      <c r="B74" t="s">
        <v>650</v>
      </c>
      <c r="C74">
        <v>50.06</v>
      </c>
      <c r="D74">
        <v>15.07</v>
      </c>
      <c r="E74">
        <v>49.83</v>
      </c>
      <c r="F74">
        <v>51.19</v>
      </c>
      <c r="G74" t="s">
        <v>160</v>
      </c>
      <c r="H74">
        <v>30.11</v>
      </c>
      <c r="I74">
        <v>34.99</v>
      </c>
      <c r="J74">
        <v>34.99</v>
      </c>
      <c r="K74" t="s">
        <v>4018</v>
      </c>
      <c r="L74">
        <v>30.1</v>
      </c>
      <c r="M74">
        <v>-9.9999999999980105E-3</v>
      </c>
    </row>
    <row r="75" spans="1:13" x14ac:dyDescent="0.25">
      <c r="A75" s="3">
        <v>45922</v>
      </c>
      <c r="B75" t="s">
        <v>2264</v>
      </c>
      <c r="C75">
        <v>0</v>
      </c>
      <c r="J75">
        <v>0</v>
      </c>
      <c r="K75" t="s">
        <v>4002</v>
      </c>
    </row>
    <row r="76" spans="1:13" x14ac:dyDescent="0.25">
      <c r="A76" s="3">
        <v>45911</v>
      </c>
      <c r="B76" t="s">
        <v>332</v>
      </c>
      <c r="C76">
        <v>0</v>
      </c>
      <c r="J76">
        <v>0</v>
      </c>
      <c r="K76" t="s">
        <v>3963</v>
      </c>
    </row>
    <row r="77" spans="1:13" x14ac:dyDescent="0.25">
      <c r="A77" s="3">
        <v>45922</v>
      </c>
      <c r="B77" t="s">
        <v>2316</v>
      </c>
      <c r="C77">
        <v>201.33</v>
      </c>
      <c r="J77">
        <v>201.33</v>
      </c>
      <c r="K77" t="s">
        <v>5394</v>
      </c>
      <c r="L77">
        <v>0</v>
      </c>
    </row>
    <row r="78" spans="1:13" x14ac:dyDescent="0.25">
      <c r="A78" s="3">
        <v>45911</v>
      </c>
      <c r="B78" t="s">
        <v>347</v>
      </c>
      <c r="C78">
        <v>0</v>
      </c>
      <c r="J78">
        <v>0</v>
      </c>
      <c r="K78" t="s">
        <v>3963</v>
      </c>
    </row>
    <row r="79" spans="1:13" x14ac:dyDescent="0.25">
      <c r="A79" s="3">
        <v>46000.609282407408</v>
      </c>
      <c r="B79" t="s">
        <v>2401</v>
      </c>
      <c r="C79">
        <v>28.2</v>
      </c>
      <c r="D79">
        <v>10.199999999999999</v>
      </c>
      <c r="E79">
        <v>26.02</v>
      </c>
      <c r="F79">
        <v>26.28</v>
      </c>
      <c r="G79" t="s">
        <v>160</v>
      </c>
      <c r="H79">
        <v>36.18</v>
      </c>
      <c r="I79">
        <v>18</v>
      </c>
      <c r="J79">
        <v>18</v>
      </c>
      <c r="K79" t="s">
        <v>4014</v>
      </c>
      <c r="L79">
        <v>36.17</v>
      </c>
      <c r="M79">
        <v>-9.9999999999980105E-3</v>
      </c>
    </row>
    <row r="80" spans="1:13" x14ac:dyDescent="0.25">
      <c r="A80" s="3">
        <v>46000.609282407408</v>
      </c>
      <c r="B80" t="s">
        <v>629</v>
      </c>
      <c r="C80">
        <v>195.08</v>
      </c>
      <c r="D80">
        <v>26.08</v>
      </c>
      <c r="E80">
        <v>197.36</v>
      </c>
      <c r="F80">
        <v>195.25</v>
      </c>
      <c r="G80" t="s">
        <v>160</v>
      </c>
      <c r="H80">
        <v>13.37</v>
      </c>
      <c r="I80">
        <v>169</v>
      </c>
      <c r="J80">
        <v>169</v>
      </c>
      <c r="K80" t="s">
        <v>4015</v>
      </c>
      <c r="L80">
        <v>13.37</v>
      </c>
      <c r="M80">
        <v>0</v>
      </c>
    </row>
    <row r="81" spans="1:13" x14ac:dyDescent="0.25">
      <c r="A81" s="3">
        <v>46000.609282407408</v>
      </c>
      <c r="B81" t="s">
        <v>96</v>
      </c>
      <c r="C81">
        <v>50.91</v>
      </c>
      <c r="D81">
        <v>3.91</v>
      </c>
      <c r="E81">
        <v>52.43</v>
      </c>
      <c r="F81">
        <v>51</v>
      </c>
      <c r="G81" t="s">
        <v>160</v>
      </c>
      <c r="H81">
        <v>8.11</v>
      </c>
      <c r="I81">
        <v>46.78</v>
      </c>
      <c r="J81">
        <v>47</v>
      </c>
      <c r="K81" t="s">
        <v>4010</v>
      </c>
      <c r="L81">
        <v>7.68</v>
      </c>
      <c r="M81">
        <v>-0.42999999999999972</v>
      </c>
    </row>
    <row r="82" spans="1:13" x14ac:dyDescent="0.25">
      <c r="A82" s="3">
        <v>46000.609282407408</v>
      </c>
      <c r="B82" t="s">
        <v>100</v>
      </c>
      <c r="C82">
        <v>183.72</v>
      </c>
      <c r="D82">
        <v>40.15</v>
      </c>
      <c r="E82">
        <v>183.81</v>
      </c>
      <c r="F82">
        <v>183.81</v>
      </c>
      <c r="G82" t="s">
        <v>160</v>
      </c>
      <c r="H82">
        <v>22.3</v>
      </c>
      <c r="I82">
        <v>142.75</v>
      </c>
      <c r="J82">
        <v>143.57</v>
      </c>
      <c r="K82" t="s">
        <v>5389</v>
      </c>
      <c r="L82">
        <v>21.85</v>
      </c>
      <c r="M82">
        <v>-0.44999999999999929</v>
      </c>
    </row>
    <row r="83" spans="1:13" x14ac:dyDescent="0.25">
      <c r="A83" s="3">
        <v>46000.609282407408</v>
      </c>
      <c r="B83" t="s">
        <v>1700</v>
      </c>
      <c r="C83">
        <v>212.74</v>
      </c>
      <c r="D83">
        <v>38.15</v>
      </c>
      <c r="E83">
        <v>212.99</v>
      </c>
      <c r="F83">
        <v>212.99</v>
      </c>
      <c r="G83" t="s">
        <v>160</v>
      </c>
      <c r="H83">
        <v>18.399999999999999</v>
      </c>
      <c r="I83">
        <v>173.59</v>
      </c>
      <c r="J83">
        <v>174.59</v>
      </c>
      <c r="K83" t="s">
        <v>5389</v>
      </c>
      <c r="L83">
        <v>17.93</v>
      </c>
      <c r="M83">
        <v>-0.46999999999999886</v>
      </c>
    </row>
    <row r="84" spans="1:13" x14ac:dyDescent="0.25">
      <c r="A84" s="3">
        <v>45922</v>
      </c>
      <c r="B84" t="s">
        <v>2376</v>
      </c>
      <c r="C84">
        <v>119.06</v>
      </c>
      <c r="J84">
        <v>119.06</v>
      </c>
      <c r="K84" t="s">
        <v>4002</v>
      </c>
      <c r="L84">
        <v>0</v>
      </c>
    </row>
    <row r="85" spans="1:13" x14ac:dyDescent="0.25">
      <c r="A85" s="3">
        <v>46000.609282407408</v>
      </c>
      <c r="B85" t="s">
        <v>199</v>
      </c>
      <c r="C85">
        <v>61.08</v>
      </c>
      <c r="D85">
        <v>9.74</v>
      </c>
      <c r="E85">
        <v>62.09</v>
      </c>
      <c r="F85">
        <v>61.08</v>
      </c>
      <c r="G85" t="s">
        <v>160</v>
      </c>
      <c r="H85">
        <v>15.95</v>
      </c>
      <c r="I85">
        <v>51.34</v>
      </c>
      <c r="J85">
        <v>51.34</v>
      </c>
      <c r="K85" t="s">
        <v>4020</v>
      </c>
      <c r="L85">
        <v>15.95</v>
      </c>
      <c r="M85">
        <v>0</v>
      </c>
    </row>
    <row r="86" spans="1:13" x14ac:dyDescent="0.25">
      <c r="A86" s="3">
        <v>46000.609282407408</v>
      </c>
      <c r="B86" t="s">
        <v>1482</v>
      </c>
      <c r="C86">
        <v>120.08</v>
      </c>
      <c r="D86">
        <v>31.08</v>
      </c>
      <c r="E86">
        <v>120.09</v>
      </c>
      <c r="F86">
        <v>120.09</v>
      </c>
      <c r="G86" t="s">
        <v>160</v>
      </c>
      <c r="H86">
        <v>25.89</v>
      </c>
      <c r="I86">
        <v>89</v>
      </c>
      <c r="J86">
        <v>89</v>
      </c>
      <c r="K86" t="s">
        <v>4015</v>
      </c>
      <c r="L86">
        <v>25.88</v>
      </c>
      <c r="M86">
        <v>-1.0000000000001563E-2</v>
      </c>
    </row>
    <row r="87" spans="1:13" x14ac:dyDescent="0.25">
      <c r="A87" s="3">
        <v>46000.609282407408</v>
      </c>
      <c r="B87" t="s">
        <v>292</v>
      </c>
      <c r="C87">
        <v>148.06</v>
      </c>
      <c r="D87">
        <v>23.16</v>
      </c>
      <c r="E87">
        <v>150.47</v>
      </c>
      <c r="F87">
        <v>152.25</v>
      </c>
      <c r="G87" t="s">
        <v>160</v>
      </c>
      <c r="H87">
        <v>33.14</v>
      </c>
      <c r="I87">
        <v>99</v>
      </c>
      <c r="J87">
        <v>124.9</v>
      </c>
      <c r="K87" t="s">
        <v>4017</v>
      </c>
      <c r="L87">
        <v>15.64</v>
      </c>
      <c r="M87">
        <v>-17.5</v>
      </c>
    </row>
    <row r="88" spans="1:13" x14ac:dyDescent="0.25">
      <c r="A88" s="3">
        <v>46000.609282407408</v>
      </c>
      <c r="B88" t="s">
        <v>5371</v>
      </c>
      <c r="C88">
        <v>63.1</v>
      </c>
      <c r="D88">
        <v>1.1100000000000001</v>
      </c>
      <c r="E88">
        <v>63.4</v>
      </c>
      <c r="F88">
        <v>63.4</v>
      </c>
      <c r="G88" t="s">
        <v>160</v>
      </c>
      <c r="H88">
        <v>2.33</v>
      </c>
      <c r="I88">
        <v>61.63</v>
      </c>
      <c r="J88">
        <v>61.99</v>
      </c>
      <c r="K88" t="s">
        <v>5389</v>
      </c>
      <c r="L88">
        <v>1.76</v>
      </c>
      <c r="M88">
        <v>-0.57000000000000006</v>
      </c>
    </row>
    <row r="89" spans="1:13" x14ac:dyDescent="0.25">
      <c r="A89" s="3">
        <v>45911</v>
      </c>
      <c r="B89" t="s">
        <v>296</v>
      </c>
      <c r="C89">
        <v>24.4115</v>
      </c>
      <c r="J89">
        <v>23.2545</v>
      </c>
      <c r="K89" t="s">
        <v>5391</v>
      </c>
      <c r="L89">
        <v>4.74</v>
      </c>
    </row>
    <row r="90" spans="1:13" x14ac:dyDescent="0.25">
      <c r="A90" s="3">
        <v>45911</v>
      </c>
      <c r="B90" t="s">
        <v>383</v>
      </c>
      <c r="C90">
        <v>0</v>
      </c>
      <c r="J90">
        <v>0</v>
      </c>
      <c r="K90" t="s">
        <v>3963</v>
      </c>
    </row>
    <row r="91" spans="1:13" x14ac:dyDescent="0.25">
      <c r="A91" s="3">
        <v>45911</v>
      </c>
      <c r="B91" t="s">
        <v>226</v>
      </c>
      <c r="C91">
        <v>0</v>
      </c>
      <c r="J91">
        <v>0</v>
      </c>
      <c r="K91" t="s">
        <v>3965</v>
      </c>
    </row>
    <row r="92" spans="1:13" x14ac:dyDescent="0.25">
      <c r="A92" s="3">
        <v>46000.609282407408</v>
      </c>
      <c r="B92" t="s">
        <v>5348</v>
      </c>
      <c r="C92">
        <v>80.56</v>
      </c>
      <c r="D92">
        <v>1.34</v>
      </c>
      <c r="E92">
        <v>92.76</v>
      </c>
      <c r="F92">
        <v>87.35</v>
      </c>
      <c r="G92" t="s">
        <v>160</v>
      </c>
      <c r="H92">
        <v>2.2200000000000002</v>
      </c>
      <c r="I92">
        <v>78.77</v>
      </c>
      <c r="J92">
        <v>79.22</v>
      </c>
      <c r="K92" t="s">
        <v>5389</v>
      </c>
      <c r="L92">
        <v>1.66</v>
      </c>
      <c r="M92">
        <v>-0.56000000000000028</v>
      </c>
    </row>
    <row r="93" spans="1:13" x14ac:dyDescent="0.25">
      <c r="A93" s="3">
        <v>46000.609282407408</v>
      </c>
      <c r="B93" t="s">
        <v>318</v>
      </c>
      <c r="C93">
        <v>53.25</v>
      </c>
      <c r="D93">
        <v>13.26</v>
      </c>
      <c r="E93">
        <v>52.62</v>
      </c>
      <c r="F93">
        <v>53.3</v>
      </c>
      <c r="G93" t="s">
        <v>160</v>
      </c>
      <c r="H93">
        <v>24.9</v>
      </c>
      <c r="I93">
        <v>39.99</v>
      </c>
      <c r="J93">
        <v>39.99</v>
      </c>
      <c r="K93" t="s">
        <v>4134</v>
      </c>
      <c r="L93">
        <v>24.9</v>
      </c>
      <c r="M93">
        <v>0</v>
      </c>
    </row>
    <row r="94" spans="1:13" x14ac:dyDescent="0.25">
      <c r="A94" s="3">
        <v>45922</v>
      </c>
      <c r="B94" t="s">
        <v>2333</v>
      </c>
      <c r="C94">
        <v>92.75</v>
      </c>
      <c r="J94">
        <v>92.75</v>
      </c>
      <c r="K94" t="s">
        <v>4002</v>
      </c>
      <c r="L94">
        <v>0</v>
      </c>
    </row>
    <row r="95" spans="1:13" x14ac:dyDescent="0.25">
      <c r="A95" s="3">
        <v>45922</v>
      </c>
      <c r="B95" t="s">
        <v>2398</v>
      </c>
      <c r="C95">
        <v>0</v>
      </c>
      <c r="J95">
        <v>0</v>
      </c>
      <c r="K95" t="s">
        <v>4002</v>
      </c>
    </row>
    <row r="96" spans="1:13" x14ac:dyDescent="0.25">
      <c r="A96" s="3">
        <v>45911</v>
      </c>
      <c r="B96" t="s">
        <v>571</v>
      </c>
      <c r="C96">
        <v>55.673333333333332</v>
      </c>
      <c r="J96">
        <v>54.99</v>
      </c>
      <c r="K96" t="s">
        <v>3965</v>
      </c>
      <c r="L96">
        <v>1.23</v>
      </c>
    </row>
    <row r="97" spans="1:13" x14ac:dyDescent="0.25">
      <c r="A97" s="3">
        <v>45911</v>
      </c>
      <c r="B97" t="s">
        <v>611</v>
      </c>
      <c r="C97">
        <v>37.434750000000008</v>
      </c>
      <c r="J97">
        <v>0</v>
      </c>
      <c r="K97" t="s">
        <v>3963</v>
      </c>
    </row>
    <row r="98" spans="1:13" x14ac:dyDescent="0.25">
      <c r="A98" s="3">
        <v>45911</v>
      </c>
      <c r="B98" t="s">
        <v>1424</v>
      </c>
      <c r="C98">
        <v>85.245000000000005</v>
      </c>
      <c r="J98">
        <v>75.5</v>
      </c>
      <c r="K98" t="s">
        <v>3963</v>
      </c>
      <c r="L98">
        <v>11.43</v>
      </c>
    </row>
    <row r="99" spans="1:13" x14ac:dyDescent="0.25">
      <c r="A99" s="3">
        <v>46000.609282407408</v>
      </c>
      <c r="B99" t="s">
        <v>1813</v>
      </c>
      <c r="C99">
        <v>44.63</v>
      </c>
      <c r="D99">
        <v>4.47</v>
      </c>
      <c r="E99">
        <v>44.7</v>
      </c>
      <c r="F99">
        <v>43.08</v>
      </c>
      <c r="G99" t="s">
        <v>160</v>
      </c>
      <c r="H99">
        <v>10.53</v>
      </c>
      <c r="I99">
        <v>39.93</v>
      </c>
      <c r="J99">
        <v>40.159999999999997</v>
      </c>
      <c r="K99" t="s">
        <v>5389</v>
      </c>
      <c r="L99">
        <v>10.02</v>
      </c>
      <c r="M99">
        <v>-0.50999999999999979</v>
      </c>
    </row>
    <row r="100" spans="1:13" x14ac:dyDescent="0.25">
      <c r="A100" s="3">
        <v>45922</v>
      </c>
      <c r="B100" t="s">
        <v>1816</v>
      </c>
      <c r="C100">
        <v>55.26</v>
      </c>
      <c r="J100">
        <v>55.26</v>
      </c>
      <c r="K100" t="s">
        <v>4002</v>
      </c>
      <c r="L100">
        <v>0</v>
      </c>
    </row>
    <row r="101" spans="1:13" x14ac:dyDescent="0.25">
      <c r="A101" s="3">
        <v>45911</v>
      </c>
      <c r="B101" t="s">
        <v>407</v>
      </c>
      <c r="C101">
        <v>111.28</v>
      </c>
      <c r="J101">
        <v>111.28</v>
      </c>
      <c r="K101" t="s">
        <v>3963</v>
      </c>
      <c r="L101">
        <v>0</v>
      </c>
    </row>
    <row r="102" spans="1:13" x14ac:dyDescent="0.25">
      <c r="A102" s="3">
        <v>46000.609282407408</v>
      </c>
      <c r="B102" t="s">
        <v>2027</v>
      </c>
      <c r="C102">
        <v>79.34</v>
      </c>
      <c r="D102">
        <v>-0.46</v>
      </c>
      <c r="E102">
        <v>79.8</v>
      </c>
      <c r="F102">
        <v>79.8</v>
      </c>
      <c r="G102" t="s">
        <v>160</v>
      </c>
      <c r="H102">
        <v>0</v>
      </c>
      <c r="I102">
        <v>79.34</v>
      </c>
      <c r="J102">
        <v>79.8</v>
      </c>
      <c r="K102" t="s">
        <v>5389</v>
      </c>
      <c r="L102">
        <v>-0.57999999999999996</v>
      </c>
      <c r="M102">
        <v>-0.57999999999999996</v>
      </c>
    </row>
    <row r="103" spans="1:13" x14ac:dyDescent="0.25">
      <c r="A103" s="3">
        <v>46000.609282407408</v>
      </c>
      <c r="B103" t="s">
        <v>1776</v>
      </c>
      <c r="C103">
        <v>131.63</v>
      </c>
      <c r="D103">
        <v>5.87</v>
      </c>
      <c r="E103">
        <v>131.87</v>
      </c>
      <c r="F103">
        <v>131.87</v>
      </c>
      <c r="G103" t="s">
        <v>160</v>
      </c>
      <c r="H103">
        <v>5</v>
      </c>
      <c r="I103">
        <v>125.04</v>
      </c>
      <c r="J103">
        <v>125.76</v>
      </c>
      <c r="K103" t="s">
        <v>5389</v>
      </c>
      <c r="L103">
        <v>4.46</v>
      </c>
      <c r="M103">
        <v>-0.54</v>
      </c>
    </row>
    <row r="104" spans="1:13" x14ac:dyDescent="0.25">
      <c r="A104" s="3">
        <v>45922</v>
      </c>
      <c r="B104" t="s">
        <v>373</v>
      </c>
      <c r="C104">
        <v>46.28</v>
      </c>
      <c r="J104">
        <v>0</v>
      </c>
      <c r="K104" t="s">
        <v>4002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136D7-725D-46C5-9453-67849D83A435}">
  <dimension ref="A1:E80"/>
  <sheetViews>
    <sheetView topLeftCell="A34" workbookViewId="0">
      <selection activeCell="D84" sqref="D84"/>
    </sheetView>
  </sheetViews>
  <sheetFormatPr defaultRowHeight="15" x14ac:dyDescent="0.25"/>
  <cols>
    <col min="1" max="1" width="13.42578125" bestFit="1" customWidth="1"/>
    <col min="2" max="2" width="9.7109375" style="7" bestFit="1" customWidth="1"/>
    <col min="3" max="3" width="32.7109375" bestFit="1" customWidth="1"/>
    <col min="4" max="4" width="50.7109375" customWidth="1"/>
    <col min="5" max="5" width="8" bestFit="1" customWidth="1"/>
  </cols>
  <sheetData>
    <row r="1" spans="1:5" x14ac:dyDescent="0.25">
      <c r="A1" t="s">
        <v>145</v>
      </c>
      <c r="B1" s="7" t="s">
        <v>2475</v>
      </c>
      <c r="C1" t="s">
        <v>146</v>
      </c>
      <c r="D1" t="s">
        <v>272</v>
      </c>
      <c r="E1" t="s">
        <v>266</v>
      </c>
    </row>
    <row r="2" spans="1:5" x14ac:dyDescent="0.25">
      <c r="A2" s="3">
        <v>45895</v>
      </c>
      <c r="B2">
        <v>347805</v>
      </c>
      <c r="C2" t="str">
        <f>_xlfn.XLOOKUP(Table4[[#This Row],[bgg_id]],bgg_cache[id],bgg_cache[title])</f>
        <v>Green Team Wins</v>
      </c>
      <c r="D2" t="s">
        <v>268</v>
      </c>
      <c r="E2">
        <v>106.12</v>
      </c>
    </row>
    <row r="3" spans="1:5" x14ac:dyDescent="0.25">
      <c r="A3" s="3">
        <v>45895</v>
      </c>
      <c r="B3">
        <v>193214</v>
      </c>
      <c r="C3" t="str">
        <f>_xlfn.XLOOKUP(Table4[[#This Row],[bgg_id]],bgg_cache[id],bgg_cache[title])</f>
        <v>Meeple Circus</v>
      </c>
    </row>
    <row r="4" spans="1:5" x14ac:dyDescent="0.25">
      <c r="A4" s="3">
        <v>45895</v>
      </c>
      <c r="B4">
        <v>316412</v>
      </c>
      <c r="C4" t="str">
        <f>_xlfn.XLOOKUP(Table4[[#This Row],[bgg_id]],bgg_cache[id],bgg_cache[title])</f>
        <v>The LOOP</v>
      </c>
    </row>
    <row r="5" spans="1:5" x14ac:dyDescent="0.25">
      <c r="A5" s="3">
        <v>45895</v>
      </c>
      <c r="B5">
        <v>123239</v>
      </c>
      <c r="C5" t="str">
        <f>_xlfn.XLOOKUP(Table4[[#This Row],[bgg_id]],bgg_cache[id],bgg_cache[title])</f>
        <v>Wits &amp; Wagers Party</v>
      </c>
    </row>
    <row r="6" spans="1:5" x14ac:dyDescent="0.25">
      <c r="A6" s="3">
        <v>45895</v>
      </c>
      <c r="B6">
        <v>347805</v>
      </c>
      <c r="C6" t="str">
        <f>_xlfn.XLOOKUP(Table4[[#This Row],[bgg_id]],bgg_cache[id],bgg_cache[title])</f>
        <v>Green Team Wins</v>
      </c>
      <c r="D6" t="s">
        <v>269</v>
      </c>
      <c r="E6">
        <v>77.14</v>
      </c>
    </row>
    <row r="7" spans="1:5" x14ac:dyDescent="0.25">
      <c r="A7" s="3">
        <v>45911</v>
      </c>
      <c r="B7">
        <v>142271</v>
      </c>
      <c r="C7" t="str">
        <f>_xlfn.XLOOKUP(Table4[[#This Row],[bgg_id]],bgg_cache[id],bgg_cache[title])</f>
        <v>Anomia: Party Edition</v>
      </c>
      <c r="D7" t="s">
        <v>1393</v>
      </c>
      <c r="E7">
        <v>0</v>
      </c>
    </row>
    <row r="8" spans="1:5" x14ac:dyDescent="0.25">
      <c r="A8" s="3">
        <v>45911</v>
      </c>
      <c r="B8">
        <v>357028</v>
      </c>
      <c r="C8" t="str">
        <f>_xlfn.XLOOKUP(Table4[[#This Row],[bgg_id]],bgg_cache[id],bgg_cache[title])</f>
        <v>Dungeon Fighter: Second Edition</v>
      </c>
      <c r="D8" t="s">
        <v>1394</v>
      </c>
      <c r="E8">
        <v>104.99</v>
      </c>
    </row>
    <row r="9" spans="1:5" x14ac:dyDescent="0.25">
      <c r="A9" s="3">
        <v>45911</v>
      </c>
      <c r="B9">
        <v>357028</v>
      </c>
      <c r="C9" t="str">
        <f>_xlfn.XLOOKUP(Table4[[#This Row],[bgg_id]],bgg_cache[id],bgg_cache[title])</f>
        <v>Dungeon Fighter: Second Edition</v>
      </c>
      <c r="D9" t="s">
        <v>1395</v>
      </c>
      <c r="E9">
        <v>0</v>
      </c>
    </row>
    <row r="10" spans="1:5" x14ac:dyDescent="0.25">
      <c r="A10" s="3">
        <v>45911</v>
      </c>
      <c r="B10">
        <v>142296</v>
      </c>
      <c r="C10" t="str">
        <f>_xlfn.XLOOKUP(Table4[[#This Row],[bgg_id]],bgg_cache[id],bgg_cache[title])</f>
        <v>Funemployed</v>
      </c>
      <c r="D10" t="s">
        <v>1396</v>
      </c>
      <c r="E10">
        <v>0</v>
      </c>
    </row>
    <row r="11" spans="1:5" x14ac:dyDescent="0.25">
      <c r="A11" s="3">
        <v>45911</v>
      </c>
      <c r="B11">
        <v>347805</v>
      </c>
      <c r="C11" t="str">
        <f>_xlfn.XLOOKUP(Table4[[#This Row],[bgg_id]],bgg_cache[id],bgg_cache[title])</f>
        <v>Green Team Wins</v>
      </c>
      <c r="D11" t="s">
        <v>268</v>
      </c>
      <c r="E11">
        <v>77.099999999999994</v>
      </c>
    </row>
    <row r="12" spans="1:5" x14ac:dyDescent="0.25">
      <c r="A12" s="3">
        <v>45911</v>
      </c>
      <c r="B12">
        <v>348096</v>
      </c>
      <c r="C12" t="str">
        <f>_xlfn.XLOOKUP(Table4[[#This Row],[bgg_id]],bgg_cache[id],bgg_cache[title])</f>
        <v>Kites</v>
      </c>
      <c r="D12" t="s">
        <v>1397</v>
      </c>
      <c r="E12">
        <v>57.99</v>
      </c>
    </row>
    <row r="13" spans="1:5" x14ac:dyDescent="0.25">
      <c r="A13" s="3">
        <v>45911</v>
      </c>
      <c r="B13">
        <v>354934</v>
      </c>
      <c r="C13" t="str">
        <f>_xlfn.XLOOKUP(Table4[[#This Row],[bgg_id]],bgg_cache[id],bgg_cache[title])</f>
        <v>Legacy of Yu</v>
      </c>
      <c r="D13" t="s">
        <v>1401</v>
      </c>
      <c r="E13">
        <v>94.99</v>
      </c>
    </row>
    <row r="14" spans="1:5" x14ac:dyDescent="0.25">
      <c r="A14" s="3">
        <v>45911</v>
      </c>
      <c r="B14">
        <v>147194</v>
      </c>
      <c r="C14" t="str">
        <f>_xlfn.XLOOKUP(Table4[[#This Row],[bgg_id]],bgg_cache[id],bgg_cache[title])</f>
        <v>Linkee!</v>
      </c>
      <c r="D14" t="s">
        <v>1405</v>
      </c>
      <c r="E14">
        <v>0</v>
      </c>
    </row>
    <row r="15" spans="1:5" x14ac:dyDescent="0.25">
      <c r="A15" s="3">
        <v>45911</v>
      </c>
      <c r="B15">
        <v>244228</v>
      </c>
      <c r="C15" t="str">
        <f>_xlfn.XLOOKUP(Table4[[#This Row],[bgg_id]],bgg_cache[id],bgg_cache[title])</f>
        <v>Reef</v>
      </c>
      <c r="D15" t="s">
        <v>1406</v>
      </c>
      <c r="E15">
        <v>0</v>
      </c>
    </row>
    <row r="16" spans="1:5" x14ac:dyDescent="0.25">
      <c r="A16" s="3">
        <v>45911</v>
      </c>
      <c r="B16">
        <v>140795</v>
      </c>
      <c r="C16" t="str">
        <f>_xlfn.XLOOKUP(Table4[[#This Row],[bgg_id]],bgg_cache[id],bgg_cache[title])</f>
        <v>Say Bye to the Villains</v>
      </c>
      <c r="D16" t="s">
        <v>1407</v>
      </c>
      <c r="E16">
        <v>0</v>
      </c>
    </row>
    <row r="17" spans="1:5" x14ac:dyDescent="0.25">
      <c r="A17" s="3">
        <v>45911</v>
      </c>
      <c r="B17">
        <v>232830</v>
      </c>
      <c r="C17" t="str">
        <f>_xlfn.XLOOKUP(Table4[[#This Row],[bgg_id]],bgg_cache[id],bgg_cache[title])</f>
        <v>Shifty Eyed Spies</v>
      </c>
      <c r="D17" t="s">
        <v>1408</v>
      </c>
      <c r="E17">
        <v>0</v>
      </c>
    </row>
    <row r="18" spans="1:5" x14ac:dyDescent="0.25">
      <c r="A18" s="3">
        <v>45911</v>
      </c>
      <c r="B18">
        <v>270673</v>
      </c>
      <c r="C18" t="str">
        <f>_xlfn.XLOOKUP(Table4[[#This Row],[bgg_id]],bgg_cache[id],bgg_cache[title])</f>
        <v>Silver &amp; Gold</v>
      </c>
      <c r="D18" t="s">
        <v>1409</v>
      </c>
      <c r="E18">
        <v>0</v>
      </c>
    </row>
    <row r="19" spans="1:5" x14ac:dyDescent="0.25">
      <c r="A19" s="3">
        <v>45911</v>
      </c>
      <c r="B19">
        <v>284083</v>
      </c>
      <c r="C19" t="str">
        <f>_xlfn.XLOOKUP(Table4[[#This Row],[bgg_id]],bgg_cache[id],bgg_cache[title])</f>
        <v>The Crew: The Quest for Planet Nine</v>
      </c>
      <c r="D19" t="s">
        <v>1410</v>
      </c>
      <c r="E19">
        <v>24.99</v>
      </c>
    </row>
    <row r="20" spans="1:5" x14ac:dyDescent="0.25">
      <c r="A20" s="3">
        <v>45911</v>
      </c>
      <c r="B20">
        <v>249381</v>
      </c>
      <c r="C20" t="str">
        <f>_xlfn.XLOOKUP(Table4[[#This Row],[bgg_id]],bgg_cache[id],bgg_cache[title])</f>
        <v>The Estates</v>
      </c>
      <c r="D20" t="s">
        <v>1413</v>
      </c>
      <c r="E20">
        <v>0</v>
      </c>
    </row>
    <row r="21" spans="1:5" x14ac:dyDescent="0.25">
      <c r="A21" s="3">
        <v>45911</v>
      </c>
      <c r="B21">
        <v>316412</v>
      </c>
      <c r="C21" t="str">
        <f>_xlfn.XLOOKUP(Table4[[#This Row],[bgg_id]],bgg_cache[id],bgg_cache[title])</f>
        <v>The LOOP</v>
      </c>
      <c r="D21" t="s">
        <v>1414</v>
      </c>
      <c r="E21">
        <v>0</v>
      </c>
    </row>
    <row r="22" spans="1:5" x14ac:dyDescent="0.25">
      <c r="A22" s="3">
        <v>45911</v>
      </c>
      <c r="B22">
        <v>36553</v>
      </c>
      <c r="C22" t="str">
        <f>_xlfn.XLOOKUP(Table4[[#This Row],[bgg_id]],bgg_cache[id],bgg_cache[title])</f>
        <v>Time's Up! Title Recall!</v>
      </c>
      <c r="D22" t="s">
        <v>1416</v>
      </c>
      <c r="E22">
        <v>57.04</v>
      </c>
    </row>
    <row r="23" spans="1:5" x14ac:dyDescent="0.25">
      <c r="A23" s="3">
        <v>45911</v>
      </c>
      <c r="B23">
        <v>215463</v>
      </c>
      <c r="C23" t="str">
        <f>_xlfn.XLOOKUP(Table4[[#This Row],[bgg_id]],bgg_cache[id],bgg_cache[title])</f>
        <v>Tokyo Highway</v>
      </c>
      <c r="D23" t="s">
        <v>1418</v>
      </c>
      <c r="E23">
        <v>0</v>
      </c>
    </row>
    <row r="24" spans="1:5" x14ac:dyDescent="0.25">
      <c r="A24" s="3">
        <v>45911</v>
      </c>
      <c r="B24">
        <v>374266</v>
      </c>
      <c r="C24" t="str">
        <f>_xlfn.XLOOKUP(Table4[[#This Row],[bgg_id]],bgg_cache[id],bgg_cache[title])</f>
        <v>Tragedy Looper: New Tragedies</v>
      </c>
      <c r="D24" t="s">
        <v>1420</v>
      </c>
      <c r="E24">
        <v>75.5</v>
      </c>
    </row>
    <row r="25" spans="1:5" x14ac:dyDescent="0.25">
      <c r="A25" s="3">
        <v>45911</v>
      </c>
      <c r="B25">
        <v>180591</v>
      </c>
      <c r="C25" t="str">
        <f>_xlfn.XLOOKUP(Table4[[#This Row],[bgg_id]],bgg_cache[id],bgg_cache[title])</f>
        <v>Tumult Royale</v>
      </c>
      <c r="D25" t="s">
        <v>1422</v>
      </c>
      <c r="E25">
        <v>111.28</v>
      </c>
    </row>
    <row r="26" spans="1:5" x14ac:dyDescent="0.25">
      <c r="A26" s="3">
        <v>45911</v>
      </c>
      <c r="B26">
        <v>20100</v>
      </c>
      <c r="C26" t="str">
        <f>_xlfn.XLOOKUP(Table4[[#This Row],[bgg_id]],bgg_cache[id],bgg_cache[title])</f>
        <v>Wits &amp; Wagers</v>
      </c>
    </row>
    <row r="27" spans="1:5" x14ac:dyDescent="0.25">
      <c r="A27" s="3">
        <v>45911</v>
      </c>
      <c r="B27">
        <v>123239</v>
      </c>
      <c r="C27" t="str">
        <f>_xlfn.XLOOKUP(Table4[[#This Row],[bgg_id]],bgg_cache[id],bgg_cache[title])</f>
        <v>Wits &amp; Wagers Party</v>
      </c>
    </row>
    <row r="28" spans="1:5" x14ac:dyDescent="0.25">
      <c r="A28" s="3">
        <v>45911</v>
      </c>
      <c r="B28">
        <v>203411</v>
      </c>
      <c r="C28" t="str">
        <f>_xlfn.XLOOKUP(Table4[[#This Row],[bgg_id]],bgg_cache[id],bgg_cache[title])</f>
        <v>Word Slam</v>
      </c>
      <c r="D28" t="s">
        <v>1423</v>
      </c>
      <c r="E28">
        <v>92.56</v>
      </c>
    </row>
    <row r="29" spans="1:5" x14ac:dyDescent="0.25">
      <c r="A29" s="3">
        <v>45911</v>
      </c>
      <c r="B29">
        <v>348096</v>
      </c>
      <c r="C29" t="str">
        <f>_xlfn.XLOOKUP(Table4[[#This Row],[bgg_id]],bgg_cache[id],bgg_cache[title])</f>
        <v>Kites</v>
      </c>
      <c r="D29" t="s">
        <v>1398</v>
      </c>
      <c r="E29">
        <v>37.99</v>
      </c>
    </row>
    <row r="30" spans="1:5" x14ac:dyDescent="0.25">
      <c r="A30" s="3">
        <v>45911</v>
      </c>
      <c r="B30">
        <v>348096</v>
      </c>
      <c r="C30" t="str">
        <f>_xlfn.XLOOKUP(Table4[[#This Row],[bgg_id]],bgg_cache[id],bgg_cache[title])</f>
        <v>Kites</v>
      </c>
      <c r="D30" t="s">
        <v>1399</v>
      </c>
      <c r="E30">
        <v>44.99</v>
      </c>
    </row>
    <row r="31" spans="1:5" x14ac:dyDescent="0.25">
      <c r="A31" s="3">
        <v>45911</v>
      </c>
      <c r="B31">
        <v>348096</v>
      </c>
      <c r="C31" t="str">
        <f>_xlfn.XLOOKUP(Table4[[#This Row],[bgg_id]],bgg_cache[id],bgg_cache[title])</f>
        <v>Kites</v>
      </c>
      <c r="D31" t="s">
        <v>1400</v>
      </c>
      <c r="E31">
        <v>32.39</v>
      </c>
    </row>
    <row r="32" spans="1:5" x14ac:dyDescent="0.25">
      <c r="A32" s="3">
        <v>45911</v>
      </c>
      <c r="B32">
        <v>354934</v>
      </c>
      <c r="C32" t="str">
        <f>_xlfn.XLOOKUP(Table4[[#This Row],[bgg_id]],bgg_cache[id],bgg_cache[title])</f>
        <v>Legacy of Yu</v>
      </c>
      <c r="D32" t="s">
        <v>1402</v>
      </c>
      <c r="E32">
        <f>87.45*1.11</f>
        <v>97.069500000000005</v>
      </c>
    </row>
    <row r="33" spans="1:5" x14ac:dyDescent="0.25">
      <c r="A33" s="3">
        <v>45911</v>
      </c>
      <c r="B33">
        <v>354934</v>
      </c>
      <c r="C33" t="str">
        <f>_xlfn.XLOOKUP(Table4[[#This Row],[bgg_id]],bgg_cache[id],bgg_cache[title])</f>
        <v>Legacy of Yu</v>
      </c>
      <c r="D33" t="s">
        <v>1403</v>
      </c>
      <c r="E33">
        <v>89.99</v>
      </c>
    </row>
    <row r="34" spans="1:5" x14ac:dyDescent="0.25">
      <c r="A34" s="3">
        <v>45911</v>
      </c>
      <c r="B34">
        <v>354934</v>
      </c>
      <c r="C34" t="str">
        <f>_xlfn.XLOOKUP(Table4[[#This Row],[bgg_id]],bgg_cache[id],bgg_cache[title])</f>
        <v>Legacy of Yu</v>
      </c>
      <c r="D34" t="s">
        <v>1404</v>
      </c>
      <c r="E34">
        <v>101.59</v>
      </c>
    </row>
    <row r="35" spans="1:5" x14ac:dyDescent="0.25">
      <c r="A35" s="3">
        <v>45911</v>
      </c>
      <c r="B35">
        <v>284083</v>
      </c>
      <c r="C35" t="str">
        <f>_xlfn.XLOOKUP(Table4[[#This Row],[bgg_id]],bgg_cache[id],bgg_cache[title])</f>
        <v>The Crew: The Quest for Planet Nine</v>
      </c>
      <c r="D35" t="s">
        <v>1411</v>
      </c>
      <c r="E35">
        <v>24.99</v>
      </c>
    </row>
    <row r="36" spans="1:5" x14ac:dyDescent="0.25">
      <c r="A36" s="3">
        <v>45911</v>
      </c>
      <c r="B36">
        <v>284083</v>
      </c>
      <c r="C36" t="str">
        <f>_xlfn.XLOOKUP(Table4[[#This Row],[bgg_id]],bgg_cache[id],bgg_cache[title])</f>
        <v>The Crew: The Quest for Planet Nine</v>
      </c>
      <c r="D36" t="s">
        <v>1412</v>
      </c>
      <c r="E36">
        <f>20.95*1.11</f>
        <v>23.2545</v>
      </c>
    </row>
    <row r="37" spans="1:5" x14ac:dyDescent="0.25">
      <c r="A37" s="3">
        <v>45911</v>
      </c>
      <c r="B37">
        <v>316412</v>
      </c>
      <c r="C37" t="str">
        <f>_xlfn.XLOOKUP(Table4[[#This Row],[bgg_id]],bgg_cache[id],bgg_cache[title])</f>
        <v>The LOOP</v>
      </c>
      <c r="D37" t="s">
        <v>1415</v>
      </c>
      <c r="E37">
        <v>0</v>
      </c>
    </row>
    <row r="38" spans="1:5" x14ac:dyDescent="0.25">
      <c r="A38" s="3">
        <v>45911</v>
      </c>
      <c r="B38">
        <v>36553</v>
      </c>
      <c r="C38" t="str">
        <f>_xlfn.XLOOKUP(Table4[[#This Row],[bgg_id]],bgg_cache[id],bgg_cache[title])</f>
        <v>Time's Up! Title Recall!</v>
      </c>
      <c r="D38" t="s">
        <v>1417</v>
      </c>
      <c r="E38">
        <v>54.99</v>
      </c>
    </row>
    <row r="39" spans="1:5" x14ac:dyDescent="0.25">
      <c r="A39" s="3">
        <v>45911</v>
      </c>
      <c r="B39">
        <v>215463</v>
      </c>
      <c r="C39" t="str">
        <f>_xlfn.XLOOKUP(Table4[[#This Row],[bgg_id]],bgg_cache[id],bgg_cache[title])</f>
        <v>Tokyo Highway</v>
      </c>
      <c r="D39" t="s">
        <v>1419</v>
      </c>
      <c r="E39">
        <f>67.45*1.11</f>
        <v>74.869500000000016</v>
      </c>
    </row>
    <row r="40" spans="1:5" x14ac:dyDescent="0.25">
      <c r="A40" s="3">
        <v>45911</v>
      </c>
      <c r="B40">
        <v>374266</v>
      </c>
      <c r="C40" t="str">
        <f>_xlfn.XLOOKUP(Table4[[#This Row],[bgg_id]],bgg_cache[id],bgg_cache[title])</f>
        <v>Tragedy Looper: New Tragedies</v>
      </c>
      <c r="D40" t="s">
        <v>1421</v>
      </c>
      <c r="E40">
        <v>94.99</v>
      </c>
    </row>
    <row r="41" spans="1:5" x14ac:dyDescent="0.25">
      <c r="A41" s="3">
        <v>45922</v>
      </c>
      <c r="B41">
        <v>248490</v>
      </c>
      <c r="C41" t="str">
        <f>_xlfn.XLOOKUP(Table4[[#This Row],[bgg_id]],bgg_cache[id],bgg_cache[title])</f>
        <v>Atlantis Rising (Second Edition)</v>
      </c>
      <c r="D41" t="s">
        <v>3978</v>
      </c>
      <c r="E41">
        <v>0</v>
      </c>
    </row>
    <row r="42" spans="1:5" x14ac:dyDescent="0.25">
      <c r="A42" s="3">
        <v>45922</v>
      </c>
      <c r="B42">
        <v>494</v>
      </c>
      <c r="C42" t="str">
        <f>_xlfn.XLOOKUP(Table4[[#This Row],[bgg_id]],bgg_cache[id],bgg_cache[title])</f>
        <v>Ave Caesar</v>
      </c>
      <c r="D42" t="s">
        <v>3979</v>
      </c>
      <c r="E42">
        <v>0</v>
      </c>
    </row>
    <row r="43" spans="1:5" x14ac:dyDescent="0.25">
      <c r="A43" s="3">
        <v>45922</v>
      </c>
      <c r="B43">
        <v>192092</v>
      </c>
      <c r="C43" t="str">
        <f>_xlfn.XLOOKUP(Table4[[#This Row],[bgg_id]],bgg_cache[id],bgg_cache[title])</f>
        <v>Catch Phrase</v>
      </c>
      <c r="D43" t="s">
        <v>3980</v>
      </c>
      <c r="E43">
        <v>174.87</v>
      </c>
    </row>
    <row r="44" spans="1:5" x14ac:dyDescent="0.25">
      <c r="A44" s="3">
        <v>45922</v>
      </c>
      <c r="B44">
        <v>192092</v>
      </c>
      <c r="C44" t="str">
        <f>_xlfn.XLOOKUP(Table4[[#This Row],[bgg_id]],bgg_cache[id],bgg_cache[title])</f>
        <v>Catch Phrase</v>
      </c>
      <c r="D44" t="s">
        <v>3981</v>
      </c>
      <c r="E44">
        <v>89.99</v>
      </c>
    </row>
    <row r="45" spans="1:5" x14ac:dyDescent="0.25">
      <c r="A45" s="3">
        <v>45922</v>
      </c>
      <c r="B45">
        <v>47</v>
      </c>
      <c r="C45" t="str">
        <f>_xlfn.XLOOKUP(Table4[[#This Row],[bgg_id]],bgg_cache[id],bgg_cache[title])</f>
        <v>Chinatown</v>
      </c>
      <c r="D45" t="s">
        <v>3982</v>
      </c>
      <c r="E45">
        <v>71.989999999999995</v>
      </c>
    </row>
    <row r="46" spans="1:5" x14ac:dyDescent="0.25">
      <c r="A46" s="3">
        <v>45922</v>
      </c>
      <c r="B46">
        <v>300753</v>
      </c>
      <c r="C46" t="str">
        <f>_xlfn.XLOOKUP(Table4[[#This Row],[bgg_id]],bgg_cache[id],bgg_cache[title])</f>
        <v>Cross Clues</v>
      </c>
      <c r="D46" t="s">
        <v>3983</v>
      </c>
      <c r="E46">
        <v>37.729999999999997</v>
      </c>
    </row>
    <row r="47" spans="1:5" x14ac:dyDescent="0.25">
      <c r="A47" s="3">
        <v>45922</v>
      </c>
      <c r="B47">
        <v>169147</v>
      </c>
      <c r="C47" t="str">
        <f>_xlfn.XLOOKUP(Table4[[#This Row],[bgg_id]],bgg_cache[id],bgg_cache[title])</f>
        <v>Letter Tycoon</v>
      </c>
      <c r="D47" t="s">
        <v>3984</v>
      </c>
      <c r="E47">
        <v>68</v>
      </c>
    </row>
    <row r="48" spans="1:5" x14ac:dyDescent="0.25">
      <c r="A48" s="3">
        <v>45922</v>
      </c>
      <c r="B48">
        <v>283948</v>
      </c>
      <c r="C48" t="str">
        <f>_xlfn.XLOOKUP(Table4[[#This Row],[bgg_id]],bgg_cache[id],bgg_cache[title])</f>
        <v>Marco Polo II: In the Service of the Khan</v>
      </c>
      <c r="D48" t="s">
        <v>3985</v>
      </c>
      <c r="E48">
        <v>79.95</v>
      </c>
    </row>
    <row r="49" spans="1:5" x14ac:dyDescent="0.25">
      <c r="A49" s="3">
        <v>45922</v>
      </c>
      <c r="B49">
        <v>251412</v>
      </c>
      <c r="C49" t="str">
        <f>_xlfn.XLOOKUP(Table4[[#This Row],[bgg_id]],bgg_cache[id],bgg_cache[title])</f>
        <v>On Tour</v>
      </c>
      <c r="D49" t="s">
        <v>3986</v>
      </c>
      <c r="E49">
        <v>0</v>
      </c>
    </row>
    <row r="50" spans="1:5" x14ac:dyDescent="0.25">
      <c r="A50" s="3">
        <v>45922</v>
      </c>
      <c r="B50">
        <v>308765</v>
      </c>
      <c r="C50" t="str">
        <f>_xlfn.XLOOKUP(Table4[[#This Row],[bgg_id]],bgg_cache[id],bgg_cache[title])</f>
        <v>Praga Caput Regni</v>
      </c>
      <c r="D50" t="s">
        <v>3987</v>
      </c>
      <c r="E50">
        <v>0</v>
      </c>
    </row>
    <row r="51" spans="1:5" x14ac:dyDescent="0.25">
      <c r="A51" s="3">
        <v>45922</v>
      </c>
      <c r="B51">
        <v>266830</v>
      </c>
      <c r="C51" t="str">
        <f>_xlfn.XLOOKUP(Table4[[#This Row],[bgg_id]],bgg_cache[id],bgg_cache[title])</f>
        <v>QE</v>
      </c>
      <c r="D51" t="s">
        <v>3988</v>
      </c>
      <c r="E51">
        <v>144.62</v>
      </c>
    </row>
    <row r="52" spans="1:5" x14ac:dyDescent="0.25">
      <c r="A52" s="3">
        <v>45922</v>
      </c>
      <c r="B52">
        <v>266830</v>
      </c>
      <c r="C52" t="str">
        <f>_xlfn.XLOOKUP(Table4[[#This Row],[bgg_id]],bgg_cache[id],bgg_cache[title])</f>
        <v>QE</v>
      </c>
      <c r="D52" t="s">
        <v>3989</v>
      </c>
      <c r="E52">
        <v>81.39</v>
      </c>
    </row>
    <row r="53" spans="1:5" x14ac:dyDescent="0.25">
      <c r="A53" s="3">
        <v>45922</v>
      </c>
      <c r="B53">
        <v>15062</v>
      </c>
      <c r="C53" t="str">
        <f>_xlfn.XLOOKUP(Table4[[#This Row],[bgg_id]],bgg_cache[id],bgg_cache[title])</f>
        <v>Shadows over Camelot</v>
      </c>
      <c r="D53" t="s">
        <v>3990</v>
      </c>
      <c r="E53">
        <v>0</v>
      </c>
    </row>
    <row r="54" spans="1:5" x14ac:dyDescent="0.25">
      <c r="A54" s="3">
        <v>45922</v>
      </c>
      <c r="B54">
        <v>281258</v>
      </c>
      <c r="C54" t="str">
        <f>_xlfn.XLOOKUP(Table4[[#This Row],[bgg_id]],bgg_cache[id],bgg_cache[title])</f>
        <v>Sub Terra II: Inferno's Edge</v>
      </c>
      <c r="D54" t="s">
        <v>3991</v>
      </c>
      <c r="E54">
        <v>119.06</v>
      </c>
    </row>
    <row r="55" spans="1:5" x14ac:dyDescent="0.25">
      <c r="A55" s="3">
        <v>45922</v>
      </c>
      <c r="B55">
        <v>46213</v>
      </c>
      <c r="C55" t="str">
        <f>_xlfn.XLOOKUP(Table4[[#This Row],[bgg_id]],bgg_cache[id],bgg_cache[title])</f>
        <v>Telestrations</v>
      </c>
      <c r="D55" t="s">
        <v>3992</v>
      </c>
      <c r="E55">
        <v>49.99</v>
      </c>
    </row>
    <row r="56" spans="1:5" x14ac:dyDescent="0.25">
      <c r="A56" s="3">
        <v>45922</v>
      </c>
      <c r="B56">
        <v>173156</v>
      </c>
      <c r="C56" t="str">
        <f>_xlfn.XLOOKUP(Table4[[#This Row],[bgg_id]],bgg_cache[id],bgg_cache[title])</f>
        <v>Timeline Challenge</v>
      </c>
      <c r="D56" t="s">
        <v>3993</v>
      </c>
      <c r="E56">
        <v>0</v>
      </c>
    </row>
    <row r="57" spans="1:5" x14ac:dyDescent="0.25">
      <c r="A57" s="3">
        <v>45922</v>
      </c>
      <c r="B57">
        <v>283864</v>
      </c>
      <c r="C57" t="str">
        <f>_xlfn.XLOOKUP(Table4[[#This Row],[bgg_id]],bgg_cache[id],bgg_cache[title])</f>
        <v>Trails of Tucana</v>
      </c>
      <c r="D57" t="s">
        <v>3994</v>
      </c>
      <c r="E57">
        <v>55.26</v>
      </c>
    </row>
    <row r="58" spans="1:5" x14ac:dyDescent="0.25">
      <c r="A58" s="3">
        <v>45922</v>
      </c>
      <c r="B58">
        <v>123239</v>
      </c>
      <c r="C58" t="str">
        <f>_xlfn.XLOOKUP(Table4[[#This Row],[bgg_id]],bgg_cache[id],bgg_cache[title])</f>
        <v>Wits &amp; Wagers Party</v>
      </c>
    </row>
    <row r="59" spans="1:5" x14ac:dyDescent="0.25">
      <c r="A59" s="3">
        <v>45922</v>
      </c>
      <c r="B59">
        <v>181329</v>
      </c>
      <c r="C59" t="str">
        <f>_xlfn.XLOOKUP(Table4[[#This Row],[bgg_id]],bgg_cache[id],bgg_cache[title])</f>
        <v>Duos</v>
      </c>
      <c r="D59" t="s">
        <v>3995</v>
      </c>
      <c r="E59">
        <v>62.02</v>
      </c>
    </row>
    <row r="60" spans="1:5" x14ac:dyDescent="0.25">
      <c r="A60" s="3">
        <v>45922</v>
      </c>
      <c r="B60">
        <v>175914</v>
      </c>
      <c r="C60" t="str">
        <f>_xlfn.XLOOKUP(Table4[[#This Row],[bgg_id]],bgg_cache[id],bgg_cache[title])</f>
        <v>Food Chain Magnate</v>
      </c>
      <c r="D60" t="s">
        <v>3996</v>
      </c>
      <c r="E60">
        <v>241.95</v>
      </c>
    </row>
    <row r="61" spans="1:5" x14ac:dyDescent="0.25">
      <c r="A61" s="3">
        <v>45922</v>
      </c>
      <c r="B61">
        <v>177478</v>
      </c>
      <c r="C61" t="str">
        <f>_xlfn.XLOOKUP(Table4[[#This Row],[bgg_id]],bgg_cache[id],bgg_cache[title])</f>
        <v>IKI</v>
      </c>
      <c r="D61" t="s">
        <v>3997</v>
      </c>
      <c r="E61">
        <v>136.81</v>
      </c>
    </row>
    <row r="62" spans="1:5" x14ac:dyDescent="0.25">
      <c r="A62" s="3">
        <v>45922</v>
      </c>
      <c r="B62">
        <v>110327</v>
      </c>
      <c r="C62" t="str">
        <f>_xlfn.XLOOKUP(Table4[[#This Row],[bgg_id]],bgg_cache[id],bgg_cache[title])</f>
        <v>Lords of Waterdeep</v>
      </c>
    </row>
    <row r="63" spans="1:5" x14ac:dyDescent="0.25">
      <c r="A63" s="3">
        <v>45922</v>
      </c>
      <c r="B63">
        <v>261114</v>
      </c>
      <c r="C63" t="str">
        <f>_xlfn.XLOOKUP(Table4[[#This Row],[bgg_id]],bgg_cache[id],bgg_cache[title])</f>
        <v>Men at Work</v>
      </c>
      <c r="D63" t="s">
        <v>3998</v>
      </c>
      <c r="E63">
        <v>135.24</v>
      </c>
    </row>
    <row r="64" spans="1:5" x14ac:dyDescent="0.25">
      <c r="A64" s="3">
        <v>45922</v>
      </c>
      <c r="B64">
        <v>33604</v>
      </c>
      <c r="C64" t="str">
        <f>_xlfn.XLOOKUP(Table4[[#This Row],[bgg_id]],bgg_cache[id],bgg_cache[title])</f>
        <v>Say Anything</v>
      </c>
    </row>
    <row r="65" spans="1:5" x14ac:dyDescent="0.25">
      <c r="A65" s="3">
        <v>45922</v>
      </c>
      <c r="B65">
        <v>202426</v>
      </c>
      <c r="C65" t="str">
        <f>_xlfn.XLOOKUP(Table4[[#This Row],[bgg_id]],bgg_cache[id],bgg_cache[title])</f>
        <v>Sidereal Confluence</v>
      </c>
      <c r="D65" t="s">
        <v>3999</v>
      </c>
      <c r="E65">
        <v>201.33</v>
      </c>
    </row>
    <row r="66" spans="1:5" x14ac:dyDescent="0.25">
      <c r="A66" s="3">
        <v>45922</v>
      </c>
      <c r="B66">
        <v>351913</v>
      </c>
      <c r="C66" t="str">
        <f>_xlfn.XLOOKUP(Table4[[#This Row],[bgg_id]],bgg_cache[id],bgg_cache[title])</f>
        <v>Tiletum</v>
      </c>
      <c r="D66" t="s">
        <v>4000</v>
      </c>
      <c r="E66">
        <v>92.75</v>
      </c>
    </row>
    <row r="67" spans="1:5" x14ac:dyDescent="0.25">
      <c r="A67" s="3">
        <v>45922</v>
      </c>
      <c r="B67">
        <v>134352</v>
      </c>
      <c r="C67" t="str">
        <f>_xlfn.XLOOKUP(Table4[[#This Row],[bgg_id]],bgg_cache[id],bgg_cache[title])</f>
        <v>Two Rooms and a Boom</v>
      </c>
      <c r="D67" t="s">
        <v>4001</v>
      </c>
      <c r="E67">
        <v>0</v>
      </c>
    </row>
    <row r="68" spans="1:5" x14ac:dyDescent="0.25">
      <c r="A68" s="3">
        <v>45922</v>
      </c>
      <c r="B68">
        <v>357028</v>
      </c>
      <c r="C68" t="str">
        <f>_xlfn.XLOOKUP(Table4[[#This Row],[bgg_id]],bgg_cache[id],bgg_cache[title])</f>
        <v>Dungeon Fighter: Second Edition</v>
      </c>
      <c r="D68" t="s">
        <v>1395</v>
      </c>
      <c r="E68">
        <v>114.94</v>
      </c>
    </row>
    <row r="69" spans="1:5" x14ac:dyDescent="0.25">
      <c r="A69" s="3">
        <v>45922</v>
      </c>
      <c r="B69">
        <v>357028</v>
      </c>
      <c r="C69" t="str">
        <f>_xlfn.XLOOKUP(Table4[[#This Row],[bgg_id]],bgg_cache[id],bgg_cache[title])</f>
        <v>Dungeon Fighter: Second Edition</v>
      </c>
      <c r="D69" t="s">
        <v>1394</v>
      </c>
      <c r="E69">
        <v>104.99</v>
      </c>
    </row>
    <row r="70" spans="1:5" x14ac:dyDescent="0.25">
      <c r="A70" s="3">
        <v>45922</v>
      </c>
      <c r="B70">
        <v>270673</v>
      </c>
      <c r="C70" t="str">
        <f>_xlfn.XLOOKUP(Table4[[#This Row],[bgg_id]],bgg_cache[id],bgg_cache[title])</f>
        <v>Silver &amp; Gold</v>
      </c>
      <c r="D70" t="s">
        <v>1409</v>
      </c>
      <c r="E70">
        <v>0</v>
      </c>
    </row>
    <row r="71" spans="1:5" x14ac:dyDescent="0.25">
      <c r="A71" s="3">
        <v>45922</v>
      </c>
      <c r="B71">
        <v>36553</v>
      </c>
      <c r="C71" t="str">
        <f>_xlfn.XLOOKUP(Table4[[#This Row],[bgg_id]],bgg_cache[id],bgg_cache[title])</f>
        <v>Time's Up! Title Recall!</v>
      </c>
      <c r="D71" t="s">
        <v>4005</v>
      </c>
      <c r="E71">
        <v>54.99</v>
      </c>
    </row>
    <row r="72" spans="1:5" x14ac:dyDescent="0.25">
      <c r="A72" s="3">
        <v>45922</v>
      </c>
      <c r="B72">
        <v>203411</v>
      </c>
      <c r="C72" t="str">
        <f>_xlfn.XLOOKUP(Table4[[#This Row],[bgg_id]],bgg_cache[id],bgg_cache[title])</f>
        <v>Word Slam</v>
      </c>
      <c r="D72" t="s">
        <v>4006</v>
      </c>
      <c r="E72">
        <v>0</v>
      </c>
    </row>
    <row r="73" spans="1:5" x14ac:dyDescent="0.25">
      <c r="A73" s="3">
        <v>45922</v>
      </c>
      <c r="B73">
        <v>347805</v>
      </c>
      <c r="C73" t="str">
        <f>_xlfn.XLOOKUP(Table4[[#This Row],[bgg_id]],bgg_cache[id],bgg_cache[title])</f>
        <v>Green Team Wins</v>
      </c>
      <c r="D73" t="s">
        <v>268</v>
      </c>
      <c r="E73">
        <v>106.79</v>
      </c>
    </row>
    <row r="74" spans="1:5" x14ac:dyDescent="0.25">
      <c r="A74" s="3">
        <v>45922</v>
      </c>
      <c r="B74">
        <v>347805</v>
      </c>
      <c r="C74" t="str">
        <f>_xlfn.XLOOKUP(Table4[[#This Row],[bgg_id]],bgg_cache[id],bgg_cache[title])</f>
        <v>Green Team Wins</v>
      </c>
      <c r="D74" t="s">
        <v>4007</v>
      </c>
      <c r="E74">
        <v>69.989999999999995</v>
      </c>
    </row>
    <row r="75" spans="1:5" x14ac:dyDescent="0.25">
      <c r="A75" s="3">
        <v>45925</v>
      </c>
      <c r="B75">
        <v>397598</v>
      </c>
      <c r="C75" t="str">
        <f>_xlfn.XLOOKUP(Table4[[#This Row],[bgg_id]],bgg_cache[id],bgg_cache[title])</f>
        <v>Dune: Imperium – Uprising</v>
      </c>
    </row>
    <row r="76" spans="1:5" x14ac:dyDescent="0.25">
      <c r="A76" s="3">
        <v>45925</v>
      </c>
      <c r="B76">
        <v>15364</v>
      </c>
      <c r="C76" t="str">
        <f>_xlfn.XLOOKUP(Table4[[#This Row],[bgg_id]],bgg_cache[id],bgg_cache[title])</f>
        <v>Vegas Showdown</v>
      </c>
    </row>
    <row r="77" spans="1:5" x14ac:dyDescent="0.25">
      <c r="A77" s="3">
        <v>45925</v>
      </c>
      <c r="B77">
        <v>123239</v>
      </c>
      <c r="C77" t="str">
        <f>_xlfn.XLOOKUP(Table4[[#This Row],[bgg_id]],bgg_cache[id],bgg_cache[title])</f>
        <v>Wits &amp; Wagers Party</v>
      </c>
    </row>
    <row r="78" spans="1:5" x14ac:dyDescent="0.25">
      <c r="A78" s="3">
        <v>45925</v>
      </c>
      <c r="B78">
        <v>268620</v>
      </c>
      <c r="C78" t="str">
        <f>_xlfn.XLOOKUP(Table4[[#This Row],[bgg_id]],bgg_cache[id],bgg_cache[title])</f>
        <v>Similo</v>
      </c>
    </row>
    <row r="79" spans="1:5" x14ac:dyDescent="0.25">
      <c r="A79" s="3">
        <v>45925</v>
      </c>
      <c r="B79">
        <v>220</v>
      </c>
      <c r="C79" t="str">
        <f>_xlfn.XLOOKUP(Table4[[#This Row],[bgg_id]],bgg_cache[id],bgg_cache[title])</f>
        <v>High Society</v>
      </c>
    </row>
    <row r="80" spans="1:5" x14ac:dyDescent="0.25">
      <c r="A80" s="3">
        <v>45925</v>
      </c>
      <c r="B80">
        <v>135262</v>
      </c>
      <c r="C80" t="str">
        <f>_xlfn.XLOOKUP(Table4[[#This Row],[bgg_id]],bgg_cache[id],bgg_cache[title])</f>
        <v>Electronic Catch Phrase</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092ED-B9D3-458B-A913-200DF4F733E2}">
  <dimension ref="A1:P590"/>
  <sheetViews>
    <sheetView workbookViewId="0">
      <selection sqref="A1:P590"/>
    </sheetView>
  </sheetViews>
  <sheetFormatPr defaultRowHeight="15" x14ac:dyDescent="0.25"/>
  <cols>
    <col min="1" max="1" width="7" bestFit="1" customWidth="1"/>
    <col min="2" max="2" width="8.85546875" bestFit="1" customWidth="1"/>
    <col min="3" max="3" width="67.85546875" bestFit="1" customWidth="1"/>
    <col min="4" max="4" width="7.140625" bestFit="1" customWidth="1"/>
    <col min="5" max="6" width="81.140625" bestFit="1" customWidth="1"/>
    <col min="7" max="7" width="14.140625" bestFit="1" customWidth="1"/>
    <col min="8" max="8" width="14.42578125" bestFit="1" customWidth="1"/>
    <col min="9" max="9" width="15.5703125" bestFit="1" customWidth="1"/>
    <col min="10" max="10" width="15.85546875" bestFit="1" customWidth="1"/>
    <col min="11" max="11" width="10.7109375" bestFit="1" customWidth="1"/>
    <col min="12" max="12" width="9.28515625" bestFit="1" customWidth="1"/>
    <col min="13" max="13" width="12.28515625" bestFit="1" customWidth="1"/>
    <col min="14" max="14" width="11.140625" bestFit="1" customWidth="1"/>
    <col min="15" max="15" width="32.5703125" bestFit="1" customWidth="1"/>
    <col min="16" max="16" width="12.5703125" customWidth="1"/>
  </cols>
  <sheetData>
    <row r="1" spans="1:16" x14ac:dyDescent="0.25">
      <c r="A1" t="s">
        <v>163</v>
      </c>
      <c r="B1" t="s">
        <v>164</v>
      </c>
      <c r="C1" t="s">
        <v>165</v>
      </c>
      <c r="D1" t="s">
        <v>167</v>
      </c>
      <c r="E1" t="s">
        <v>787</v>
      </c>
      <c r="F1" t="s">
        <v>788</v>
      </c>
      <c r="G1" t="s">
        <v>168</v>
      </c>
      <c r="H1" t="s">
        <v>169</v>
      </c>
      <c r="I1" t="s">
        <v>170</v>
      </c>
      <c r="J1" t="s">
        <v>171</v>
      </c>
      <c r="K1" t="s">
        <v>175</v>
      </c>
      <c r="L1" t="s">
        <v>172</v>
      </c>
      <c r="M1" t="s">
        <v>173</v>
      </c>
      <c r="N1" t="s">
        <v>174</v>
      </c>
      <c r="O1" t="s">
        <v>166</v>
      </c>
      <c r="P1" t="s">
        <v>176</v>
      </c>
    </row>
    <row r="2" spans="1:16" x14ac:dyDescent="0.25">
      <c r="A2">
        <v>384629</v>
      </c>
      <c r="B2" t="s">
        <v>263</v>
      </c>
      <c r="C2" t="s">
        <v>160</v>
      </c>
      <c r="D2" t="s">
        <v>160</v>
      </c>
      <c r="E2" t="s">
        <v>1550</v>
      </c>
      <c r="F2" t="s">
        <v>1551</v>
      </c>
      <c r="G2" t="s">
        <v>160</v>
      </c>
      <c r="H2" t="s">
        <v>160</v>
      </c>
      <c r="I2" t="s">
        <v>160</v>
      </c>
      <c r="J2" t="s">
        <v>160</v>
      </c>
      <c r="K2" t="s">
        <v>160</v>
      </c>
      <c r="L2" t="s">
        <v>160</v>
      </c>
      <c r="M2" t="s">
        <v>160</v>
      </c>
      <c r="N2" t="s">
        <v>160</v>
      </c>
      <c r="O2" t="s">
        <v>187</v>
      </c>
      <c r="P2" t="s">
        <v>178</v>
      </c>
    </row>
    <row r="3" spans="1:16" x14ac:dyDescent="0.25">
      <c r="A3">
        <v>207830</v>
      </c>
      <c r="B3" t="s">
        <v>263</v>
      </c>
      <c r="C3" t="s">
        <v>621</v>
      </c>
      <c r="D3" t="s">
        <v>507</v>
      </c>
      <c r="E3" t="s">
        <v>1110</v>
      </c>
      <c r="F3" t="s">
        <v>1111</v>
      </c>
      <c r="G3" t="s">
        <v>319</v>
      </c>
      <c r="H3" t="s">
        <v>322</v>
      </c>
      <c r="I3" t="s">
        <v>322</v>
      </c>
      <c r="J3" t="s">
        <v>351</v>
      </c>
      <c r="K3" t="s">
        <v>326</v>
      </c>
      <c r="L3" t="s">
        <v>770</v>
      </c>
      <c r="M3" t="s">
        <v>4630</v>
      </c>
      <c r="N3" t="s">
        <v>4631</v>
      </c>
      <c r="O3" t="s">
        <v>180</v>
      </c>
      <c r="P3" t="s">
        <v>184</v>
      </c>
    </row>
    <row r="4" spans="1:16" x14ac:dyDescent="0.25">
      <c r="A4">
        <v>68448</v>
      </c>
      <c r="B4" t="s">
        <v>263</v>
      </c>
      <c r="C4" t="s">
        <v>8</v>
      </c>
      <c r="D4" t="s">
        <v>479</v>
      </c>
      <c r="E4" t="s">
        <v>789</v>
      </c>
      <c r="F4" t="s">
        <v>790</v>
      </c>
      <c r="G4" t="s">
        <v>319</v>
      </c>
      <c r="H4" t="s">
        <v>325</v>
      </c>
      <c r="I4" t="s">
        <v>351</v>
      </c>
      <c r="J4" t="s">
        <v>351</v>
      </c>
      <c r="K4" t="s">
        <v>329</v>
      </c>
      <c r="L4" t="s">
        <v>4135</v>
      </c>
      <c r="M4" t="s">
        <v>4136</v>
      </c>
      <c r="N4" t="s">
        <v>2044</v>
      </c>
      <c r="O4" t="s">
        <v>310</v>
      </c>
      <c r="P4" t="s">
        <v>178</v>
      </c>
    </row>
    <row r="5" spans="1:16" x14ac:dyDescent="0.25">
      <c r="A5">
        <v>173346</v>
      </c>
      <c r="B5" t="s">
        <v>263</v>
      </c>
      <c r="C5" t="s">
        <v>27</v>
      </c>
      <c r="D5" t="s">
        <v>486</v>
      </c>
      <c r="E5" t="s">
        <v>791</v>
      </c>
      <c r="F5" t="s">
        <v>792</v>
      </c>
      <c r="G5" t="s">
        <v>319</v>
      </c>
      <c r="H5" t="s">
        <v>319</v>
      </c>
      <c r="I5" t="s">
        <v>351</v>
      </c>
      <c r="J5" t="s">
        <v>351</v>
      </c>
      <c r="K5" t="s">
        <v>329</v>
      </c>
      <c r="L5" t="s">
        <v>4414</v>
      </c>
      <c r="M5" t="s">
        <v>4415</v>
      </c>
      <c r="N5" t="s">
        <v>345</v>
      </c>
      <c r="O5" t="s">
        <v>187</v>
      </c>
      <c r="P5" t="s">
        <v>178</v>
      </c>
    </row>
    <row r="6" spans="1:16" x14ac:dyDescent="0.25">
      <c r="A6">
        <v>92539</v>
      </c>
      <c r="B6" t="s">
        <v>263</v>
      </c>
      <c r="C6" t="s">
        <v>1632</v>
      </c>
      <c r="D6" t="s">
        <v>518</v>
      </c>
      <c r="E6" t="s">
        <v>1633</v>
      </c>
      <c r="F6" t="s">
        <v>1634</v>
      </c>
      <c r="G6" t="s">
        <v>319</v>
      </c>
      <c r="H6" t="s">
        <v>325</v>
      </c>
      <c r="I6" t="s">
        <v>360</v>
      </c>
      <c r="J6" t="s">
        <v>360</v>
      </c>
      <c r="K6" t="s">
        <v>335</v>
      </c>
      <c r="L6" t="s">
        <v>1635</v>
      </c>
      <c r="M6" t="s">
        <v>4326</v>
      </c>
      <c r="N6" t="s">
        <v>160</v>
      </c>
      <c r="O6" t="s">
        <v>1636</v>
      </c>
      <c r="P6" t="s">
        <v>178</v>
      </c>
    </row>
    <row r="7" spans="1:16" x14ac:dyDescent="0.25">
      <c r="A7">
        <v>346189</v>
      </c>
      <c r="B7" t="s">
        <v>263</v>
      </c>
      <c r="C7" t="s">
        <v>1468</v>
      </c>
      <c r="D7" t="s">
        <v>480</v>
      </c>
      <c r="E7" t="s">
        <v>1469</v>
      </c>
      <c r="F7" t="s">
        <v>1470</v>
      </c>
      <c r="G7" t="s">
        <v>160</v>
      </c>
      <c r="H7" t="s">
        <v>160</v>
      </c>
      <c r="I7" t="s">
        <v>160</v>
      </c>
      <c r="J7" t="s">
        <v>160</v>
      </c>
      <c r="K7" t="s">
        <v>160</v>
      </c>
      <c r="L7" t="s">
        <v>495</v>
      </c>
      <c r="M7" t="s">
        <v>495</v>
      </c>
      <c r="N7" t="s">
        <v>160</v>
      </c>
      <c r="O7" t="s">
        <v>1464</v>
      </c>
      <c r="P7" t="s">
        <v>178</v>
      </c>
    </row>
    <row r="8" spans="1:16" x14ac:dyDescent="0.25">
      <c r="A8">
        <v>135779</v>
      </c>
      <c r="B8" t="s">
        <v>263</v>
      </c>
      <c r="C8" t="s">
        <v>399</v>
      </c>
      <c r="D8" t="s">
        <v>518</v>
      </c>
      <c r="E8" t="s">
        <v>1112</v>
      </c>
      <c r="F8" t="s">
        <v>1113</v>
      </c>
      <c r="G8" t="s">
        <v>322</v>
      </c>
      <c r="H8" t="s">
        <v>329</v>
      </c>
      <c r="I8" t="s">
        <v>344</v>
      </c>
      <c r="J8" t="s">
        <v>344</v>
      </c>
      <c r="K8" t="s">
        <v>326</v>
      </c>
      <c r="L8" t="s">
        <v>4255</v>
      </c>
      <c r="M8" t="s">
        <v>4256</v>
      </c>
      <c r="N8" t="s">
        <v>4257</v>
      </c>
      <c r="O8" t="s">
        <v>179</v>
      </c>
      <c r="P8" t="s">
        <v>178</v>
      </c>
    </row>
    <row r="9" spans="1:16" x14ac:dyDescent="0.25">
      <c r="A9">
        <v>177736</v>
      </c>
      <c r="B9" t="s">
        <v>263</v>
      </c>
      <c r="C9" t="s">
        <v>472</v>
      </c>
      <c r="D9" t="s">
        <v>538</v>
      </c>
      <c r="E9" t="s">
        <v>793</v>
      </c>
      <c r="F9" t="s">
        <v>794</v>
      </c>
      <c r="G9" t="s">
        <v>317</v>
      </c>
      <c r="H9" t="s">
        <v>321</v>
      </c>
      <c r="I9" t="s">
        <v>351</v>
      </c>
      <c r="J9" t="s">
        <v>532</v>
      </c>
      <c r="K9" t="s">
        <v>333</v>
      </c>
      <c r="L9" t="s">
        <v>4416</v>
      </c>
      <c r="M9" t="s">
        <v>4417</v>
      </c>
      <c r="N9" t="s">
        <v>348</v>
      </c>
      <c r="O9" t="s">
        <v>187</v>
      </c>
      <c r="P9" t="s">
        <v>178</v>
      </c>
    </row>
    <row r="10" spans="1:16" x14ac:dyDescent="0.25">
      <c r="A10">
        <v>378191</v>
      </c>
      <c r="B10" t="s">
        <v>263</v>
      </c>
      <c r="C10" t="s">
        <v>1465</v>
      </c>
      <c r="D10" t="s">
        <v>493</v>
      </c>
      <c r="E10" t="s">
        <v>1466</v>
      </c>
      <c r="F10" t="s">
        <v>1467</v>
      </c>
      <c r="G10" t="s">
        <v>160</v>
      </c>
      <c r="H10" t="s">
        <v>160</v>
      </c>
      <c r="I10" t="s">
        <v>160</v>
      </c>
      <c r="J10" t="s">
        <v>160</v>
      </c>
      <c r="K10" t="s">
        <v>160</v>
      </c>
      <c r="L10" t="s">
        <v>495</v>
      </c>
      <c r="M10" t="s">
        <v>495</v>
      </c>
      <c r="N10" t="s">
        <v>160</v>
      </c>
      <c r="O10" t="s">
        <v>1464</v>
      </c>
      <c r="P10" t="s">
        <v>178</v>
      </c>
    </row>
    <row r="11" spans="1:16" x14ac:dyDescent="0.25">
      <c r="A11">
        <v>302260</v>
      </c>
      <c r="B11" t="s">
        <v>263</v>
      </c>
      <c r="C11" t="s">
        <v>190</v>
      </c>
      <c r="D11" t="s">
        <v>480</v>
      </c>
      <c r="E11" t="s">
        <v>795</v>
      </c>
      <c r="F11" t="s">
        <v>796</v>
      </c>
      <c r="G11" t="s">
        <v>319</v>
      </c>
      <c r="H11" t="s">
        <v>321</v>
      </c>
      <c r="I11" t="s">
        <v>344</v>
      </c>
      <c r="J11" t="s">
        <v>344</v>
      </c>
      <c r="K11" t="s">
        <v>329</v>
      </c>
      <c r="L11" t="s">
        <v>4418</v>
      </c>
      <c r="M11" t="s">
        <v>4419</v>
      </c>
      <c r="N11" t="s">
        <v>4420</v>
      </c>
      <c r="O11" t="s">
        <v>180</v>
      </c>
      <c r="P11" t="s">
        <v>178</v>
      </c>
    </row>
    <row r="12" spans="1:16" x14ac:dyDescent="0.25">
      <c r="A12">
        <v>155987</v>
      </c>
      <c r="B12" t="s">
        <v>263</v>
      </c>
      <c r="C12" t="s">
        <v>2187</v>
      </c>
      <c r="D12" t="s">
        <v>497</v>
      </c>
      <c r="E12" t="s">
        <v>2188</v>
      </c>
      <c r="F12" t="s">
        <v>2189</v>
      </c>
      <c r="G12" t="s">
        <v>319</v>
      </c>
      <c r="H12" t="s">
        <v>321</v>
      </c>
      <c r="I12" t="s">
        <v>351</v>
      </c>
      <c r="J12" t="s">
        <v>372</v>
      </c>
      <c r="K12" t="s">
        <v>336</v>
      </c>
      <c r="L12" t="s">
        <v>5118</v>
      </c>
      <c r="M12" t="s">
        <v>5119</v>
      </c>
      <c r="N12" t="s">
        <v>2209</v>
      </c>
      <c r="O12" t="s">
        <v>187</v>
      </c>
      <c r="P12" t="s">
        <v>178</v>
      </c>
    </row>
    <row r="13" spans="1:16" x14ac:dyDescent="0.25">
      <c r="A13">
        <v>216138</v>
      </c>
      <c r="B13" t="s">
        <v>263</v>
      </c>
      <c r="C13" t="s">
        <v>1555</v>
      </c>
      <c r="D13" t="s">
        <v>518</v>
      </c>
      <c r="E13" t="s">
        <v>1556</v>
      </c>
      <c r="F13" t="s">
        <v>1557</v>
      </c>
      <c r="G13" t="s">
        <v>317</v>
      </c>
      <c r="H13" t="s">
        <v>321</v>
      </c>
      <c r="I13" t="s">
        <v>372</v>
      </c>
      <c r="J13" t="s">
        <v>402</v>
      </c>
      <c r="K13" t="s">
        <v>325</v>
      </c>
      <c r="L13" t="s">
        <v>495</v>
      </c>
      <c r="M13" t="s">
        <v>495</v>
      </c>
      <c r="N13" t="s">
        <v>160</v>
      </c>
      <c r="O13" t="s">
        <v>183</v>
      </c>
      <c r="P13" t="s">
        <v>184</v>
      </c>
    </row>
    <row r="14" spans="1:16" x14ac:dyDescent="0.25">
      <c r="A14">
        <v>325621</v>
      </c>
      <c r="B14" t="s">
        <v>263</v>
      </c>
      <c r="C14" t="s">
        <v>1471</v>
      </c>
      <c r="D14" t="s">
        <v>480</v>
      </c>
      <c r="E14" t="s">
        <v>1472</v>
      </c>
      <c r="F14" t="s">
        <v>1473</v>
      </c>
      <c r="G14" t="s">
        <v>160</v>
      </c>
      <c r="H14" t="s">
        <v>160</v>
      </c>
      <c r="I14" t="s">
        <v>160</v>
      </c>
      <c r="J14" t="s">
        <v>160</v>
      </c>
      <c r="K14" t="s">
        <v>160</v>
      </c>
      <c r="L14" t="s">
        <v>495</v>
      </c>
      <c r="M14" t="s">
        <v>495</v>
      </c>
      <c r="N14" t="s">
        <v>160</v>
      </c>
      <c r="O14" t="s">
        <v>1464</v>
      </c>
      <c r="P14" t="s">
        <v>178</v>
      </c>
    </row>
    <row r="15" spans="1:16" x14ac:dyDescent="0.25">
      <c r="A15">
        <v>191189</v>
      </c>
      <c r="B15" t="s">
        <v>263</v>
      </c>
      <c r="C15" t="s">
        <v>2035</v>
      </c>
      <c r="D15" t="s">
        <v>538</v>
      </c>
      <c r="E15" t="s">
        <v>2036</v>
      </c>
      <c r="F15" t="s">
        <v>2037</v>
      </c>
      <c r="G15" t="s">
        <v>317</v>
      </c>
      <c r="H15" t="s">
        <v>321</v>
      </c>
      <c r="I15" t="s">
        <v>372</v>
      </c>
      <c r="J15" t="s">
        <v>372</v>
      </c>
      <c r="K15" t="s">
        <v>336</v>
      </c>
      <c r="L15" t="s">
        <v>5051</v>
      </c>
      <c r="M15" t="s">
        <v>5052</v>
      </c>
      <c r="N15" t="s">
        <v>412</v>
      </c>
      <c r="O15" t="s">
        <v>187</v>
      </c>
      <c r="P15" t="s">
        <v>184</v>
      </c>
    </row>
    <row r="16" spans="1:16" x14ac:dyDescent="0.25">
      <c r="A16">
        <v>422732</v>
      </c>
      <c r="B16" t="s">
        <v>263</v>
      </c>
      <c r="C16" t="s">
        <v>1893</v>
      </c>
      <c r="D16" t="s">
        <v>508</v>
      </c>
      <c r="E16" t="s">
        <v>1894</v>
      </c>
      <c r="F16" t="s">
        <v>1895</v>
      </c>
      <c r="G16" t="s">
        <v>319</v>
      </c>
      <c r="H16" t="s">
        <v>321</v>
      </c>
      <c r="I16" t="s">
        <v>329</v>
      </c>
      <c r="J16" t="s">
        <v>344</v>
      </c>
      <c r="K16" t="s">
        <v>326</v>
      </c>
      <c r="L16" t="s">
        <v>5266</v>
      </c>
      <c r="M16" t="s">
        <v>5267</v>
      </c>
      <c r="N16" t="s">
        <v>5268</v>
      </c>
      <c r="O16" t="s">
        <v>180</v>
      </c>
      <c r="P16" t="s">
        <v>178</v>
      </c>
    </row>
    <row r="17" spans="1:16" x14ac:dyDescent="0.25">
      <c r="A17">
        <v>200680</v>
      </c>
      <c r="B17" t="s">
        <v>263</v>
      </c>
      <c r="C17" t="s">
        <v>1717</v>
      </c>
      <c r="D17" t="s">
        <v>538</v>
      </c>
      <c r="E17" t="s">
        <v>1718</v>
      </c>
      <c r="F17" t="s">
        <v>1719</v>
      </c>
      <c r="G17" t="s">
        <v>317</v>
      </c>
      <c r="H17" t="s">
        <v>321</v>
      </c>
      <c r="I17" t="s">
        <v>351</v>
      </c>
      <c r="J17" t="s">
        <v>532</v>
      </c>
      <c r="K17" t="s">
        <v>333</v>
      </c>
      <c r="L17" t="s">
        <v>4944</v>
      </c>
      <c r="M17" t="s">
        <v>4945</v>
      </c>
      <c r="N17" t="s">
        <v>4946</v>
      </c>
      <c r="O17" t="s">
        <v>187</v>
      </c>
      <c r="P17" t="s">
        <v>178</v>
      </c>
    </row>
    <row r="18" spans="1:16" x14ac:dyDescent="0.25">
      <c r="A18">
        <v>247367</v>
      </c>
      <c r="B18" t="s">
        <v>263</v>
      </c>
      <c r="C18" t="s">
        <v>2058</v>
      </c>
      <c r="D18" t="s">
        <v>491</v>
      </c>
      <c r="E18" t="s">
        <v>2059</v>
      </c>
      <c r="F18" t="s">
        <v>2060</v>
      </c>
      <c r="G18" t="s">
        <v>319</v>
      </c>
      <c r="H18" t="s">
        <v>319</v>
      </c>
      <c r="I18" t="s">
        <v>344</v>
      </c>
      <c r="J18" t="s">
        <v>344</v>
      </c>
      <c r="K18" t="s">
        <v>336</v>
      </c>
      <c r="L18" t="s">
        <v>5063</v>
      </c>
      <c r="M18" t="s">
        <v>5064</v>
      </c>
      <c r="N18" t="s">
        <v>5065</v>
      </c>
      <c r="O18" t="s">
        <v>187</v>
      </c>
      <c r="P18" t="s">
        <v>178</v>
      </c>
    </row>
    <row r="19" spans="1:16" x14ac:dyDescent="0.25">
      <c r="A19">
        <v>357563</v>
      </c>
      <c r="B19" t="s">
        <v>263</v>
      </c>
      <c r="C19" t="s">
        <v>122</v>
      </c>
      <c r="D19" t="s">
        <v>478</v>
      </c>
      <c r="E19" t="s">
        <v>797</v>
      </c>
      <c r="F19" t="s">
        <v>798</v>
      </c>
      <c r="G19" t="s">
        <v>317</v>
      </c>
      <c r="H19" t="s">
        <v>321</v>
      </c>
      <c r="I19" t="s">
        <v>344</v>
      </c>
      <c r="J19" t="s">
        <v>351</v>
      </c>
      <c r="K19" t="s">
        <v>326</v>
      </c>
      <c r="L19" t="s">
        <v>4421</v>
      </c>
      <c r="M19" t="s">
        <v>4422</v>
      </c>
      <c r="N19" t="s">
        <v>4423</v>
      </c>
      <c r="O19" t="s">
        <v>180</v>
      </c>
      <c r="P19" t="s">
        <v>178</v>
      </c>
    </row>
    <row r="20" spans="1:16" x14ac:dyDescent="0.25">
      <c r="A20">
        <v>431</v>
      </c>
      <c r="B20" t="s">
        <v>263</v>
      </c>
      <c r="C20" t="s">
        <v>2219</v>
      </c>
      <c r="D20" t="s">
        <v>549</v>
      </c>
      <c r="E20" t="s">
        <v>2220</v>
      </c>
      <c r="F20" t="s">
        <v>2221</v>
      </c>
      <c r="G20" t="s">
        <v>319</v>
      </c>
      <c r="H20" t="s">
        <v>323</v>
      </c>
      <c r="I20" t="s">
        <v>363</v>
      </c>
      <c r="J20" t="s">
        <v>363</v>
      </c>
      <c r="K20" t="s">
        <v>329</v>
      </c>
      <c r="L20" t="s">
        <v>2222</v>
      </c>
      <c r="M20" t="s">
        <v>4379</v>
      </c>
      <c r="N20" t="s">
        <v>4380</v>
      </c>
      <c r="O20" t="s">
        <v>180</v>
      </c>
      <c r="P20" t="s">
        <v>178</v>
      </c>
    </row>
    <row r="21" spans="1:16" x14ac:dyDescent="0.25">
      <c r="A21">
        <v>4710</v>
      </c>
      <c r="B21" t="s">
        <v>263</v>
      </c>
      <c r="C21" t="s">
        <v>2306</v>
      </c>
      <c r="D21" t="s">
        <v>513</v>
      </c>
      <c r="E21" t="s">
        <v>2307</v>
      </c>
      <c r="F21" t="s">
        <v>2308</v>
      </c>
      <c r="G21" t="s">
        <v>326</v>
      </c>
      <c r="H21" t="s">
        <v>326</v>
      </c>
      <c r="I21" t="s">
        <v>540</v>
      </c>
      <c r="J21" t="s">
        <v>540</v>
      </c>
      <c r="K21" t="s">
        <v>341</v>
      </c>
      <c r="L21" t="s">
        <v>495</v>
      </c>
      <c r="M21" t="s">
        <v>2309</v>
      </c>
      <c r="N21" t="s">
        <v>160</v>
      </c>
      <c r="O21" t="s">
        <v>181</v>
      </c>
      <c r="P21" t="s">
        <v>178</v>
      </c>
    </row>
    <row r="22" spans="1:16" x14ac:dyDescent="0.25">
      <c r="A22">
        <v>185343</v>
      </c>
      <c r="B22" t="s">
        <v>263</v>
      </c>
      <c r="C22" t="s">
        <v>2288</v>
      </c>
      <c r="D22" t="s">
        <v>507</v>
      </c>
      <c r="E22" t="s">
        <v>2289</v>
      </c>
      <c r="F22" t="s">
        <v>2290</v>
      </c>
      <c r="G22" t="s">
        <v>317</v>
      </c>
      <c r="H22" t="s">
        <v>321</v>
      </c>
      <c r="I22" t="s">
        <v>351</v>
      </c>
      <c r="J22" t="s">
        <v>532</v>
      </c>
      <c r="K22" t="s">
        <v>337</v>
      </c>
      <c r="L22" t="s">
        <v>321</v>
      </c>
      <c r="M22" t="s">
        <v>5151</v>
      </c>
      <c r="N22" t="s">
        <v>2291</v>
      </c>
      <c r="O22" t="s">
        <v>187</v>
      </c>
      <c r="P22" t="s">
        <v>178</v>
      </c>
    </row>
    <row r="23" spans="1:16" x14ac:dyDescent="0.25">
      <c r="A23">
        <v>338093</v>
      </c>
      <c r="B23" t="s">
        <v>263</v>
      </c>
      <c r="C23" t="s">
        <v>1929</v>
      </c>
      <c r="D23" t="s">
        <v>493</v>
      </c>
      <c r="E23" t="s">
        <v>1930</v>
      </c>
      <c r="F23" t="s">
        <v>1931</v>
      </c>
      <c r="G23" t="s">
        <v>319</v>
      </c>
      <c r="H23" t="s">
        <v>321</v>
      </c>
      <c r="I23" t="s">
        <v>388</v>
      </c>
      <c r="J23" t="s">
        <v>388</v>
      </c>
      <c r="K23" t="s">
        <v>333</v>
      </c>
      <c r="L23" t="s">
        <v>5013</v>
      </c>
      <c r="M23" t="s">
        <v>5014</v>
      </c>
      <c r="N23" t="s">
        <v>5015</v>
      </c>
      <c r="O23" t="s">
        <v>187</v>
      </c>
      <c r="P23" t="s">
        <v>178</v>
      </c>
    </row>
    <row r="24" spans="1:16" x14ac:dyDescent="0.25">
      <c r="A24">
        <v>17329</v>
      </c>
      <c r="B24" t="s">
        <v>263</v>
      </c>
      <c r="C24" t="s">
        <v>30</v>
      </c>
      <c r="D24" t="s">
        <v>528</v>
      </c>
      <c r="E24" t="s">
        <v>4137</v>
      </c>
      <c r="F24" t="s">
        <v>4126</v>
      </c>
      <c r="G24" t="s">
        <v>319</v>
      </c>
      <c r="H24" t="s">
        <v>321</v>
      </c>
      <c r="I24" t="s">
        <v>337</v>
      </c>
      <c r="J24" t="s">
        <v>337</v>
      </c>
      <c r="K24" t="s">
        <v>321</v>
      </c>
      <c r="L24" t="s">
        <v>4138</v>
      </c>
      <c r="M24" t="s">
        <v>4139</v>
      </c>
      <c r="N24" t="s">
        <v>4140</v>
      </c>
      <c r="O24" t="s">
        <v>191</v>
      </c>
      <c r="P24" t="s">
        <v>178</v>
      </c>
    </row>
    <row r="25" spans="1:16" x14ac:dyDescent="0.25">
      <c r="A25">
        <v>285967</v>
      </c>
      <c r="B25" t="s">
        <v>263</v>
      </c>
      <c r="C25" t="s">
        <v>2278</v>
      </c>
      <c r="D25" t="s">
        <v>483</v>
      </c>
      <c r="E25" t="s">
        <v>2279</v>
      </c>
      <c r="F25" t="s">
        <v>2280</v>
      </c>
      <c r="G25" t="s">
        <v>319</v>
      </c>
      <c r="H25" t="s">
        <v>322</v>
      </c>
      <c r="I25" t="s">
        <v>402</v>
      </c>
      <c r="J25" t="s">
        <v>402</v>
      </c>
      <c r="K25" t="s">
        <v>336</v>
      </c>
      <c r="L25" t="s">
        <v>5149</v>
      </c>
      <c r="M25" t="s">
        <v>5150</v>
      </c>
      <c r="N25" t="s">
        <v>2281</v>
      </c>
      <c r="O25" t="s">
        <v>187</v>
      </c>
      <c r="P25" t="s">
        <v>178</v>
      </c>
    </row>
    <row r="26" spans="1:16" x14ac:dyDescent="0.25">
      <c r="A26">
        <v>67877</v>
      </c>
      <c r="B26" t="s">
        <v>263</v>
      </c>
      <c r="C26" t="s">
        <v>222</v>
      </c>
      <c r="D26" t="s">
        <v>479</v>
      </c>
      <c r="E26" t="s">
        <v>799</v>
      </c>
      <c r="F26" t="s">
        <v>800</v>
      </c>
      <c r="G26" t="s">
        <v>320</v>
      </c>
      <c r="H26" t="s">
        <v>323</v>
      </c>
      <c r="I26" t="s">
        <v>351</v>
      </c>
      <c r="J26" t="s">
        <v>351</v>
      </c>
      <c r="K26" t="s">
        <v>329</v>
      </c>
      <c r="L26" t="s">
        <v>4141</v>
      </c>
      <c r="M26" t="s">
        <v>4142</v>
      </c>
      <c r="N26" t="s">
        <v>4143</v>
      </c>
      <c r="O26" t="s">
        <v>179</v>
      </c>
      <c r="P26" t="s">
        <v>178</v>
      </c>
    </row>
    <row r="27" spans="1:16" x14ac:dyDescent="0.25">
      <c r="A27">
        <v>142271</v>
      </c>
      <c r="B27" t="s">
        <v>263</v>
      </c>
      <c r="C27" t="s">
        <v>370</v>
      </c>
      <c r="D27" t="s">
        <v>536</v>
      </c>
      <c r="E27" t="s">
        <v>1114</v>
      </c>
      <c r="F27" t="s">
        <v>1115</v>
      </c>
      <c r="G27" t="s">
        <v>320</v>
      </c>
      <c r="H27" t="s">
        <v>323</v>
      </c>
      <c r="I27" t="s">
        <v>351</v>
      </c>
      <c r="J27" t="s">
        <v>351</v>
      </c>
      <c r="K27" t="s">
        <v>329</v>
      </c>
      <c r="L27" t="s">
        <v>4141</v>
      </c>
      <c r="M27" t="s">
        <v>4632</v>
      </c>
      <c r="N27" t="s">
        <v>4633</v>
      </c>
      <c r="O27" t="s">
        <v>179</v>
      </c>
      <c r="P27" t="s">
        <v>178</v>
      </c>
    </row>
    <row r="28" spans="1:16" x14ac:dyDescent="0.25">
      <c r="A28">
        <v>236457</v>
      </c>
      <c r="B28" t="s">
        <v>263</v>
      </c>
      <c r="C28" t="s">
        <v>623</v>
      </c>
      <c r="D28" t="s">
        <v>482</v>
      </c>
      <c r="E28" t="s">
        <v>1116</v>
      </c>
      <c r="F28" t="s">
        <v>1117</v>
      </c>
      <c r="G28" t="s">
        <v>317</v>
      </c>
      <c r="H28" t="s">
        <v>322</v>
      </c>
      <c r="I28" t="s">
        <v>372</v>
      </c>
      <c r="J28" t="s">
        <v>393</v>
      </c>
      <c r="K28" t="s">
        <v>333</v>
      </c>
      <c r="L28" t="s">
        <v>662</v>
      </c>
      <c r="M28" t="s">
        <v>4634</v>
      </c>
      <c r="N28" t="s">
        <v>4635</v>
      </c>
      <c r="O28" t="s">
        <v>187</v>
      </c>
      <c r="P28" t="s">
        <v>178</v>
      </c>
    </row>
    <row r="29" spans="1:16" x14ac:dyDescent="0.25">
      <c r="A29">
        <v>359871</v>
      </c>
      <c r="B29" t="s">
        <v>263</v>
      </c>
      <c r="C29" t="s">
        <v>1881</v>
      </c>
      <c r="D29" t="s">
        <v>508</v>
      </c>
      <c r="E29" t="s">
        <v>1882</v>
      </c>
      <c r="F29" t="s">
        <v>1883</v>
      </c>
      <c r="G29" t="s">
        <v>319</v>
      </c>
      <c r="H29" t="s">
        <v>321</v>
      </c>
      <c r="I29" t="s">
        <v>372</v>
      </c>
      <c r="J29" t="s">
        <v>532</v>
      </c>
      <c r="K29" t="s">
        <v>336</v>
      </c>
      <c r="L29" t="s">
        <v>4996</v>
      </c>
      <c r="M29" t="s">
        <v>4997</v>
      </c>
      <c r="N29" t="s">
        <v>4998</v>
      </c>
      <c r="O29" t="s">
        <v>187</v>
      </c>
      <c r="P29" t="s">
        <v>178</v>
      </c>
    </row>
    <row r="30" spans="1:16" x14ac:dyDescent="0.25">
      <c r="A30">
        <v>342942</v>
      </c>
      <c r="B30" t="s">
        <v>263</v>
      </c>
      <c r="C30" t="s">
        <v>291</v>
      </c>
      <c r="D30" t="s">
        <v>483</v>
      </c>
      <c r="E30" t="s">
        <v>1118</v>
      </c>
      <c r="F30" t="s">
        <v>1119</v>
      </c>
      <c r="G30" t="s">
        <v>317</v>
      </c>
      <c r="H30" t="s">
        <v>321</v>
      </c>
      <c r="I30" t="s">
        <v>402</v>
      </c>
      <c r="J30" t="s">
        <v>519</v>
      </c>
      <c r="K30" t="s">
        <v>336</v>
      </c>
      <c r="L30" t="s">
        <v>4636</v>
      </c>
      <c r="M30" t="s">
        <v>4637</v>
      </c>
      <c r="N30" t="s">
        <v>320</v>
      </c>
      <c r="O30" t="s">
        <v>187</v>
      </c>
      <c r="P30" t="s">
        <v>178</v>
      </c>
    </row>
    <row r="31" spans="1:16" x14ac:dyDescent="0.25">
      <c r="A31">
        <v>232309</v>
      </c>
      <c r="B31" t="s">
        <v>263</v>
      </c>
      <c r="C31" t="s">
        <v>2108</v>
      </c>
      <c r="D31" t="s">
        <v>160</v>
      </c>
      <c r="E31" t="s">
        <v>2109</v>
      </c>
      <c r="F31" t="s">
        <v>2110</v>
      </c>
      <c r="G31" t="s">
        <v>317</v>
      </c>
      <c r="H31" t="s">
        <v>317</v>
      </c>
      <c r="I31" t="s">
        <v>160</v>
      </c>
      <c r="J31" t="s">
        <v>160</v>
      </c>
      <c r="K31" t="s">
        <v>160</v>
      </c>
      <c r="L31" t="s">
        <v>495</v>
      </c>
      <c r="M31" t="s">
        <v>495</v>
      </c>
      <c r="N31" t="s">
        <v>160</v>
      </c>
      <c r="O31" t="s">
        <v>1436</v>
      </c>
      <c r="P31" t="s">
        <v>178</v>
      </c>
    </row>
    <row r="32" spans="1:16" x14ac:dyDescent="0.25">
      <c r="A32">
        <v>6541</v>
      </c>
      <c r="B32" t="s">
        <v>263</v>
      </c>
      <c r="C32" t="s">
        <v>1593</v>
      </c>
      <c r="D32" t="s">
        <v>549</v>
      </c>
      <c r="E32" t="s">
        <v>1594</v>
      </c>
      <c r="F32" t="s">
        <v>1595</v>
      </c>
      <c r="G32" t="s">
        <v>321</v>
      </c>
      <c r="H32" t="s">
        <v>326</v>
      </c>
      <c r="I32" t="s">
        <v>372</v>
      </c>
      <c r="J32" t="s">
        <v>372</v>
      </c>
      <c r="K32" t="s">
        <v>333</v>
      </c>
      <c r="L32" t="s">
        <v>1596</v>
      </c>
      <c r="M32" t="s">
        <v>4322</v>
      </c>
      <c r="N32" t="s">
        <v>4323</v>
      </c>
      <c r="O32" t="s">
        <v>179</v>
      </c>
      <c r="P32" t="s">
        <v>178</v>
      </c>
    </row>
    <row r="33" spans="1:16" x14ac:dyDescent="0.25">
      <c r="A33">
        <v>69789</v>
      </c>
      <c r="B33" t="s">
        <v>263</v>
      </c>
      <c r="C33" t="s">
        <v>21</v>
      </c>
      <c r="D33" t="s">
        <v>479</v>
      </c>
      <c r="E33" t="s">
        <v>801</v>
      </c>
      <c r="F33" t="s">
        <v>802</v>
      </c>
      <c r="G33" t="s">
        <v>317</v>
      </c>
      <c r="H33" t="s">
        <v>321</v>
      </c>
      <c r="I33" t="s">
        <v>351</v>
      </c>
      <c r="J33" t="s">
        <v>351</v>
      </c>
      <c r="K33" t="s">
        <v>335</v>
      </c>
      <c r="L33" t="s">
        <v>529</v>
      </c>
      <c r="M33" t="s">
        <v>4144</v>
      </c>
      <c r="N33" t="s">
        <v>4145</v>
      </c>
      <c r="O33" t="s">
        <v>187</v>
      </c>
      <c r="P33" t="s">
        <v>178</v>
      </c>
    </row>
    <row r="34" spans="1:16" x14ac:dyDescent="0.25">
      <c r="A34">
        <v>248490</v>
      </c>
      <c r="B34" t="s">
        <v>263</v>
      </c>
      <c r="C34" t="s">
        <v>2268</v>
      </c>
      <c r="D34" t="s">
        <v>491</v>
      </c>
      <c r="E34" t="s">
        <v>2269</v>
      </c>
      <c r="F34" t="s">
        <v>2270</v>
      </c>
      <c r="G34" t="s">
        <v>317</v>
      </c>
      <c r="H34" t="s">
        <v>325</v>
      </c>
      <c r="I34" t="s">
        <v>372</v>
      </c>
      <c r="J34" t="s">
        <v>532</v>
      </c>
      <c r="K34" t="s">
        <v>329</v>
      </c>
      <c r="L34" t="s">
        <v>5146</v>
      </c>
      <c r="M34" t="s">
        <v>5147</v>
      </c>
      <c r="N34" t="s">
        <v>5148</v>
      </c>
      <c r="O34" t="s">
        <v>310</v>
      </c>
      <c r="P34" t="s">
        <v>184</v>
      </c>
    </row>
    <row r="35" spans="1:16" x14ac:dyDescent="0.25">
      <c r="A35">
        <v>494</v>
      </c>
      <c r="B35" t="s">
        <v>263</v>
      </c>
      <c r="C35" t="s">
        <v>2344</v>
      </c>
      <c r="D35" t="s">
        <v>2345</v>
      </c>
      <c r="E35" t="s">
        <v>2346</v>
      </c>
      <c r="F35" t="s">
        <v>2347</v>
      </c>
      <c r="G35" t="s">
        <v>319</v>
      </c>
      <c r="H35" t="s">
        <v>323</v>
      </c>
      <c r="I35" t="s">
        <v>351</v>
      </c>
      <c r="J35" t="s">
        <v>351</v>
      </c>
      <c r="K35" t="s">
        <v>333</v>
      </c>
      <c r="L35" t="s">
        <v>4393</v>
      </c>
      <c r="M35" t="s">
        <v>4394</v>
      </c>
      <c r="N35" t="s">
        <v>4395</v>
      </c>
      <c r="O35" t="s">
        <v>180</v>
      </c>
      <c r="P35" t="s">
        <v>178</v>
      </c>
    </row>
    <row r="36" spans="1:16" x14ac:dyDescent="0.25">
      <c r="A36">
        <v>230802</v>
      </c>
      <c r="B36" t="s">
        <v>263</v>
      </c>
      <c r="C36" t="s">
        <v>46</v>
      </c>
      <c r="D36" t="s">
        <v>507</v>
      </c>
      <c r="E36" t="s">
        <v>803</v>
      </c>
      <c r="F36" t="s">
        <v>804</v>
      </c>
      <c r="G36" t="s">
        <v>319</v>
      </c>
      <c r="H36" t="s">
        <v>321</v>
      </c>
      <c r="I36" t="s">
        <v>351</v>
      </c>
      <c r="J36" t="s">
        <v>363</v>
      </c>
      <c r="K36" t="s">
        <v>326</v>
      </c>
      <c r="L36" t="s">
        <v>4424</v>
      </c>
      <c r="M36" t="s">
        <v>4425</v>
      </c>
      <c r="N36" t="s">
        <v>404</v>
      </c>
      <c r="O36" t="s">
        <v>177</v>
      </c>
      <c r="P36" t="s">
        <v>178</v>
      </c>
    </row>
    <row r="37" spans="1:16" x14ac:dyDescent="0.25">
      <c r="A37">
        <v>346965</v>
      </c>
      <c r="B37" t="s">
        <v>263</v>
      </c>
      <c r="C37" t="s">
        <v>631</v>
      </c>
      <c r="D37" t="s">
        <v>483</v>
      </c>
      <c r="E37" t="s">
        <v>1120</v>
      </c>
      <c r="F37" t="s">
        <v>1121</v>
      </c>
      <c r="G37" t="s">
        <v>319</v>
      </c>
      <c r="H37" t="s">
        <v>321</v>
      </c>
      <c r="I37" t="s">
        <v>363</v>
      </c>
      <c r="J37" t="s">
        <v>372</v>
      </c>
      <c r="K37" t="s">
        <v>329</v>
      </c>
      <c r="L37" t="s">
        <v>632</v>
      </c>
      <c r="M37" t="s">
        <v>4638</v>
      </c>
      <c r="N37" t="s">
        <v>4639</v>
      </c>
      <c r="O37" t="s">
        <v>177</v>
      </c>
      <c r="P37" t="s">
        <v>178</v>
      </c>
    </row>
    <row r="38" spans="1:16" x14ac:dyDescent="0.25">
      <c r="A38">
        <v>287954</v>
      </c>
      <c r="B38" t="s">
        <v>263</v>
      </c>
      <c r="C38" t="s">
        <v>223</v>
      </c>
      <c r="D38" t="s">
        <v>491</v>
      </c>
      <c r="E38" t="s">
        <v>1122</v>
      </c>
      <c r="F38" t="s">
        <v>1123</v>
      </c>
      <c r="G38" t="s">
        <v>319</v>
      </c>
      <c r="H38" t="s">
        <v>321</v>
      </c>
      <c r="I38" t="s">
        <v>351</v>
      </c>
      <c r="J38" t="s">
        <v>363</v>
      </c>
      <c r="K38" t="s">
        <v>326</v>
      </c>
      <c r="L38" t="s">
        <v>4640</v>
      </c>
      <c r="M38" t="s">
        <v>4641</v>
      </c>
      <c r="N38" t="s">
        <v>4642</v>
      </c>
      <c r="O38" t="s">
        <v>177</v>
      </c>
      <c r="P38" t="s">
        <v>178</v>
      </c>
    </row>
    <row r="39" spans="1:16" x14ac:dyDescent="0.25">
      <c r="A39">
        <v>163</v>
      </c>
      <c r="B39" t="s">
        <v>263</v>
      </c>
      <c r="C39" t="s">
        <v>350</v>
      </c>
      <c r="D39" t="s">
        <v>595</v>
      </c>
      <c r="E39" t="s">
        <v>1124</v>
      </c>
      <c r="F39" t="s">
        <v>1125</v>
      </c>
      <c r="G39" t="s">
        <v>319</v>
      </c>
      <c r="H39" t="s">
        <v>323</v>
      </c>
      <c r="I39" t="s">
        <v>372</v>
      </c>
      <c r="J39" t="s">
        <v>372</v>
      </c>
      <c r="K39" t="s">
        <v>333</v>
      </c>
      <c r="L39" t="s">
        <v>4258</v>
      </c>
      <c r="M39" t="s">
        <v>4259</v>
      </c>
      <c r="N39" t="s">
        <v>4260</v>
      </c>
      <c r="O39" t="s">
        <v>179</v>
      </c>
      <c r="P39" t="s">
        <v>178</v>
      </c>
    </row>
    <row r="40" spans="1:16" x14ac:dyDescent="0.25">
      <c r="A40">
        <v>383607</v>
      </c>
      <c r="B40" t="s">
        <v>263</v>
      </c>
      <c r="C40" t="s">
        <v>1904</v>
      </c>
      <c r="D40" t="s">
        <v>493</v>
      </c>
      <c r="E40" t="s">
        <v>1905</v>
      </c>
      <c r="F40" t="s">
        <v>1906</v>
      </c>
      <c r="G40" t="s">
        <v>317</v>
      </c>
      <c r="H40" t="s">
        <v>321</v>
      </c>
      <c r="I40" t="s">
        <v>372</v>
      </c>
      <c r="J40" t="s">
        <v>402</v>
      </c>
      <c r="K40" t="s">
        <v>336</v>
      </c>
      <c r="L40" t="s">
        <v>5271</v>
      </c>
      <c r="M40" t="s">
        <v>5272</v>
      </c>
      <c r="N40" t="s">
        <v>5273</v>
      </c>
      <c r="O40" t="s">
        <v>187</v>
      </c>
      <c r="P40" t="s">
        <v>178</v>
      </c>
    </row>
    <row r="41" spans="1:16" x14ac:dyDescent="0.25">
      <c r="A41">
        <v>251247</v>
      </c>
      <c r="B41" t="s">
        <v>263</v>
      </c>
      <c r="C41" t="s">
        <v>2193</v>
      </c>
      <c r="D41" t="s">
        <v>491</v>
      </c>
      <c r="E41" t="s">
        <v>2194</v>
      </c>
      <c r="F41" t="s">
        <v>2195</v>
      </c>
      <c r="G41" t="s">
        <v>317</v>
      </c>
      <c r="H41" t="s">
        <v>321</v>
      </c>
      <c r="I41" t="s">
        <v>402</v>
      </c>
      <c r="J41" t="s">
        <v>540</v>
      </c>
      <c r="K41" t="s">
        <v>336</v>
      </c>
      <c r="L41" t="s">
        <v>5122</v>
      </c>
      <c r="M41" t="s">
        <v>5123</v>
      </c>
      <c r="N41" t="s">
        <v>359</v>
      </c>
      <c r="O41" t="s">
        <v>187</v>
      </c>
      <c r="P41" t="s">
        <v>178</v>
      </c>
    </row>
    <row r="42" spans="1:16" x14ac:dyDescent="0.25">
      <c r="A42">
        <v>37111</v>
      </c>
      <c r="B42" t="s">
        <v>263</v>
      </c>
      <c r="C42" t="s">
        <v>1734</v>
      </c>
      <c r="D42" t="s">
        <v>484</v>
      </c>
      <c r="E42" t="s">
        <v>1735</v>
      </c>
      <c r="F42" t="s">
        <v>1736</v>
      </c>
      <c r="G42" t="s">
        <v>320</v>
      </c>
      <c r="H42" t="s">
        <v>323</v>
      </c>
      <c r="I42" t="s">
        <v>532</v>
      </c>
      <c r="J42" t="s">
        <v>540</v>
      </c>
      <c r="K42" t="s">
        <v>336</v>
      </c>
      <c r="L42" t="s">
        <v>1737</v>
      </c>
      <c r="M42" t="s">
        <v>4351</v>
      </c>
      <c r="N42" t="s">
        <v>1738</v>
      </c>
      <c r="O42" t="s">
        <v>193</v>
      </c>
      <c r="P42" t="s">
        <v>184</v>
      </c>
    </row>
    <row r="43" spans="1:16" x14ac:dyDescent="0.25">
      <c r="A43">
        <v>253471</v>
      </c>
      <c r="B43" t="s">
        <v>263</v>
      </c>
      <c r="C43" t="s">
        <v>1586</v>
      </c>
      <c r="D43" t="s">
        <v>160</v>
      </c>
      <c r="E43" t="s">
        <v>1587</v>
      </c>
      <c r="F43" t="s">
        <v>1588</v>
      </c>
      <c r="G43" t="s">
        <v>317</v>
      </c>
      <c r="H43" t="s">
        <v>317</v>
      </c>
      <c r="I43" t="s">
        <v>160</v>
      </c>
      <c r="J43" t="s">
        <v>160</v>
      </c>
      <c r="K43" t="s">
        <v>160</v>
      </c>
      <c r="L43" t="s">
        <v>495</v>
      </c>
      <c r="M43" t="s">
        <v>495</v>
      </c>
      <c r="N43" t="s">
        <v>160</v>
      </c>
      <c r="O43" t="s">
        <v>1436</v>
      </c>
      <c r="P43" t="s">
        <v>178</v>
      </c>
    </row>
    <row r="44" spans="1:16" x14ac:dyDescent="0.25">
      <c r="A44">
        <v>328652</v>
      </c>
      <c r="B44" t="s">
        <v>263</v>
      </c>
      <c r="C44" t="s">
        <v>2256</v>
      </c>
      <c r="D44" t="s">
        <v>483</v>
      </c>
      <c r="E44" t="s">
        <v>2257</v>
      </c>
      <c r="F44" t="s">
        <v>2258</v>
      </c>
      <c r="G44" t="s">
        <v>160</v>
      </c>
      <c r="H44" t="s">
        <v>160</v>
      </c>
      <c r="I44" t="s">
        <v>160</v>
      </c>
      <c r="J44" t="s">
        <v>160</v>
      </c>
      <c r="K44" t="s">
        <v>160</v>
      </c>
      <c r="L44" t="s">
        <v>495</v>
      </c>
      <c r="M44" t="s">
        <v>495</v>
      </c>
      <c r="N44" t="s">
        <v>160</v>
      </c>
      <c r="O44" t="s">
        <v>1464</v>
      </c>
      <c r="P44" t="s">
        <v>178</v>
      </c>
    </row>
    <row r="45" spans="1:16" x14ac:dyDescent="0.25">
      <c r="A45">
        <v>10547</v>
      </c>
      <c r="B45" t="s">
        <v>263</v>
      </c>
      <c r="C45" t="s">
        <v>1432</v>
      </c>
      <c r="D45" t="s">
        <v>517</v>
      </c>
      <c r="E45" t="s">
        <v>1433</v>
      </c>
      <c r="F45" t="s">
        <v>1434</v>
      </c>
      <c r="G45" t="s">
        <v>320</v>
      </c>
      <c r="H45" t="s">
        <v>323</v>
      </c>
      <c r="I45" t="s">
        <v>372</v>
      </c>
      <c r="J45" t="s">
        <v>372</v>
      </c>
      <c r="K45" t="s">
        <v>333</v>
      </c>
      <c r="L45" t="s">
        <v>4308</v>
      </c>
      <c r="M45" t="s">
        <v>4309</v>
      </c>
      <c r="N45" t="s">
        <v>4310</v>
      </c>
      <c r="O45" t="s">
        <v>193</v>
      </c>
      <c r="P45" t="s">
        <v>178</v>
      </c>
    </row>
    <row r="46" spans="1:16" x14ac:dyDescent="0.25">
      <c r="A46">
        <v>358504</v>
      </c>
      <c r="B46" t="s">
        <v>263</v>
      </c>
      <c r="C46" t="s">
        <v>1769</v>
      </c>
      <c r="D46" t="s">
        <v>478</v>
      </c>
      <c r="E46" t="s">
        <v>1770</v>
      </c>
      <c r="F46" t="s">
        <v>1771</v>
      </c>
      <c r="G46" t="s">
        <v>320</v>
      </c>
      <c r="H46" t="s">
        <v>323</v>
      </c>
      <c r="I46" t="s">
        <v>372</v>
      </c>
      <c r="J46" t="s">
        <v>372</v>
      </c>
      <c r="K46" t="s">
        <v>333</v>
      </c>
      <c r="L46" t="s">
        <v>4957</v>
      </c>
      <c r="M46" t="s">
        <v>4958</v>
      </c>
      <c r="N46" t="s">
        <v>4959</v>
      </c>
      <c r="O46" t="s">
        <v>193</v>
      </c>
      <c r="P46" t="s">
        <v>178</v>
      </c>
    </row>
    <row r="47" spans="1:16" x14ac:dyDescent="0.25">
      <c r="A47">
        <v>240196</v>
      </c>
      <c r="B47" t="s">
        <v>263</v>
      </c>
      <c r="C47" t="s">
        <v>1665</v>
      </c>
      <c r="D47" t="s">
        <v>482</v>
      </c>
      <c r="E47" t="s">
        <v>1666</v>
      </c>
      <c r="F47" t="s">
        <v>1667</v>
      </c>
      <c r="G47" t="s">
        <v>320</v>
      </c>
      <c r="H47" t="s">
        <v>322</v>
      </c>
      <c r="I47" t="s">
        <v>363</v>
      </c>
      <c r="J47" t="s">
        <v>402</v>
      </c>
      <c r="K47" t="s">
        <v>333</v>
      </c>
      <c r="L47" t="s">
        <v>1668</v>
      </c>
      <c r="M47" t="s">
        <v>4928</v>
      </c>
      <c r="N47" t="s">
        <v>1504</v>
      </c>
      <c r="O47" t="s">
        <v>193</v>
      </c>
      <c r="P47" t="s">
        <v>184</v>
      </c>
    </row>
    <row r="48" spans="1:16" x14ac:dyDescent="0.25">
      <c r="A48">
        <v>378947</v>
      </c>
      <c r="B48" t="s">
        <v>263</v>
      </c>
      <c r="C48" t="s">
        <v>1625</v>
      </c>
      <c r="D48" t="s">
        <v>486</v>
      </c>
      <c r="E48" t="s">
        <v>1626</v>
      </c>
      <c r="F48" t="s">
        <v>1627</v>
      </c>
      <c r="G48" t="s">
        <v>160</v>
      </c>
      <c r="H48" t="s">
        <v>160</v>
      </c>
      <c r="I48" t="s">
        <v>160</v>
      </c>
      <c r="J48" t="s">
        <v>160</v>
      </c>
      <c r="K48" t="s">
        <v>160</v>
      </c>
      <c r="L48" t="s">
        <v>495</v>
      </c>
      <c r="M48" t="s">
        <v>495</v>
      </c>
      <c r="N48" t="s">
        <v>160</v>
      </c>
      <c r="O48" t="s">
        <v>1389</v>
      </c>
      <c r="P48" t="s">
        <v>178</v>
      </c>
    </row>
    <row r="49" spans="1:16" x14ac:dyDescent="0.25">
      <c r="A49">
        <v>317985</v>
      </c>
      <c r="B49" t="s">
        <v>263</v>
      </c>
      <c r="C49" t="s">
        <v>2183</v>
      </c>
      <c r="D49" t="s">
        <v>480</v>
      </c>
      <c r="E49" t="s">
        <v>2184</v>
      </c>
      <c r="F49" t="s">
        <v>2185</v>
      </c>
      <c r="G49" t="s">
        <v>319</v>
      </c>
      <c r="H49" t="s">
        <v>321</v>
      </c>
      <c r="I49" t="s">
        <v>372</v>
      </c>
      <c r="J49" t="s">
        <v>532</v>
      </c>
      <c r="K49" t="s">
        <v>336</v>
      </c>
      <c r="L49" t="s">
        <v>5116</v>
      </c>
      <c r="M49" t="s">
        <v>5117</v>
      </c>
      <c r="N49" t="s">
        <v>2186</v>
      </c>
      <c r="O49" t="s">
        <v>187</v>
      </c>
      <c r="P49" t="s">
        <v>178</v>
      </c>
    </row>
    <row r="50" spans="1:16" x14ac:dyDescent="0.25">
      <c r="A50">
        <v>331554</v>
      </c>
      <c r="B50" t="s">
        <v>263</v>
      </c>
      <c r="C50" t="s">
        <v>1490</v>
      </c>
      <c r="D50" t="s">
        <v>480</v>
      </c>
      <c r="E50" t="s">
        <v>1491</v>
      </c>
      <c r="F50" t="s">
        <v>1492</v>
      </c>
      <c r="G50" t="s">
        <v>319</v>
      </c>
      <c r="H50" t="s">
        <v>319</v>
      </c>
      <c r="I50" t="s">
        <v>532</v>
      </c>
      <c r="J50" t="s">
        <v>540</v>
      </c>
      <c r="K50" t="s">
        <v>336</v>
      </c>
      <c r="L50" t="s">
        <v>495</v>
      </c>
      <c r="M50" t="s">
        <v>321</v>
      </c>
      <c r="N50" t="s">
        <v>160</v>
      </c>
      <c r="O50" t="s">
        <v>580</v>
      </c>
      <c r="P50" t="s">
        <v>178</v>
      </c>
    </row>
    <row r="51" spans="1:16" x14ac:dyDescent="0.25">
      <c r="A51">
        <v>257525</v>
      </c>
      <c r="B51" t="s">
        <v>263</v>
      </c>
      <c r="C51" t="s">
        <v>2250</v>
      </c>
      <c r="D51" t="s">
        <v>160</v>
      </c>
      <c r="E51" t="s">
        <v>2251</v>
      </c>
      <c r="F51" t="s">
        <v>2252</v>
      </c>
      <c r="G51" t="s">
        <v>160</v>
      </c>
      <c r="H51" t="s">
        <v>160</v>
      </c>
      <c r="I51" t="s">
        <v>160</v>
      </c>
      <c r="J51" t="s">
        <v>160</v>
      </c>
      <c r="K51" t="s">
        <v>160</v>
      </c>
      <c r="L51" t="s">
        <v>495</v>
      </c>
      <c r="M51" t="s">
        <v>495</v>
      </c>
      <c r="N51" t="s">
        <v>160</v>
      </c>
      <c r="O51" t="s">
        <v>1601</v>
      </c>
      <c r="P51" t="s">
        <v>178</v>
      </c>
    </row>
    <row r="52" spans="1:16" x14ac:dyDescent="0.25">
      <c r="A52">
        <v>156858</v>
      </c>
      <c r="B52" t="s">
        <v>263</v>
      </c>
      <c r="C52" t="s">
        <v>1474</v>
      </c>
      <c r="D52" t="s">
        <v>538</v>
      </c>
      <c r="E52" t="s">
        <v>1475</v>
      </c>
      <c r="F52" t="s">
        <v>1476</v>
      </c>
      <c r="G52" t="s">
        <v>317</v>
      </c>
      <c r="H52" t="s">
        <v>322</v>
      </c>
      <c r="I52" t="s">
        <v>402</v>
      </c>
      <c r="J52" t="s">
        <v>402</v>
      </c>
      <c r="K52" t="s">
        <v>336</v>
      </c>
      <c r="L52" t="s">
        <v>1477</v>
      </c>
      <c r="M52" t="s">
        <v>4900</v>
      </c>
      <c r="N52" t="s">
        <v>1478</v>
      </c>
      <c r="O52" t="s">
        <v>193</v>
      </c>
      <c r="P52" t="s">
        <v>184</v>
      </c>
    </row>
    <row r="53" spans="1:16" x14ac:dyDescent="0.25">
      <c r="A53">
        <v>240980</v>
      </c>
      <c r="B53" t="s">
        <v>263</v>
      </c>
      <c r="C53" t="s">
        <v>297</v>
      </c>
      <c r="D53" t="s">
        <v>478</v>
      </c>
      <c r="E53" t="s">
        <v>1126</v>
      </c>
      <c r="F53" t="s">
        <v>1127</v>
      </c>
      <c r="G53" t="s">
        <v>323</v>
      </c>
      <c r="H53" t="s">
        <v>345</v>
      </c>
      <c r="I53" t="s">
        <v>351</v>
      </c>
      <c r="J53" t="s">
        <v>532</v>
      </c>
      <c r="K53" t="s">
        <v>337</v>
      </c>
      <c r="L53" t="s">
        <v>4643</v>
      </c>
      <c r="M53" t="s">
        <v>4644</v>
      </c>
      <c r="N53" t="s">
        <v>1720</v>
      </c>
      <c r="O53" t="s">
        <v>570</v>
      </c>
      <c r="P53" t="s">
        <v>178</v>
      </c>
    </row>
    <row r="54" spans="1:16" x14ac:dyDescent="0.25">
      <c r="A54">
        <v>170216</v>
      </c>
      <c r="B54" t="s">
        <v>263</v>
      </c>
      <c r="C54" t="s">
        <v>1710</v>
      </c>
      <c r="D54" t="s">
        <v>486</v>
      </c>
      <c r="E54" t="s">
        <v>1711</v>
      </c>
      <c r="F54" t="s">
        <v>1712</v>
      </c>
      <c r="G54" t="s">
        <v>319</v>
      </c>
      <c r="H54" t="s">
        <v>321</v>
      </c>
      <c r="I54" t="s">
        <v>372</v>
      </c>
      <c r="J54" t="s">
        <v>402</v>
      </c>
      <c r="K54" t="s">
        <v>336</v>
      </c>
      <c r="L54" t="s">
        <v>4942</v>
      </c>
      <c r="M54" t="s">
        <v>4943</v>
      </c>
      <c r="N54" t="s">
        <v>372</v>
      </c>
      <c r="O54" t="s">
        <v>187</v>
      </c>
      <c r="P54" t="s">
        <v>178</v>
      </c>
    </row>
    <row r="55" spans="1:16" x14ac:dyDescent="0.25">
      <c r="A55">
        <v>11</v>
      </c>
      <c r="B55" t="s">
        <v>263</v>
      </c>
      <c r="C55" t="s">
        <v>275</v>
      </c>
      <c r="D55" t="s">
        <v>500</v>
      </c>
      <c r="E55" t="s">
        <v>805</v>
      </c>
      <c r="F55" t="s">
        <v>806</v>
      </c>
      <c r="G55" t="s">
        <v>319</v>
      </c>
      <c r="H55" t="s">
        <v>325</v>
      </c>
      <c r="I55" t="s">
        <v>363</v>
      </c>
      <c r="J55" t="s">
        <v>363</v>
      </c>
      <c r="K55" t="s">
        <v>333</v>
      </c>
      <c r="L55" t="s">
        <v>749</v>
      </c>
      <c r="M55" t="s">
        <v>4146</v>
      </c>
      <c r="N55" t="s">
        <v>4147</v>
      </c>
      <c r="O55" t="s">
        <v>180</v>
      </c>
      <c r="P55" t="s">
        <v>178</v>
      </c>
    </row>
    <row r="56" spans="1:16" x14ac:dyDescent="0.25">
      <c r="A56">
        <v>224517</v>
      </c>
      <c r="B56" t="s">
        <v>263</v>
      </c>
      <c r="C56" t="s">
        <v>198</v>
      </c>
      <c r="D56" t="s">
        <v>482</v>
      </c>
      <c r="E56" t="s">
        <v>1128</v>
      </c>
      <c r="F56" t="s">
        <v>1129</v>
      </c>
      <c r="G56" t="s">
        <v>319</v>
      </c>
      <c r="H56" t="s">
        <v>321</v>
      </c>
      <c r="I56" t="s">
        <v>372</v>
      </c>
      <c r="J56" t="s">
        <v>532</v>
      </c>
      <c r="K56" t="s">
        <v>336</v>
      </c>
      <c r="L56" t="s">
        <v>4645</v>
      </c>
      <c r="M56" t="s">
        <v>4646</v>
      </c>
      <c r="N56" t="s">
        <v>317</v>
      </c>
      <c r="O56" t="s">
        <v>187</v>
      </c>
      <c r="P56" t="s">
        <v>178</v>
      </c>
    </row>
    <row r="57" spans="1:16" x14ac:dyDescent="0.25">
      <c r="A57">
        <v>383729</v>
      </c>
      <c r="B57" t="s">
        <v>263</v>
      </c>
      <c r="C57" t="s">
        <v>1508</v>
      </c>
      <c r="D57" t="s">
        <v>493</v>
      </c>
      <c r="E57" t="s">
        <v>1509</v>
      </c>
      <c r="F57" t="s">
        <v>1510</v>
      </c>
      <c r="G57" t="s">
        <v>160</v>
      </c>
      <c r="H57" t="s">
        <v>160</v>
      </c>
      <c r="I57" t="s">
        <v>160</v>
      </c>
      <c r="J57" t="s">
        <v>160</v>
      </c>
      <c r="K57" t="s">
        <v>160</v>
      </c>
      <c r="L57" t="s">
        <v>495</v>
      </c>
      <c r="M57" t="s">
        <v>495</v>
      </c>
      <c r="N57" t="s">
        <v>160</v>
      </c>
      <c r="O57" t="s">
        <v>1464</v>
      </c>
      <c r="P57" t="s">
        <v>178</v>
      </c>
    </row>
    <row r="58" spans="1:16" x14ac:dyDescent="0.25">
      <c r="A58">
        <v>326243</v>
      </c>
      <c r="B58" t="s">
        <v>263</v>
      </c>
      <c r="C58" t="s">
        <v>314</v>
      </c>
      <c r="D58" t="s">
        <v>480</v>
      </c>
      <c r="E58" t="s">
        <v>807</v>
      </c>
      <c r="F58" t="s">
        <v>808</v>
      </c>
      <c r="G58" t="s">
        <v>319</v>
      </c>
      <c r="H58" t="s">
        <v>321</v>
      </c>
      <c r="I58" t="s">
        <v>317</v>
      </c>
      <c r="J58" t="s">
        <v>320</v>
      </c>
      <c r="K58" t="s">
        <v>495</v>
      </c>
      <c r="L58" t="s">
        <v>317</v>
      </c>
      <c r="M58" t="s">
        <v>4426</v>
      </c>
      <c r="N58" t="s">
        <v>4427</v>
      </c>
      <c r="O58" t="s">
        <v>180</v>
      </c>
      <c r="P58" t="s">
        <v>178</v>
      </c>
    </row>
    <row r="59" spans="1:16" x14ac:dyDescent="0.25">
      <c r="A59">
        <v>383996</v>
      </c>
      <c r="B59" t="s">
        <v>263</v>
      </c>
      <c r="C59" t="s">
        <v>1435</v>
      </c>
      <c r="D59" t="s">
        <v>160</v>
      </c>
      <c r="E59" t="s">
        <v>160</v>
      </c>
      <c r="F59" t="s">
        <v>160</v>
      </c>
      <c r="G59" t="s">
        <v>317</v>
      </c>
      <c r="H59" t="s">
        <v>317</v>
      </c>
      <c r="I59" t="s">
        <v>160</v>
      </c>
      <c r="J59" t="s">
        <v>160</v>
      </c>
      <c r="K59" t="s">
        <v>160</v>
      </c>
      <c r="L59" t="s">
        <v>495</v>
      </c>
      <c r="M59" t="s">
        <v>495</v>
      </c>
      <c r="N59" t="s">
        <v>160</v>
      </c>
      <c r="O59" t="s">
        <v>1436</v>
      </c>
      <c r="P59" t="s">
        <v>178</v>
      </c>
    </row>
    <row r="60" spans="1:16" x14ac:dyDescent="0.25">
      <c r="A60">
        <v>19237</v>
      </c>
      <c r="B60" t="s">
        <v>263</v>
      </c>
      <c r="C60" t="s">
        <v>1761</v>
      </c>
      <c r="D60" t="s">
        <v>528</v>
      </c>
      <c r="E60" t="s">
        <v>1762</v>
      </c>
      <c r="F60" t="s">
        <v>1763</v>
      </c>
      <c r="G60" t="s">
        <v>321</v>
      </c>
      <c r="H60" t="s">
        <v>323</v>
      </c>
      <c r="I60" t="s">
        <v>351</v>
      </c>
      <c r="J60" t="s">
        <v>351</v>
      </c>
      <c r="K60" t="s">
        <v>329</v>
      </c>
      <c r="L60" t="s">
        <v>4355</v>
      </c>
      <c r="M60" t="s">
        <v>4356</v>
      </c>
      <c r="N60" t="s">
        <v>4357</v>
      </c>
      <c r="O60" t="s">
        <v>179</v>
      </c>
      <c r="P60" t="s">
        <v>178</v>
      </c>
    </row>
    <row r="61" spans="1:16" x14ac:dyDescent="0.25">
      <c r="A61">
        <v>155362</v>
      </c>
      <c r="B61" t="s">
        <v>263</v>
      </c>
      <c r="C61" t="s">
        <v>575</v>
      </c>
      <c r="D61" t="s">
        <v>497</v>
      </c>
      <c r="E61" t="s">
        <v>1130</v>
      </c>
      <c r="F61" t="s">
        <v>1131</v>
      </c>
      <c r="G61" t="s">
        <v>321</v>
      </c>
      <c r="H61" t="s">
        <v>326</v>
      </c>
      <c r="I61" t="s">
        <v>351</v>
      </c>
      <c r="J61" t="s">
        <v>351</v>
      </c>
      <c r="K61" t="s">
        <v>329</v>
      </c>
      <c r="L61" t="s">
        <v>4647</v>
      </c>
      <c r="M61" t="s">
        <v>4648</v>
      </c>
      <c r="N61" t="s">
        <v>4649</v>
      </c>
      <c r="O61" t="s">
        <v>179</v>
      </c>
      <c r="P61" t="s">
        <v>178</v>
      </c>
    </row>
    <row r="62" spans="1:16" x14ac:dyDescent="0.25">
      <c r="A62">
        <v>345479</v>
      </c>
      <c r="B62" t="s">
        <v>263</v>
      </c>
      <c r="C62" t="s">
        <v>1514</v>
      </c>
      <c r="D62" t="s">
        <v>483</v>
      </c>
      <c r="E62" t="s">
        <v>1515</v>
      </c>
      <c r="F62" t="s">
        <v>1516</v>
      </c>
      <c r="G62" t="s">
        <v>160</v>
      </c>
      <c r="H62" t="s">
        <v>160</v>
      </c>
      <c r="I62" t="s">
        <v>160</v>
      </c>
      <c r="J62" t="s">
        <v>160</v>
      </c>
      <c r="K62" t="s">
        <v>160</v>
      </c>
      <c r="L62" t="s">
        <v>495</v>
      </c>
      <c r="M62" t="s">
        <v>495</v>
      </c>
      <c r="N62" t="s">
        <v>160</v>
      </c>
      <c r="O62" t="s">
        <v>1464</v>
      </c>
      <c r="P62" t="s">
        <v>178</v>
      </c>
    </row>
    <row r="63" spans="1:16" x14ac:dyDescent="0.25">
      <c r="A63">
        <v>283155</v>
      </c>
      <c r="B63" t="s">
        <v>263</v>
      </c>
      <c r="C63" t="s">
        <v>106</v>
      </c>
      <c r="D63" t="s">
        <v>480</v>
      </c>
      <c r="E63" t="s">
        <v>809</v>
      </c>
      <c r="F63" t="s">
        <v>810</v>
      </c>
      <c r="G63" t="s">
        <v>317</v>
      </c>
      <c r="H63" t="s">
        <v>321</v>
      </c>
      <c r="I63" t="s">
        <v>351</v>
      </c>
      <c r="J63" t="s">
        <v>363</v>
      </c>
      <c r="K63" t="s">
        <v>329</v>
      </c>
      <c r="L63" t="s">
        <v>4428</v>
      </c>
      <c r="M63" t="s">
        <v>4429</v>
      </c>
      <c r="N63" t="s">
        <v>577</v>
      </c>
      <c r="O63" t="s">
        <v>177</v>
      </c>
      <c r="P63" t="s">
        <v>178</v>
      </c>
    </row>
    <row r="64" spans="1:16" x14ac:dyDescent="0.25">
      <c r="A64">
        <v>260605</v>
      </c>
      <c r="B64" t="s">
        <v>263</v>
      </c>
      <c r="C64" t="s">
        <v>261</v>
      </c>
      <c r="D64" t="s">
        <v>482</v>
      </c>
      <c r="E64" t="s">
        <v>811</v>
      </c>
      <c r="F64" t="s">
        <v>812</v>
      </c>
      <c r="G64" t="s">
        <v>320</v>
      </c>
      <c r="H64" t="s">
        <v>326</v>
      </c>
      <c r="I64" t="s">
        <v>351</v>
      </c>
      <c r="J64" t="s">
        <v>363</v>
      </c>
      <c r="K64" t="s">
        <v>326</v>
      </c>
      <c r="L64" t="s">
        <v>4430</v>
      </c>
      <c r="M64" t="s">
        <v>4431</v>
      </c>
      <c r="N64" t="s">
        <v>751</v>
      </c>
      <c r="O64" t="s">
        <v>186</v>
      </c>
      <c r="P64" t="s">
        <v>178</v>
      </c>
    </row>
    <row r="65" spans="1:16" x14ac:dyDescent="0.25">
      <c r="A65">
        <v>192947</v>
      </c>
      <c r="B65" t="s">
        <v>263</v>
      </c>
      <c r="C65" t="s">
        <v>633</v>
      </c>
      <c r="D65" t="s">
        <v>538</v>
      </c>
      <c r="E65" t="s">
        <v>1132</v>
      </c>
      <c r="F65" t="s">
        <v>1133</v>
      </c>
      <c r="G65" t="s">
        <v>319</v>
      </c>
      <c r="H65" t="s">
        <v>323</v>
      </c>
      <c r="I65" t="s">
        <v>351</v>
      </c>
      <c r="J65" t="s">
        <v>372</v>
      </c>
      <c r="K65" t="s">
        <v>326</v>
      </c>
      <c r="L65" t="s">
        <v>634</v>
      </c>
      <c r="M65" t="s">
        <v>4650</v>
      </c>
      <c r="N65" t="s">
        <v>4651</v>
      </c>
      <c r="O65" t="s">
        <v>180</v>
      </c>
      <c r="P65" t="s">
        <v>178</v>
      </c>
    </row>
    <row r="66" spans="1:16" x14ac:dyDescent="0.25">
      <c r="A66">
        <v>41</v>
      </c>
      <c r="B66" t="s">
        <v>263</v>
      </c>
      <c r="C66" t="s">
        <v>663</v>
      </c>
      <c r="D66" t="s">
        <v>664</v>
      </c>
      <c r="E66" t="s">
        <v>1134</v>
      </c>
      <c r="F66" t="s">
        <v>1135</v>
      </c>
      <c r="G66" t="s">
        <v>319</v>
      </c>
      <c r="H66" t="s">
        <v>321</v>
      </c>
      <c r="I66" t="s">
        <v>351</v>
      </c>
      <c r="J66" t="s">
        <v>351</v>
      </c>
      <c r="K66" t="s">
        <v>328</v>
      </c>
      <c r="L66" t="s">
        <v>665</v>
      </c>
      <c r="M66" t="s">
        <v>4261</v>
      </c>
      <c r="N66" t="s">
        <v>4262</v>
      </c>
      <c r="O66" t="s">
        <v>180</v>
      </c>
      <c r="P66" t="s">
        <v>178</v>
      </c>
    </row>
    <row r="67" spans="1:16" x14ac:dyDescent="0.25">
      <c r="A67">
        <v>290236</v>
      </c>
      <c r="B67" t="s">
        <v>263</v>
      </c>
      <c r="C67" t="s">
        <v>1987</v>
      </c>
      <c r="D67" t="s">
        <v>483</v>
      </c>
      <c r="E67" t="s">
        <v>1988</v>
      </c>
      <c r="F67" t="s">
        <v>1989</v>
      </c>
      <c r="G67" t="s">
        <v>317</v>
      </c>
      <c r="H67" t="s">
        <v>322</v>
      </c>
      <c r="I67" t="s">
        <v>351</v>
      </c>
      <c r="J67" t="s">
        <v>351</v>
      </c>
      <c r="K67" t="s">
        <v>329</v>
      </c>
      <c r="L67" t="s">
        <v>5028</v>
      </c>
      <c r="M67" t="s">
        <v>5029</v>
      </c>
      <c r="N67" t="s">
        <v>1444</v>
      </c>
      <c r="O67" t="s">
        <v>180</v>
      </c>
      <c r="P67" t="s">
        <v>178</v>
      </c>
    </row>
    <row r="68" spans="1:16" x14ac:dyDescent="0.25">
      <c r="A68">
        <v>335172</v>
      </c>
      <c r="B68" t="s">
        <v>263</v>
      </c>
      <c r="C68" t="s">
        <v>1991</v>
      </c>
      <c r="D68" t="s">
        <v>478</v>
      </c>
      <c r="E68" t="s">
        <v>1992</v>
      </c>
      <c r="F68" t="s">
        <v>1993</v>
      </c>
      <c r="G68" t="s">
        <v>317</v>
      </c>
      <c r="H68" t="s">
        <v>322</v>
      </c>
      <c r="I68" t="s">
        <v>351</v>
      </c>
      <c r="J68" t="s">
        <v>351</v>
      </c>
      <c r="K68" t="s">
        <v>336</v>
      </c>
      <c r="L68" t="s">
        <v>5030</v>
      </c>
      <c r="M68" t="s">
        <v>5031</v>
      </c>
      <c r="N68" t="s">
        <v>160</v>
      </c>
      <c r="O68" t="s">
        <v>185</v>
      </c>
      <c r="P68" t="s">
        <v>178</v>
      </c>
    </row>
    <row r="69" spans="1:16" x14ac:dyDescent="0.25">
      <c r="A69">
        <v>393325</v>
      </c>
      <c r="B69" t="s">
        <v>263</v>
      </c>
      <c r="C69" t="s">
        <v>1923</v>
      </c>
      <c r="D69" t="s">
        <v>508</v>
      </c>
      <c r="E69" t="s">
        <v>1924</v>
      </c>
      <c r="F69" t="s">
        <v>1925</v>
      </c>
      <c r="G69" t="s">
        <v>319</v>
      </c>
      <c r="H69" t="s">
        <v>322</v>
      </c>
      <c r="I69" t="s">
        <v>344</v>
      </c>
      <c r="J69" t="s">
        <v>344</v>
      </c>
      <c r="K69" t="s">
        <v>326</v>
      </c>
      <c r="L69" t="s">
        <v>5278</v>
      </c>
      <c r="M69" t="s">
        <v>5279</v>
      </c>
      <c r="N69" t="s">
        <v>5280</v>
      </c>
      <c r="O69" t="s">
        <v>180</v>
      </c>
      <c r="P69" t="s">
        <v>178</v>
      </c>
    </row>
    <row r="70" spans="1:16" x14ac:dyDescent="0.25">
      <c r="A70">
        <v>171131</v>
      </c>
      <c r="B70" t="s">
        <v>263</v>
      </c>
      <c r="C70" t="s">
        <v>219</v>
      </c>
      <c r="D70" t="s">
        <v>538</v>
      </c>
      <c r="E70" t="s">
        <v>1136</v>
      </c>
      <c r="F70" t="s">
        <v>1137</v>
      </c>
      <c r="G70" t="s">
        <v>319</v>
      </c>
      <c r="H70" t="s">
        <v>326</v>
      </c>
      <c r="I70" t="s">
        <v>363</v>
      </c>
      <c r="J70" t="s">
        <v>372</v>
      </c>
      <c r="K70" t="s">
        <v>336</v>
      </c>
      <c r="L70" t="s">
        <v>4652</v>
      </c>
      <c r="M70" t="s">
        <v>4653</v>
      </c>
      <c r="N70" t="s">
        <v>573</v>
      </c>
      <c r="O70" t="s">
        <v>574</v>
      </c>
      <c r="P70" t="s">
        <v>178</v>
      </c>
    </row>
    <row r="71" spans="1:16" x14ac:dyDescent="0.25">
      <c r="A71">
        <v>822</v>
      </c>
      <c r="B71" t="s">
        <v>263</v>
      </c>
      <c r="C71" t="s">
        <v>1</v>
      </c>
      <c r="D71" t="s">
        <v>530</v>
      </c>
      <c r="E71" t="s">
        <v>813</v>
      </c>
      <c r="F71" t="s">
        <v>814</v>
      </c>
      <c r="G71" t="s">
        <v>319</v>
      </c>
      <c r="H71" t="s">
        <v>322</v>
      </c>
      <c r="I71" t="s">
        <v>351</v>
      </c>
      <c r="J71" t="s">
        <v>363</v>
      </c>
      <c r="K71" t="s">
        <v>325</v>
      </c>
      <c r="L71" t="s">
        <v>4148</v>
      </c>
      <c r="M71" t="s">
        <v>4149</v>
      </c>
      <c r="N71" t="s">
        <v>520</v>
      </c>
      <c r="O71" t="s">
        <v>180</v>
      </c>
      <c r="P71" t="s">
        <v>178</v>
      </c>
    </row>
    <row r="72" spans="1:16" x14ac:dyDescent="0.25">
      <c r="A72">
        <v>310873</v>
      </c>
      <c r="B72" t="s">
        <v>263</v>
      </c>
      <c r="C72" t="s">
        <v>2322</v>
      </c>
      <c r="D72" t="s">
        <v>478</v>
      </c>
      <c r="E72" t="s">
        <v>2323</v>
      </c>
      <c r="F72" t="s">
        <v>2324</v>
      </c>
      <c r="G72" t="s">
        <v>317</v>
      </c>
      <c r="H72" t="s">
        <v>321</v>
      </c>
      <c r="I72" t="s">
        <v>402</v>
      </c>
      <c r="J72" t="s">
        <v>532</v>
      </c>
      <c r="K72" t="s">
        <v>333</v>
      </c>
      <c r="L72" t="s">
        <v>5162</v>
      </c>
      <c r="M72" t="s">
        <v>5163</v>
      </c>
      <c r="N72" t="s">
        <v>2325</v>
      </c>
      <c r="O72" t="s">
        <v>187</v>
      </c>
      <c r="P72" t="s">
        <v>178</v>
      </c>
    </row>
    <row r="73" spans="1:16" x14ac:dyDescent="0.25">
      <c r="A73">
        <v>826</v>
      </c>
      <c r="B73" t="s">
        <v>263</v>
      </c>
      <c r="C73" t="s">
        <v>1643</v>
      </c>
      <c r="D73" t="s">
        <v>530</v>
      </c>
      <c r="E73" t="s">
        <v>1644</v>
      </c>
      <c r="F73" t="s">
        <v>1645</v>
      </c>
      <c r="G73" t="s">
        <v>319</v>
      </c>
      <c r="H73" t="s">
        <v>322</v>
      </c>
      <c r="I73" t="s">
        <v>363</v>
      </c>
      <c r="J73" t="s">
        <v>363</v>
      </c>
      <c r="K73" t="s">
        <v>326</v>
      </c>
      <c r="L73" t="s">
        <v>1646</v>
      </c>
      <c r="M73" t="s">
        <v>4330</v>
      </c>
      <c r="N73" t="s">
        <v>4331</v>
      </c>
      <c r="O73" t="s">
        <v>180</v>
      </c>
      <c r="P73" t="s">
        <v>178</v>
      </c>
    </row>
    <row r="74" spans="1:16" x14ac:dyDescent="0.25">
      <c r="A74">
        <v>263918</v>
      </c>
      <c r="B74" t="s">
        <v>263</v>
      </c>
      <c r="C74" t="s">
        <v>110</v>
      </c>
      <c r="D74" t="s">
        <v>491</v>
      </c>
      <c r="E74" t="s">
        <v>1138</v>
      </c>
      <c r="F74" t="s">
        <v>1139</v>
      </c>
      <c r="G74" t="s">
        <v>317</v>
      </c>
      <c r="H74" t="s">
        <v>413</v>
      </c>
      <c r="I74" t="s">
        <v>351</v>
      </c>
      <c r="J74" t="s">
        <v>363</v>
      </c>
      <c r="K74" t="s">
        <v>329</v>
      </c>
      <c r="L74" t="s">
        <v>4654</v>
      </c>
      <c r="M74" t="s">
        <v>4655</v>
      </c>
      <c r="N74" t="s">
        <v>4656</v>
      </c>
      <c r="O74" t="s">
        <v>180</v>
      </c>
      <c r="P74" t="s">
        <v>178</v>
      </c>
    </row>
    <row r="75" spans="1:16" x14ac:dyDescent="0.25">
      <c r="A75">
        <v>295947</v>
      </c>
      <c r="B75" t="s">
        <v>263</v>
      </c>
      <c r="C75" t="s">
        <v>74</v>
      </c>
      <c r="D75" t="s">
        <v>483</v>
      </c>
      <c r="E75" t="s">
        <v>815</v>
      </c>
      <c r="F75" t="s">
        <v>816</v>
      </c>
      <c r="G75" t="s">
        <v>317</v>
      </c>
      <c r="H75" t="s">
        <v>321</v>
      </c>
      <c r="I75" t="s">
        <v>351</v>
      </c>
      <c r="J75" t="s">
        <v>363</v>
      </c>
      <c r="K75" t="s">
        <v>329</v>
      </c>
      <c r="L75" t="s">
        <v>4432</v>
      </c>
      <c r="M75" t="s">
        <v>4433</v>
      </c>
      <c r="N75" t="s">
        <v>367</v>
      </c>
      <c r="O75" t="s">
        <v>177</v>
      </c>
      <c r="P75" t="s">
        <v>178</v>
      </c>
    </row>
    <row r="76" spans="1:16" x14ac:dyDescent="0.25">
      <c r="A76">
        <v>385318</v>
      </c>
      <c r="B76" t="s">
        <v>263</v>
      </c>
      <c r="C76" t="s">
        <v>2167</v>
      </c>
      <c r="D76" t="s">
        <v>493</v>
      </c>
      <c r="E76" t="s">
        <v>2168</v>
      </c>
      <c r="F76" t="s">
        <v>2169</v>
      </c>
      <c r="G76" t="s">
        <v>317</v>
      </c>
      <c r="H76" t="s">
        <v>323</v>
      </c>
      <c r="I76" t="s">
        <v>351</v>
      </c>
      <c r="J76" t="s">
        <v>363</v>
      </c>
      <c r="K76" t="s">
        <v>329</v>
      </c>
      <c r="L76" t="s">
        <v>5301</v>
      </c>
      <c r="M76" t="s">
        <v>5302</v>
      </c>
      <c r="N76" t="s">
        <v>160</v>
      </c>
      <c r="O76" t="s">
        <v>598</v>
      </c>
      <c r="P76" t="s">
        <v>178</v>
      </c>
    </row>
    <row r="77" spans="1:16" x14ac:dyDescent="0.25">
      <c r="A77">
        <v>416851</v>
      </c>
      <c r="B77" t="s">
        <v>263</v>
      </c>
      <c r="C77" t="s">
        <v>1896</v>
      </c>
      <c r="D77" t="s">
        <v>508</v>
      </c>
      <c r="E77" t="s">
        <v>1897</v>
      </c>
      <c r="F77" t="s">
        <v>1898</v>
      </c>
      <c r="G77" t="s">
        <v>319</v>
      </c>
      <c r="H77" t="s">
        <v>322</v>
      </c>
      <c r="I77" t="s">
        <v>329</v>
      </c>
      <c r="J77" t="s">
        <v>348</v>
      </c>
      <c r="K77" t="s">
        <v>329</v>
      </c>
      <c r="L77" t="s">
        <v>5269</v>
      </c>
      <c r="M77" t="s">
        <v>5270</v>
      </c>
      <c r="N77" t="s">
        <v>759</v>
      </c>
      <c r="O77" t="s">
        <v>180</v>
      </c>
      <c r="P77" t="s">
        <v>178</v>
      </c>
    </row>
    <row r="78" spans="1:16" x14ac:dyDescent="0.25">
      <c r="A78">
        <v>394285</v>
      </c>
      <c r="B78" t="s">
        <v>263</v>
      </c>
      <c r="C78" t="s">
        <v>1531</v>
      </c>
      <c r="D78" t="s">
        <v>483</v>
      </c>
      <c r="E78" t="s">
        <v>1532</v>
      </c>
      <c r="F78" t="s">
        <v>1533</v>
      </c>
      <c r="G78" t="s">
        <v>160</v>
      </c>
      <c r="H78" t="s">
        <v>160</v>
      </c>
      <c r="I78" t="s">
        <v>160</v>
      </c>
      <c r="J78" t="s">
        <v>160</v>
      </c>
      <c r="K78" t="s">
        <v>160</v>
      </c>
      <c r="L78" t="s">
        <v>495</v>
      </c>
      <c r="M78" t="s">
        <v>495</v>
      </c>
      <c r="N78" t="s">
        <v>160</v>
      </c>
      <c r="O78" t="s">
        <v>1464</v>
      </c>
      <c r="P78" t="s">
        <v>178</v>
      </c>
    </row>
    <row r="79" spans="1:16" x14ac:dyDescent="0.25">
      <c r="A79">
        <v>345972</v>
      </c>
      <c r="B79" t="s">
        <v>263</v>
      </c>
      <c r="C79" t="s">
        <v>601</v>
      </c>
      <c r="D79" t="s">
        <v>478</v>
      </c>
      <c r="E79" t="s">
        <v>1140</v>
      </c>
      <c r="F79" t="s">
        <v>1141</v>
      </c>
      <c r="G79" t="s">
        <v>319</v>
      </c>
      <c r="H79" t="s">
        <v>322</v>
      </c>
      <c r="I79" t="s">
        <v>344</v>
      </c>
      <c r="J79" t="s">
        <v>360</v>
      </c>
      <c r="K79" t="s">
        <v>335</v>
      </c>
      <c r="L79" t="s">
        <v>1803</v>
      </c>
      <c r="M79" t="s">
        <v>4657</v>
      </c>
      <c r="N79" t="s">
        <v>2225</v>
      </c>
      <c r="O79" t="s">
        <v>180</v>
      </c>
      <c r="P79" t="s">
        <v>178</v>
      </c>
    </row>
    <row r="80" spans="1:16" x14ac:dyDescent="0.25">
      <c r="A80">
        <v>13</v>
      </c>
      <c r="B80" t="s">
        <v>263</v>
      </c>
      <c r="C80" t="s">
        <v>39</v>
      </c>
      <c r="D80" t="s">
        <v>531</v>
      </c>
      <c r="E80" t="s">
        <v>4150</v>
      </c>
      <c r="F80" t="s">
        <v>4151</v>
      </c>
      <c r="G80" t="s">
        <v>320</v>
      </c>
      <c r="H80" t="s">
        <v>321</v>
      </c>
      <c r="I80" t="s">
        <v>372</v>
      </c>
      <c r="J80" t="s">
        <v>532</v>
      </c>
      <c r="K80" t="s">
        <v>329</v>
      </c>
      <c r="L80" t="s">
        <v>4152</v>
      </c>
      <c r="M80" t="s">
        <v>4153</v>
      </c>
      <c r="N80" t="s">
        <v>670</v>
      </c>
      <c r="O80" t="s">
        <v>310</v>
      </c>
      <c r="P80" t="s">
        <v>178</v>
      </c>
    </row>
    <row r="81" spans="1:16" x14ac:dyDescent="0.25">
      <c r="A81">
        <v>192092</v>
      </c>
      <c r="B81" t="s">
        <v>263</v>
      </c>
      <c r="C81" t="s">
        <v>2409</v>
      </c>
      <c r="D81" t="s">
        <v>486</v>
      </c>
      <c r="E81" t="s">
        <v>2410</v>
      </c>
      <c r="F81" t="s">
        <v>2411</v>
      </c>
      <c r="G81" t="s">
        <v>319</v>
      </c>
      <c r="H81" t="s">
        <v>495</v>
      </c>
      <c r="I81" t="s">
        <v>344</v>
      </c>
      <c r="J81" t="s">
        <v>495</v>
      </c>
      <c r="K81" t="s">
        <v>333</v>
      </c>
      <c r="L81" t="s">
        <v>495</v>
      </c>
      <c r="M81" t="s">
        <v>2412</v>
      </c>
      <c r="N81" t="s">
        <v>5215</v>
      </c>
      <c r="O81" t="s">
        <v>259</v>
      </c>
      <c r="P81" t="s">
        <v>178</v>
      </c>
    </row>
    <row r="82" spans="1:16" x14ac:dyDescent="0.25">
      <c r="A82">
        <v>2582</v>
      </c>
      <c r="B82" t="s">
        <v>263</v>
      </c>
      <c r="C82" t="s">
        <v>4041</v>
      </c>
      <c r="D82" t="s">
        <v>533</v>
      </c>
      <c r="E82" t="s">
        <v>4042</v>
      </c>
      <c r="F82" t="s">
        <v>4043</v>
      </c>
      <c r="G82" t="s">
        <v>321</v>
      </c>
      <c r="H82" t="s">
        <v>338</v>
      </c>
      <c r="I82" t="s">
        <v>351</v>
      </c>
      <c r="J82" t="s">
        <v>351</v>
      </c>
      <c r="K82" t="s">
        <v>333</v>
      </c>
      <c r="L82" t="s">
        <v>4044</v>
      </c>
      <c r="M82" t="s">
        <v>4045</v>
      </c>
      <c r="N82" t="s">
        <v>4046</v>
      </c>
      <c r="O82" t="s">
        <v>179</v>
      </c>
      <c r="P82" t="s">
        <v>178</v>
      </c>
    </row>
    <row r="83" spans="1:16" x14ac:dyDescent="0.25">
      <c r="A83">
        <v>218129</v>
      </c>
      <c r="B83" t="s">
        <v>263</v>
      </c>
      <c r="C83" t="s">
        <v>609</v>
      </c>
      <c r="D83" t="s">
        <v>507</v>
      </c>
      <c r="E83" t="s">
        <v>1142</v>
      </c>
      <c r="F83" t="s">
        <v>1143</v>
      </c>
      <c r="G83" t="s">
        <v>317</v>
      </c>
      <c r="H83" t="s">
        <v>323</v>
      </c>
      <c r="I83" t="s">
        <v>344</v>
      </c>
      <c r="J83" t="s">
        <v>344</v>
      </c>
      <c r="K83" t="s">
        <v>323</v>
      </c>
      <c r="L83" t="s">
        <v>317</v>
      </c>
      <c r="M83" t="s">
        <v>4658</v>
      </c>
      <c r="N83" t="s">
        <v>4659</v>
      </c>
      <c r="O83" t="s">
        <v>180</v>
      </c>
      <c r="P83" t="s">
        <v>178</v>
      </c>
    </row>
    <row r="84" spans="1:16" x14ac:dyDescent="0.25">
      <c r="A84">
        <v>7</v>
      </c>
      <c r="B84" t="s">
        <v>263</v>
      </c>
      <c r="C84" t="s">
        <v>4</v>
      </c>
      <c r="D84" t="s">
        <v>534</v>
      </c>
      <c r="E84" t="s">
        <v>820</v>
      </c>
      <c r="F84" t="s">
        <v>821</v>
      </c>
      <c r="G84" t="s">
        <v>319</v>
      </c>
      <c r="H84" t="s">
        <v>319</v>
      </c>
      <c r="I84" t="s">
        <v>344</v>
      </c>
      <c r="J84" t="s">
        <v>344</v>
      </c>
      <c r="K84" t="s">
        <v>326</v>
      </c>
      <c r="L84" t="s">
        <v>535</v>
      </c>
      <c r="M84" t="s">
        <v>4157</v>
      </c>
      <c r="N84" t="s">
        <v>4158</v>
      </c>
      <c r="O84" t="s">
        <v>192</v>
      </c>
      <c r="P84" t="s">
        <v>178</v>
      </c>
    </row>
    <row r="85" spans="1:16" x14ac:dyDescent="0.25">
      <c r="A85">
        <v>102794</v>
      </c>
      <c r="B85" t="s">
        <v>263</v>
      </c>
      <c r="C85" t="s">
        <v>22</v>
      </c>
      <c r="D85" t="s">
        <v>536</v>
      </c>
      <c r="E85" t="s">
        <v>822</v>
      </c>
      <c r="F85" t="s">
        <v>823</v>
      </c>
      <c r="G85" t="s">
        <v>317</v>
      </c>
      <c r="H85" t="s">
        <v>325</v>
      </c>
      <c r="I85" t="s">
        <v>351</v>
      </c>
      <c r="J85" t="s">
        <v>537</v>
      </c>
      <c r="K85" t="s">
        <v>333</v>
      </c>
      <c r="L85" t="s">
        <v>4159</v>
      </c>
      <c r="M85" t="s">
        <v>4160</v>
      </c>
      <c r="N85" t="s">
        <v>4161</v>
      </c>
      <c r="O85" t="s">
        <v>187</v>
      </c>
      <c r="P85" t="s">
        <v>178</v>
      </c>
    </row>
    <row r="86" spans="1:16" x14ac:dyDescent="0.25">
      <c r="A86">
        <v>391258</v>
      </c>
      <c r="B86" t="s">
        <v>263</v>
      </c>
      <c r="C86" t="s">
        <v>1571</v>
      </c>
      <c r="D86" t="s">
        <v>493</v>
      </c>
      <c r="E86" t="s">
        <v>1572</v>
      </c>
      <c r="F86" t="s">
        <v>1573</v>
      </c>
      <c r="G86" t="s">
        <v>160</v>
      </c>
      <c r="H86" t="s">
        <v>160</v>
      </c>
      <c r="I86" t="s">
        <v>160</v>
      </c>
      <c r="J86" t="s">
        <v>160</v>
      </c>
      <c r="K86" t="s">
        <v>160</v>
      </c>
      <c r="L86" t="s">
        <v>495</v>
      </c>
      <c r="M86" t="s">
        <v>495</v>
      </c>
      <c r="N86" t="s">
        <v>160</v>
      </c>
      <c r="O86" t="s">
        <v>1464</v>
      </c>
      <c r="P86" t="s">
        <v>178</v>
      </c>
    </row>
    <row r="87" spans="1:16" x14ac:dyDescent="0.25">
      <c r="A87">
        <v>242574</v>
      </c>
      <c r="B87" t="s">
        <v>263</v>
      </c>
      <c r="C87" t="s">
        <v>2147</v>
      </c>
      <c r="D87" t="s">
        <v>482</v>
      </c>
      <c r="E87" t="s">
        <v>2148</v>
      </c>
      <c r="F87" t="s">
        <v>2149</v>
      </c>
      <c r="G87" t="s">
        <v>319</v>
      </c>
      <c r="H87" t="s">
        <v>321</v>
      </c>
      <c r="I87" t="s">
        <v>351</v>
      </c>
      <c r="J87" t="s">
        <v>363</v>
      </c>
      <c r="K87" t="s">
        <v>326</v>
      </c>
      <c r="L87" t="s">
        <v>2150</v>
      </c>
      <c r="M87" t="s">
        <v>5099</v>
      </c>
      <c r="N87" t="s">
        <v>5100</v>
      </c>
      <c r="O87" t="s">
        <v>180</v>
      </c>
      <c r="P87" t="s">
        <v>178</v>
      </c>
    </row>
    <row r="88" spans="1:16" x14ac:dyDescent="0.25">
      <c r="A88">
        <v>232832</v>
      </c>
      <c r="B88" t="s">
        <v>263</v>
      </c>
      <c r="C88" t="s">
        <v>2140</v>
      </c>
      <c r="D88" t="s">
        <v>507</v>
      </c>
      <c r="E88" t="s">
        <v>2141</v>
      </c>
      <c r="F88" t="s">
        <v>2142</v>
      </c>
      <c r="G88" t="s">
        <v>319</v>
      </c>
      <c r="H88" t="s">
        <v>322</v>
      </c>
      <c r="I88" t="s">
        <v>351</v>
      </c>
      <c r="J88" t="s">
        <v>363</v>
      </c>
      <c r="K88" t="s">
        <v>326</v>
      </c>
      <c r="L88" t="s">
        <v>5095</v>
      </c>
      <c r="M88" t="s">
        <v>5096</v>
      </c>
      <c r="N88" t="s">
        <v>583</v>
      </c>
      <c r="O88" t="s">
        <v>310</v>
      </c>
      <c r="P88" t="s">
        <v>178</v>
      </c>
    </row>
    <row r="89" spans="1:16" x14ac:dyDescent="0.25">
      <c r="A89">
        <v>359970</v>
      </c>
      <c r="B89" t="s">
        <v>263</v>
      </c>
      <c r="C89" t="s">
        <v>230</v>
      </c>
      <c r="D89" t="s">
        <v>478</v>
      </c>
      <c r="E89" t="s">
        <v>1144</v>
      </c>
      <c r="F89" t="s">
        <v>1145</v>
      </c>
      <c r="G89" t="s">
        <v>317</v>
      </c>
      <c r="H89" t="s">
        <v>326</v>
      </c>
      <c r="I89" t="s">
        <v>363</v>
      </c>
      <c r="J89" t="s">
        <v>363</v>
      </c>
      <c r="K89" t="s">
        <v>326</v>
      </c>
      <c r="L89" t="s">
        <v>4660</v>
      </c>
      <c r="M89" t="s">
        <v>4661</v>
      </c>
      <c r="N89" t="s">
        <v>4662</v>
      </c>
      <c r="O89" t="s">
        <v>186</v>
      </c>
      <c r="P89" t="s">
        <v>178</v>
      </c>
    </row>
    <row r="90" spans="1:16" x14ac:dyDescent="0.25">
      <c r="A90">
        <v>383947</v>
      </c>
      <c r="B90" t="s">
        <v>263</v>
      </c>
      <c r="C90" t="s">
        <v>1561</v>
      </c>
      <c r="D90" t="s">
        <v>478</v>
      </c>
      <c r="E90" t="s">
        <v>1562</v>
      </c>
      <c r="F90" t="s">
        <v>1563</v>
      </c>
      <c r="G90" t="s">
        <v>160</v>
      </c>
      <c r="H90" t="s">
        <v>160</v>
      </c>
      <c r="I90" t="s">
        <v>160</v>
      </c>
      <c r="J90" t="s">
        <v>160</v>
      </c>
      <c r="K90" t="s">
        <v>160</v>
      </c>
      <c r="L90" t="s">
        <v>495</v>
      </c>
      <c r="M90" t="s">
        <v>495</v>
      </c>
      <c r="N90" t="s">
        <v>160</v>
      </c>
      <c r="O90" t="s">
        <v>1464</v>
      </c>
      <c r="P90" t="s">
        <v>178</v>
      </c>
    </row>
    <row r="91" spans="1:16" x14ac:dyDescent="0.25">
      <c r="A91">
        <v>47</v>
      </c>
      <c r="B91" t="s">
        <v>263</v>
      </c>
      <c r="C91" t="s">
        <v>2177</v>
      </c>
      <c r="D91" t="s">
        <v>676</v>
      </c>
      <c r="E91" t="s">
        <v>2178</v>
      </c>
      <c r="F91" t="s">
        <v>2179</v>
      </c>
      <c r="G91" t="s">
        <v>320</v>
      </c>
      <c r="H91" t="s">
        <v>322</v>
      </c>
      <c r="I91" t="s">
        <v>372</v>
      </c>
      <c r="J91" t="s">
        <v>372</v>
      </c>
      <c r="K91" t="s">
        <v>333</v>
      </c>
      <c r="L91" t="s">
        <v>4377</v>
      </c>
      <c r="M91" t="s">
        <v>4378</v>
      </c>
      <c r="N91" t="s">
        <v>674</v>
      </c>
      <c r="O91" t="s">
        <v>310</v>
      </c>
      <c r="P91" t="s">
        <v>178</v>
      </c>
    </row>
    <row r="92" spans="1:16" x14ac:dyDescent="0.25">
      <c r="A92">
        <v>239188</v>
      </c>
      <c r="B92" t="s">
        <v>263</v>
      </c>
      <c r="C92" t="s">
        <v>202</v>
      </c>
      <c r="D92" t="s">
        <v>482</v>
      </c>
      <c r="E92" t="s">
        <v>824</v>
      </c>
      <c r="F92" t="s">
        <v>825</v>
      </c>
      <c r="G92" t="s">
        <v>317</v>
      </c>
      <c r="H92" t="s">
        <v>321</v>
      </c>
      <c r="I92" t="s">
        <v>372</v>
      </c>
      <c r="J92" t="s">
        <v>402</v>
      </c>
      <c r="K92" t="s">
        <v>333</v>
      </c>
      <c r="L92" t="s">
        <v>4434</v>
      </c>
      <c r="M92" t="s">
        <v>4435</v>
      </c>
      <c r="N92" t="s">
        <v>4436</v>
      </c>
      <c r="O92" t="s">
        <v>193</v>
      </c>
      <c r="P92" t="s">
        <v>184</v>
      </c>
    </row>
    <row r="93" spans="1:16" x14ac:dyDescent="0.25">
      <c r="A93">
        <v>300300</v>
      </c>
      <c r="B93" t="s">
        <v>263</v>
      </c>
      <c r="C93" t="s">
        <v>411</v>
      </c>
      <c r="D93" t="s">
        <v>480</v>
      </c>
      <c r="E93" t="s">
        <v>1146</v>
      </c>
      <c r="F93" t="s">
        <v>1147</v>
      </c>
      <c r="G93" t="s">
        <v>317</v>
      </c>
      <c r="H93" t="s">
        <v>321</v>
      </c>
      <c r="I93" t="s">
        <v>372</v>
      </c>
      <c r="J93" t="s">
        <v>402</v>
      </c>
      <c r="K93" t="s">
        <v>333</v>
      </c>
      <c r="L93" t="s">
        <v>635</v>
      </c>
      <c r="M93" t="s">
        <v>4663</v>
      </c>
      <c r="N93" t="s">
        <v>4664</v>
      </c>
      <c r="O93" t="s">
        <v>193</v>
      </c>
      <c r="P93" t="s">
        <v>184</v>
      </c>
    </row>
    <row r="94" spans="1:16" x14ac:dyDescent="0.25">
      <c r="A94">
        <v>205398</v>
      </c>
      <c r="B94" t="s">
        <v>263</v>
      </c>
      <c r="C94" t="s">
        <v>49</v>
      </c>
      <c r="D94" t="s">
        <v>538</v>
      </c>
      <c r="E94" t="s">
        <v>826</v>
      </c>
      <c r="F94" t="s">
        <v>827</v>
      </c>
      <c r="G94" t="s">
        <v>319</v>
      </c>
      <c r="H94" t="s">
        <v>326</v>
      </c>
      <c r="I94" t="s">
        <v>351</v>
      </c>
      <c r="J94" t="s">
        <v>372</v>
      </c>
      <c r="K94" t="s">
        <v>329</v>
      </c>
      <c r="L94" t="s">
        <v>4437</v>
      </c>
      <c r="M94" t="s">
        <v>4438</v>
      </c>
      <c r="N94" t="s">
        <v>4439</v>
      </c>
      <c r="O94" t="s">
        <v>180</v>
      </c>
      <c r="P94" t="s">
        <v>178</v>
      </c>
    </row>
    <row r="95" spans="1:16" x14ac:dyDescent="0.25">
      <c r="A95">
        <v>478</v>
      </c>
      <c r="B95" t="s">
        <v>263</v>
      </c>
      <c r="C95" t="s">
        <v>49</v>
      </c>
      <c r="D95" t="s">
        <v>530</v>
      </c>
      <c r="E95" t="s">
        <v>1669</v>
      </c>
      <c r="F95" t="s">
        <v>1670</v>
      </c>
      <c r="G95" t="s">
        <v>319</v>
      </c>
      <c r="H95" t="s">
        <v>326</v>
      </c>
      <c r="I95" t="s">
        <v>344</v>
      </c>
      <c r="J95" t="s">
        <v>372</v>
      </c>
      <c r="K95" t="s">
        <v>329</v>
      </c>
      <c r="L95" t="s">
        <v>4332</v>
      </c>
      <c r="M95" t="s">
        <v>4333</v>
      </c>
      <c r="N95" t="s">
        <v>4334</v>
      </c>
      <c r="O95" t="s">
        <v>310</v>
      </c>
      <c r="P95" t="s">
        <v>178</v>
      </c>
    </row>
    <row r="96" spans="1:16" x14ac:dyDescent="0.25">
      <c r="A96">
        <v>201808</v>
      </c>
      <c r="B96" t="s">
        <v>263</v>
      </c>
      <c r="C96" t="s">
        <v>578</v>
      </c>
      <c r="D96" t="s">
        <v>538</v>
      </c>
      <c r="E96" t="s">
        <v>1148</v>
      </c>
      <c r="F96" t="s">
        <v>1149</v>
      </c>
      <c r="G96" t="s">
        <v>319</v>
      </c>
      <c r="H96" t="s">
        <v>321</v>
      </c>
      <c r="I96" t="s">
        <v>351</v>
      </c>
      <c r="J96" t="s">
        <v>372</v>
      </c>
      <c r="K96" t="s">
        <v>333</v>
      </c>
      <c r="L96" t="s">
        <v>4665</v>
      </c>
      <c r="M96" t="s">
        <v>4666</v>
      </c>
      <c r="N96" t="s">
        <v>406</v>
      </c>
      <c r="O96" t="s">
        <v>310</v>
      </c>
      <c r="P96" t="s">
        <v>178</v>
      </c>
    </row>
    <row r="97" spans="1:16" x14ac:dyDescent="0.25">
      <c r="A97">
        <v>365717</v>
      </c>
      <c r="B97" t="s">
        <v>263</v>
      </c>
      <c r="C97" t="s">
        <v>579</v>
      </c>
      <c r="D97" t="s">
        <v>478</v>
      </c>
      <c r="E97" t="s">
        <v>1150</v>
      </c>
      <c r="F97" t="s">
        <v>1151</v>
      </c>
      <c r="G97" t="s">
        <v>319</v>
      </c>
      <c r="H97" t="s">
        <v>321</v>
      </c>
      <c r="I97" t="s">
        <v>363</v>
      </c>
      <c r="J97" t="s">
        <v>402</v>
      </c>
      <c r="K97" t="s">
        <v>335</v>
      </c>
      <c r="L97" t="s">
        <v>4667</v>
      </c>
      <c r="M97" t="s">
        <v>4668</v>
      </c>
      <c r="N97" t="s">
        <v>375</v>
      </c>
      <c r="O97" t="s">
        <v>310</v>
      </c>
      <c r="P97" t="s">
        <v>178</v>
      </c>
    </row>
    <row r="98" spans="1:16" x14ac:dyDescent="0.25">
      <c r="A98">
        <v>394856</v>
      </c>
      <c r="B98" t="s">
        <v>263</v>
      </c>
      <c r="C98" t="s">
        <v>1580</v>
      </c>
      <c r="D98" t="s">
        <v>518</v>
      </c>
      <c r="E98" t="s">
        <v>1581</v>
      </c>
      <c r="F98" t="s">
        <v>1582</v>
      </c>
      <c r="G98" t="s">
        <v>495</v>
      </c>
      <c r="H98" t="s">
        <v>495</v>
      </c>
      <c r="I98" t="s">
        <v>495</v>
      </c>
      <c r="J98" t="s">
        <v>495</v>
      </c>
      <c r="K98" t="s">
        <v>495</v>
      </c>
      <c r="L98" t="s">
        <v>495</v>
      </c>
      <c r="M98" t="s">
        <v>495</v>
      </c>
      <c r="N98" t="s">
        <v>160</v>
      </c>
      <c r="O98" t="s">
        <v>580</v>
      </c>
      <c r="P98" t="s">
        <v>178</v>
      </c>
    </row>
    <row r="99" spans="1:16" x14ac:dyDescent="0.25">
      <c r="A99">
        <v>272739</v>
      </c>
      <c r="B99" t="s">
        <v>263</v>
      </c>
      <c r="C99" t="s">
        <v>2390</v>
      </c>
      <c r="D99" t="s">
        <v>491</v>
      </c>
      <c r="E99" t="s">
        <v>2391</v>
      </c>
      <c r="F99" t="s">
        <v>2392</v>
      </c>
      <c r="G99" t="s">
        <v>317</v>
      </c>
      <c r="H99" t="s">
        <v>321</v>
      </c>
      <c r="I99" t="s">
        <v>372</v>
      </c>
      <c r="J99" t="s">
        <v>519</v>
      </c>
      <c r="K99" t="s">
        <v>336</v>
      </c>
      <c r="L99" t="s">
        <v>2393</v>
      </c>
      <c r="M99" t="s">
        <v>4626</v>
      </c>
      <c r="N99" t="s">
        <v>5205</v>
      </c>
      <c r="O99" t="s">
        <v>187</v>
      </c>
      <c r="P99" t="s">
        <v>178</v>
      </c>
    </row>
    <row r="100" spans="1:16" x14ac:dyDescent="0.25">
      <c r="A100">
        <v>11971</v>
      </c>
      <c r="B100" t="s">
        <v>263</v>
      </c>
      <c r="C100" t="s">
        <v>124</v>
      </c>
      <c r="D100" t="s">
        <v>517</v>
      </c>
      <c r="E100" t="s">
        <v>1152</v>
      </c>
      <c r="F100" t="s">
        <v>1153</v>
      </c>
      <c r="G100" t="s">
        <v>319</v>
      </c>
      <c r="H100" t="s">
        <v>323</v>
      </c>
      <c r="I100" t="s">
        <v>344</v>
      </c>
      <c r="J100" t="s">
        <v>344</v>
      </c>
      <c r="K100" t="s">
        <v>326</v>
      </c>
      <c r="L100" t="s">
        <v>4255</v>
      </c>
      <c r="M100" t="s">
        <v>4263</v>
      </c>
      <c r="N100" t="s">
        <v>4264</v>
      </c>
      <c r="O100" t="s">
        <v>179</v>
      </c>
      <c r="P100" t="s">
        <v>178</v>
      </c>
    </row>
    <row r="101" spans="1:16" x14ac:dyDescent="0.25">
      <c r="A101">
        <v>178900</v>
      </c>
      <c r="B101" t="s">
        <v>263</v>
      </c>
      <c r="C101" t="s">
        <v>93</v>
      </c>
      <c r="D101" t="s">
        <v>486</v>
      </c>
      <c r="E101" t="s">
        <v>830</v>
      </c>
      <c r="F101" t="s">
        <v>831</v>
      </c>
      <c r="G101" t="s">
        <v>319</v>
      </c>
      <c r="H101" t="s">
        <v>326</v>
      </c>
      <c r="I101" t="s">
        <v>337</v>
      </c>
      <c r="J101" t="s">
        <v>337</v>
      </c>
      <c r="K101" t="s">
        <v>329</v>
      </c>
      <c r="L101" t="s">
        <v>4440</v>
      </c>
      <c r="M101" t="s">
        <v>4441</v>
      </c>
      <c r="N101" t="s">
        <v>752</v>
      </c>
      <c r="O101" t="s">
        <v>179</v>
      </c>
      <c r="P101" t="s">
        <v>178</v>
      </c>
    </row>
    <row r="102" spans="1:16" x14ac:dyDescent="0.25">
      <c r="A102">
        <v>198773</v>
      </c>
      <c r="B102" t="s">
        <v>263</v>
      </c>
      <c r="C102" t="s">
        <v>330</v>
      </c>
      <c r="D102" t="s">
        <v>538</v>
      </c>
      <c r="E102" t="s">
        <v>1154</v>
      </c>
      <c r="F102" t="s">
        <v>1155</v>
      </c>
      <c r="G102" t="s">
        <v>319</v>
      </c>
      <c r="H102" t="s">
        <v>326</v>
      </c>
      <c r="I102" t="s">
        <v>337</v>
      </c>
      <c r="J102" t="s">
        <v>337</v>
      </c>
      <c r="K102" t="s">
        <v>329</v>
      </c>
      <c r="L102" t="s">
        <v>4669</v>
      </c>
      <c r="M102" t="s">
        <v>4670</v>
      </c>
      <c r="N102" t="s">
        <v>4671</v>
      </c>
      <c r="O102" t="s">
        <v>179</v>
      </c>
      <c r="P102" t="s">
        <v>178</v>
      </c>
    </row>
    <row r="103" spans="1:16" x14ac:dyDescent="0.25">
      <c r="A103">
        <v>329742</v>
      </c>
      <c r="B103" t="s">
        <v>263</v>
      </c>
      <c r="C103" t="s">
        <v>2241</v>
      </c>
      <c r="D103" t="s">
        <v>480</v>
      </c>
      <c r="E103" t="s">
        <v>2242</v>
      </c>
      <c r="F103" t="s">
        <v>2243</v>
      </c>
      <c r="G103" t="s">
        <v>160</v>
      </c>
      <c r="H103" t="s">
        <v>160</v>
      </c>
      <c r="I103" t="s">
        <v>160</v>
      </c>
      <c r="J103" t="s">
        <v>160</v>
      </c>
      <c r="K103" t="s">
        <v>160</v>
      </c>
      <c r="L103" t="s">
        <v>495</v>
      </c>
      <c r="M103" t="s">
        <v>495</v>
      </c>
      <c r="N103" t="s">
        <v>160</v>
      </c>
      <c r="O103" t="s">
        <v>1464</v>
      </c>
      <c r="P103" t="s">
        <v>178</v>
      </c>
    </row>
    <row r="104" spans="1:16" x14ac:dyDescent="0.25">
      <c r="A104">
        <v>245638</v>
      </c>
      <c r="B104" t="s">
        <v>263</v>
      </c>
      <c r="C104" t="s">
        <v>2004</v>
      </c>
      <c r="D104" t="s">
        <v>482</v>
      </c>
      <c r="E104" t="s">
        <v>2005</v>
      </c>
      <c r="F104" t="s">
        <v>2006</v>
      </c>
      <c r="G104" t="s">
        <v>319</v>
      </c>
      <c r="H104" t="s">
        <v>321</v>
      </c>
      <c r="I104" t="s">
        <v>372</v>
      </c>
      <c r="J104" t="s">
        <v>402</v>
      </c>
      <c r="K104" t="s">
        <v>336</v>
      </c>
      <c r="L104" t="s">
        <v>2007</v>
      </c>
      <c r="M104" t="s">
        <v>5040</v>
      </c>
      <c r="N104" t="s">
        <v>5041</v>
      </c>
      <c r="O104" t="s">
        <v>187</v>
      </c>
      <c r="P104" t="s">
        <v>178</v>
      </c>
    </row>
    <row r="105" spans="1:16" x14ac:dyDescent="0.25">
      <c r="A105">
        <v>5782</v>
      </c>
      <c r="B105" t="s">
        <v>263</v>
      </c>
      <c r="C105" t="s">
        <v>161</v>
      </c>
      <c r="D105" t="s">
        <v>487</v>
      </c>
      <c r="E105" t="s">
        <v>832</v>
      </c>
      <c r="F105" t="s">
        <v>833</v>
      </c>
      <c r="G105" t="s">
        <v>319</v>
      </c>
      <c r="H105" t="s">
        <v>322</v>
      </c>
      <c r="I105" t="s">
        <v>351</v>
      </c>
      <c r="J105" t="s">
        <v>351</v>
      </c>
      <c r="K105" t="s">
        <v>326</v>
      </c>
      <c r="L105" t="s">
        <v>4164</v>
      </c>
      <c r="M105" t="s">
        <v>4165</v>
      </c>
      <c r="N105" t="s">
        <v>4166</v>
      </c>
      <c r="O105" t="s">
        <v>180</v>
      </c>
      <c r="P105" t="s">
        <v>178</v>
      </c>
    </row>
    <row r="106" spans="1:16" x14ac:dyDescent="0.25">
      <c r="A106">
        <v>158899</v>
      </c>
      <c r="B106" t="s">
        <v>263</v>
      </c>
      <c r="C106" t="s">
        <v>1782</v>
      </c>
      <c r="D106" t="s">
        <v>497</v>
      </c>
      <c r="E106" t="s">
        <v>1783</v>
      </c>
      <c r="F106" t="s">
        <v>1784</v>
      </c>
      <c r="G106" t="s">
        <v>319</v>
      </c>
      <c r="H106" t="s">
        <v>323</v>
      </c>
      <c r="I106" t="s">
        <v>360</v>
      </c>
      <c r="J106" t="s">
        <v>360</v>
      </c>
      <c r="K106" t="s">
        <v>329</v>
      </c>
      <c r="L106" t="s">
        <v>4965</v>
      </c>
      <c r="M106" t="s">
        <v>4966</v>
      </c>
      <c r="N106" t="s">
        <v>1785</v>
      </c>
      <c r="O106" t="s">
        <v>180</v>
      </c>
      <c r="P106" t="s">
        <v>178</v>
      </c>
    </row>
    <row r="107" spans="1:16" x14ac:dyDescent="0.25">
      <c r="A107">
        <v>147151</v>
      </c>
      <c r="B107" t="s">
        <v>263</v>
      </c>
      <c r="C107" t="s">
        <v>11</v>
      </c>
      <c r="D107" t="s">
        <v>536</v>
      </c>
      <c r="E107" t="s">
        <v>834</v>
      </c>
      <c r="F107" t="s">
        <v>835</v>
      </c>
      <c r="G107" t="s">
        <v>321</v>
      </c>
      <c r="H107" t="s">
        <v>333</v>
      </c>
      <c r="I107" t="s">
        <v>360</v>
      </c>
      <c r="J107" t="s">
        <v>360</v>
      </c>
      <c r="K107" t="s">
        <v>329</v>
      </c>
      <c r="L107" t="s">
        <v>4442</v>
      </c>
      <c r="M107" t="s">
        <v>4443</v>
      </c>
      <c r="N107" t="s">
        <v>4444</v>
      </c>
      <c r="O107" t="s">
        <v>179</v>
      </c>
      <c r="P107" t="s">
        <v>178</v>
      </c>
    </row>
    <row r="108" spans="1:16" x14ac:dyDescent="0.25">
      <c r="A108">
        <v>247314</v>
      </c>
      <c r="B108" t="s">
        <v>263</v>
      </c>
      <c r="C108" t="s">
        <v>376</v>
      </c>
      <c r="D108" t="s">
        <v>482</v>
      </c>
      <c r="E108" t="s">
        <v>1156</v>
      </c>
      <c r="F108" t="s">
        <v>1157</v>
      </c>
      <c r="G108" t="s">
        <v>319</v>
      </c>
      <c r="H108" t="s">
        <v>333</v>
      </c>
      <c r="I108" t="s">
        <v>344</v>
      </c>
      <c r="J108" t="s">
        <v>344</v>
      </c>
      <c r="K108" t="s">
        <v>321</v>
      </c>
      <c r="L108" t="s">
        <v>636</v>
      </c>
      <c r="M108" t="s">
        <v>4672</v>
      </c>
      <c r="N108" t="s">
        <v>4673</v>
      </c>
      <c r="O108" t="s">
        <v>191</v>
      </c>
      <c r="P108" t="s">
        <v>184</v>
      </c>
    </row>
    <row r="109" spans="1:16" x14ac:dyDescent="0.25">
      <c r="A109">
        <v>124361</v>
      </c>
      <c r="B109" t="s">
        <v>263</v>
      </c>
      <c r="C109" t="s">
        <v>1713</v>
      </c>
      <c r="D109" t="s">
        <v>536</v>
      </c>
      <c r="E109" t="s">
        <v>1714</v>
      </c>
      <c r="F109" t="s">
        <v>1715</v>
      </c>
      <c r="G109" t="s">
        <v>319</v>
      </c>
      <c r="H109" t="s">
        <v>322</v>
      </c>
      <c r="I109" t="s">
        <v>413</v>
      </c>
      <c r="J109" t="s">
        <v>413</v>
      </c>
      <c r="K109" t="s">
        <v>335</v>
      </c>
      <c r="L109" t="s">
        <v>4347</v>
      </c>
      <c r="M109" t="s">
        <v>4348</v>
      </c>
      <c r="N109" t="s">
        <v>1716</v>
      </c>
      <c r="O109" t="s">
        <v>187</v>
      </c>
      <c r="P109" t="s">
        <v>178</v>
      </c>
    </row>
    <row r="110" spans="1:16" x14ac:dyDescent="0.25">
      <c r="A110">
        <v>39463</v>
      </c>
      <c r="B110" t="s">
        <v>263</v>
      </c>
      <c r="C110" t="s">
        <v>1721</v>
      </c>
      <c r="D110" t="s">
        <v>484</v>
      </c>
      <c r="E110" t="s">
        <v>1722</v>
      </c>
      <c r="F110" t="s">
        <v>1723</v>
      </c>
      <c r="G110" t="s">
        <v>320</v>
      </c>
      <c r="H110" t="s">
        <v>322</v>
      </c>
      <c r="I110" t="s">
        <v>372</v>
      </c>
      <c r="J110" t="s">
        <v>532</v>
      </c>
      <c r="K110" t="s">
        <v>333</v>
      </c>
      <c r="L110" t="s">
        <v>1724</v>
      </c>
      <c r="M110" t="s">
        <v>4349</v>
      </c>
      <c r="N110" t="s">
        <v>4350</v>
      </c>
      <c r="O110" t="s">
        <v>281</v>
      </c>
      <c r="P110" t="s">
        <v>178</v>
      </c>
    </row>
    <row r="111" spans="1:16" x14ac:dyDescent="0.25">
      <c r="A111">
        <v>119</v>
      </c>
      <c r="B111" t="s">
        <v>263</v>
      </c>
      <c r="C111" t="s">
        <v>66</v>
      </c>
      <c r="D111" t="s">
        <v>533</v>
      </c>
      <c r="E111" t="s">
        <v>836</v>
      </c>
      <c r="F111" t="s">
        <v>837</v>
      </c>
      <c r="G111" t="s">
        <v>319</v>
      </c>
      <c r="H111" t="s">
        <v>321</v>
      </c>
      <c r="I111" t="s">
        <v>363</v>
      </c>
      <c r="J111" t="s">
        <v>363</v>
      </c>
      <c r="K111" t="s">
        <v>328</v>
      </c>
      <c r="L111" t="s">
        <v>4167</v>
      </c>
      <c r="M111" t="s">
        <v>4168</v>
      </c>
      <c r="N111" t="s">
        <v>1986</v>
      </c>
      <c r="O111" t="s">
        <v>280</v>
      </c>
      <c r="P111" t="s">
        <v>178</v>
      </c>
    </row>
    <row r="112" spans="1:16" x14ac:dyDescent="0.25">
      <c r="A112">
        <v>204027</v>
      </c>
      <c r="B112" t="s">
        <v>263</v>
      </c>
      <c r="C112" t="s">
        <v>2180</v>
      </c>
      <c r="D112" t="s">
        <v>538</v>
      </c>
      <c r="E112" t="s">
        <v>2181</v>
      </c>
      <c r="F112" t="s">
        <v>2182</v>
      </c>
      <c r="G112" t="s">
        <v>317</v>
      </c>
      <c r="H112" t="s">
        <v>321</v>
      </c>
      <c r="I112" t="s">
        <v>372</v>
      </c>
      <c r="J112" t="s">
        <v>372</v>
      </c>
      <c r="K112" t="s">
        <v>326</v>
      </c>
      <c r="L112" t="s">
        <v>5007</v>
      </c>
      <c r="M112" t="s">
        <v>5114</v>
      </c>
      <c r="N112" t="s">
        <v>5115</v>
      </c>
      <c r="O112" t="s">
        <v>180</v>
      </c>
      <c r="P112" t="s">
        <v>178</v>
      </c>
    </row>
    <row r="113" spans="1:16" x14ac:dyDescent="0.25">
      <c r="A113">
        <v>521</v>
      </c>
      <c r="B113" t="s">
        <v>263</v>
      </c>
      <c r="C113" t="s">
        <v>235</v>
      </c>
      <c r="D113" t="s">
        <v>581</v>
      </c>
      <c r="E113" t="s">
        <v>1158</v>
      </c>
      <c r="F113" t="s">
        <v>1159</v>
      </c>
      <c r="G113" t="s">
        <v>319</v>
      </c>
      <c r="H113" t="s">
        <v>321</v>
      </c>
      <c r="I113" t="s">
        <v>351</v>
      </c>
      <c r="J113" t="s">
        <v>351</v>
      </c>
      <c r="K113" t="s">
        <v>326</v>
      </c>
      <c r="L113" t="s">
        <v>4265</v>
      </c>
      <c r="M113" t="s">
        <v>4266</v>
      </c>
      <c r="N113" t="s">
        <v>364</v>
      </c>
      <c r="O113" t="s">
        <v>180</v>
      </c>
      <c r="P113" t="s">
        <v>178</v>
      </c>
    </row>
    <row r="114" spans="1:16" x14ac:dyDescent="0.25">
      <c r="A114">
        <v>300753</v>
      </c>
      <c r="B114" t="s">
        <v>263</v>
      </c>
      <c r="C114" t="s">
        <v>2348</v>
      </c>
      <c r="D114" t="s">
        <v>480</v>
      </c>
      <c r="E114" t="s">
        <v>2349</v>
      </c>
      <c r="F114" t="s">
        <v>2350</v>
      </c>
      <c r="G114" t="s">
        <v>319</v>
      </c>
      <c r="H114" t="s">
        <v>323</v>
      </c>
      <c r="I114" t="s">
        <v>322</v>
      </c>
      <c r="J114" t="s">
        <v>329</v>
      </c>
      <c r="K114" t="s">
        <v>325</v>
      </c>
      <c r="L114" t="s">
        <v>2351</v>
      </c>
      <c r="M114" t="s">
        <v>5175</v>
      </c>
      <c r="N114" t="s">
        <v>5176</v>
      </c>
      <c r="O114" t="s">
        <v>179</v>
      </c>
      <c r="P114" t="s">
        <v>184</v>
      </c>
    </row>
    <row r="115" spans="1:16" x14ac:dyDescent="0.25">
      <c r="A115">
        <v>342075</v>
      </c>
      <c r="B115" t="s">
        <v>263</v>
      </c>
      <c r="C115" t="s">
        <v>1910</v>
      </c>
      <c r="D115" t="s">
        <v>508</v>
      </c>
      <c r="E115" t="s">
        <v>1911</v>
      </c>
      <c r="F115" t="s">
        <v>1912</v>
      </c>
      <c r="G115" t="s">
        <v>319</v>
      </c>
      <c r="H115" t="s">
        <v>319</v>
      </c>
      <c r="I115" t="s">
        <v>344</v>
      </c>
      <c r="J115" t="s">
        <v>351</v>
      </c>
      <c r="K115" t="s">
        <v>329</v>
      </c>
      <c r="L115" t="s">
        <v>498</v>
      </c>
      <c r="M115" t="s">
        <v>5005</v>
      </c>
      <c r="N115" t="s">
        <v>5006</v>
      </c>
      <c r="O115" t="s">
        <v>182</v>
      </c>
      <c r="P115" t="s">
        <v>178</v>
      </c>
    </row>
    <row r="116" spans="1:16" x14ac:dyDescent="0.25">
      <c r="A116">
        <v>246784</v>
      </c>
      <c r="B116" t="s">
        <v>263</v>
      </c>
      <c r="C116" t="s">
        <v>111</v>
      </c>
      <c r="D116" t="s">
        <v>482</v>
      </c>
      <c r="E116" t="s">
        <v>1160</v>
      </c>
      <c r="F116" t="s">
        <v>1161</v>
      </c>
      <c r="G116" t="s">
        <v>320</v>
      </c>
      <c r="H116" t="s">
        <v>322</v>
      </c>
      <c r="I116" t="s">
        <v>351</v>
      </c>
      <c r="J116" t="s">
        <v>365</v>
      </c>
      <c r="K116" t="s">
        <v>329</v>
      </c>
      <c r="L116" t="s">
        <v>4674</v>
      </c>
      <c r="M116" t="s">
        <v>4675</v>
      </c>
      <c r="N116" t="s">
        <v>766</v>
      </c>
      <c r="O116" t="s">
        <v>310</v>
      </c>
      <c r="P116" t="s">
        <v>178</v>
      </c>
    </row>
    <row r="117" spans="1:16" x14ac:dyDescent="0.25">
      <c r="A117">
        <v>391845</v>
      </c>
      <c r="B117" t="s">
        <v>263</v>
      </c>
      <c r="C117" t="s">
        <v>1547</v>
      </c>
      <c r="D117" t="s">
        <v>493</v>
      </c>
      <c r="E117" t="s">
        <v>1548</v>
      </c>
      <c r="F117" t="s">
        <v>1549</v>
      </c>
      <c r="G117" t="s">
        <v>160</v>
      </c>
      <c r="H117" t="s">
        <v>160</v>
      </c>
      <c r="I117" t="s">
        <v>160</v>
      </c>
      <c r="J117" t="s">
        <v>160</v>
      </c>
      <c r="K117" t="s">
        <v>160</v>
      </c>
      <c r="L117" t="s">
        <v>495</v>
      </c>
      <c r="M117" t="s">
        <v>328</v>
      </c>
      <c r="N117" t="s">
        <v>160</v>
      </c>
      <c r="O117" t="s">
        <v>1464</v>
      </c>
      <c r="P117" t="s">
        <v>178</v>
      </c>
    </row>
    <row r="118" spans="1:16" x14ac:dyDescent="0.25">
      <c r="A118">
        <v>54998</v>
      </c>
      <c r="B118" t="s">
        <v>263</v>
      </c>
      <c r="C118" t="s">
        <v>1965</v>
      </c>
      <c r="D118" t="s">
        <v>523</v>
      </c>
      <c r="E118" t="s">
        <v>1966</v>
      </c>
      <c r="F118" t="s">
        <v>1967</v>
      </c>
      <c r="G118" t="s">
        <v>319</v>
      </c>
      <c r="H118" t="s">
        <v>322</v>
      </c>
      <c r="I118" t="s">
        <v>372</v>
      </c>
      <c r="J118" t="s">
        <v>402</v>
      </c>
      <c r="K118" t="s">
        <v>335</v>
      </c>
      <c r="L118" t="s">
        <v>1968</v>
      </c>
      <c r="M118" t="s">
        <v>4370</v>
      </c>
      <c r="N118" t="s">
        <v>1969</v>
      </c>
      <c r="O118" t="s">
        <v>187</v>
      </c>
      <c r="P118" t="s">
        <v>178</v>
      </c>
    </row>
    <row r="119" spans="1:16" x14ac:dyDescent="0.25">
      <c r="A119">
        <v>386943</v>
      </c>
      <c r="B119" t="s">
        <v>263</v>
      </c>
      <c r="C119" t="s">
        <v>1577</v>
      </c>
      <c r="D119" t="s">
        <v>493</v>
      </c>
      <c r="E119" t="s">
        <v>1578</v>
      </c>
      <c r="F119" t="s">
        <v>1579</v>
      </c>
      <c r="G119" t="s">
        <v>160</v>
      </c>
      <c r="H119" t="s">
        <v>160</v>
      </c>
      <c r="I119" t="s">
        <v>160</v>
      </c>
      <c r="J119" t="s">
        <v>160</v>
      </c>
      <c r="K119" t="s">
        <v>160</v>
      </c>
      <c r="L119" t="s">
        <v>495</v>
      </c>
      <c r="M119" t="s">
        <v>495</v>
      </c>
      <c r="N119" t="s">
        <v>160</v>
      </c>
      <c r="O119" t="s">
        <v>1464</v>
      </c>
      <c r="P119" t="s">
        <v>178</v>
      </c>
    </row>
    <row r="120" spans="1:16" x14ac:dyDescent="0.25">
      <c r="A120">
        <v>322289</v>
      </c>
      <c r="B120" t="s">
        <v>263</v>
      </c>
      <c r="C120" t="s">
        <v>2329</v>
      </c>
      <c r="D120" t="s">
        <v>493</v>
      </c>
      <c r="E120" t="s">
        <v>2330</v>
      </c>
      <c r="F120" t="s">
        <v>2331</v>
      </c>
      <c r="G120" t="s">
        <v>317</v>
      </c>
      <c r="H120" t="s">
        <v>321</v>
      </c>
      <c r="I120" t="s">
        <v>372</v>
      </c>
      <c r="J120" t="s">
        <v>532</v>
      </c>
      <c r="K120" t="s">
        <v>336</v>
      </c>
      <c r="L120" t="s">
        <v>5166</v>
      </c>
      <c r="M120" t="s">
        <v>5167</v>
      </c>
      <c r="N120" t="s">
        <v>748</v>
      </c>
      <c r="O120" t="s">
        <v>187</v>
      </c>
      <c r="P120" t="s">
        <v>178</v>
      </c>
    </row>
    <row r="121" spans="1:16" x14ac:dyDescent="0.25">
      <c r="A121">
        <v>377618</v>
      </c>
      <c r="B121" t="s">
        <v>263</v>
      </c>
      <c r="C121" t="s">
        <v>1524</v>
      </c>
      <c r="D121" t="s">
        <v>478</v>
      </c>
      <c r="E121" t="s">
        <v>160</v>
      </c>
      <c r="F121" t="s">
        <v>160</v>
      </c>
      <c r="G121" t="s">
        <v>160</v>
      </c>
      <c r="H121" t="s">
        <v>160</v>
      </c>
      <c r="I121" t="s">
        <v>160</v>
      </c>
      <c r="J121" t="s">
        <v>160</v>
      </c>
      <c r="K121" t="s">
        <v>160</v>
      </c>
      <c r="L121" t="s">
        <v>495</v>
      </c>
      <c r="M121" t="s">
        <v>495</v>
      </c>
      <c r="N121" t="s">
        <v>160</v>
      </c>
      <c r="O121" t="s">
        <v>1464</v>
      </c>
      <c r="P121" t="s">
        <v>178</v>
      </c>
    </row>
    <row r="122" spans="1:16" x14ac:dyDescent="0.25">
      <c r="A122">
        <v>334986</v>
      </c>
      <c r="B122" t="s">
        <v>263</v>
      </c>
      <c r="C122" t="s">
        <v>1887</v>
      </c>
      <c r="D122" t="s">
        <v>493</v>
      </c>
      <c r="E122" t="s">
        <v>1888</v>
      </c>
      <c r="F122" t="s">
        <v>1889</v>
      </c>
      <c r="G122" t="s">
        <v>317</v>
      </c>
      <c r="H122" t="s">
        <v>321</v>
      </c>
      <c r="I122" t="s">
        <v>372</v>
      </c>
      <c r="J122" t="s">
        <v>532</v>
      </c>
      <c r="K122" t="s">
        <v>329</v>
      </c>
      <c r="L122" t="s">
        <v>4999</v>
      </c>
      <c r="M122" t="s">
        <v>5000</v>
      </c>
      <c r="N122" t="s">
        <v>5001</v>
      </c>
      <c r="O122" t="s">
        <v>187</v>
      </c>
      <c r="P122" t="s">
        <v>184</v>
      </c>
    </row>
    <row r="123" spans="1:16" x14ac:dyDescent="0.25">
      <c r="A123">
        <v>150376</v>
      </c>
      <c r="B123" t="s">
        <v>263</v>
      </c>
      <c r="C123" t="s">
        <v>24</v>
      </c>
      <c r="D123" t="s">
        <v>497</v>
      </c>
      <c r="E123" t="s">
        <v>838</v>
      </c>
      <c r="F123" t="s">
        <v>839</v>
      </c>
      <c r="G123" t="s">
        <v>319</v>
      </c>
      <c r="H123" t="s">
        <v>322</v>
      </c>
      <c r="I123" t="s">
        <v>372</v>
      </c>
      <c r="J123" t="s">
        <v>532</v>
      </c>
      <c r="K123" t="s">
        <v>335</v>
      </c>
      <c r="L123" t="s">
        <v>4445</v>
      </c>
      <c r="M123" t="s">
        <v>4446</v>
      </c>
      <c r="N123" t="s">
        <v>539</v>
      </c>
      <c r="O123" t="s">
        <v>193</v>
      </c>
      <c r="P123" t="s">
        <v>184</v>
      </c>
    </row>
    <row r="124" spans="1:16" x14ac:dyDescent="0.25">
      <c r="A124">
        <v>193037</v>
      </c>
      <c r="B124" t="s">
        <v>263</v>
      </c>
      <c r="C124" t="s">
        <v>25</v>
      </c>
      <c r="D124" t="s">
        <v>538</v>
      </c>
      <c r="E124" t="s">
        <v>840</v>
      </c>
      <c r="F124" t="s">
        <v>841</v>
      </c>
      <c r="G124" t="s">
        <v>319</v>
      </c>
      <c r="H124" t="s">
        <v>322</v>
      </c>
      <c r="I124" t="s">
        <v>372</v>
      </c>
      <c r="J124" t="s">
        <v>532</v>
      </c>
      <c r="K124" t="s">
        <v>336</v>
      </c>
      <c r="L124" t="s">
        <v>4447</v>
      </c>
      <c r="M124" t="s">
        <v>4448</v>
      </c>
      <c r="N124" t="s">
        <v>4449</v>
      </c>
      <c r="O124" t="s">
        <v>193</v>
      </c>
      <c r="P124" t="s">
        <v>184</v>
      </c>
    </row>
    <row r="125" spans="1:16" x14ac:dyDescent="0.25">
      <c r="A125">
        <v>156129</v>
      </c>
      <c r="B125" t="s">
        <v>263</v>
      </c>
      <c r="C125" t="s">
        <v>228</v>
      </c>
      <c r="D125" t="s">
        <v>497</v>
      </c>
      <c r="E125" t="s">
        <v>1162</v>
      </c>
      <c r="F125" t="s">
        <v>1163</v>
      </c>
      <c r="G125" t="s">
        <v>321</v>
      </c>
      <c r="H125" t="s">
        <v>333</v>
      </c>
      <c r="I125" t="s">
        <v>344</v>
      </c>
      <c r="J125" t="s">
        <v>344</v>
      </c>
      <c r="K125" t="s">
        <v>336</v>
      </c>
      <c r="L125" t="s">
        <v>4676</v>
      </c>
      <c r="M125" t="s">
        <v>4677</v>
      </c>
      <c r="N125" t="s">
        <v>558</v>
      </c>
      <c r="O125" t="s">
        <v>179</v>
      </c>
      <c r="P125" t="s">
        <v>178</v>
      </c>
    </row>
    <row r="126" spans="1:16" x14ac:dyDescent="0.25">
      <c r="A126">
        <v>225694</v>
      </c>
      <c r="B126" t="s">
        <v>263</v>
      </c>
      <c r="C126" t="s">
        <v>95</v>
      </c>
      <c r="D126" t="s">
        <v>482</v>
      </c>
      <c r="E126" t="s">
        <v>842</v>
      </c>
      <c r="F126" t="s">
        <v>843</v>
      </c>
      <c r="G126" t="s">
        <v>320</v>
      </c>
      <c r="H126" t="s">
        <v>326</v>
      </c>
      <c r="I126" t="s">
        <v>337</v>
      </c>
      <c r="J126" t="s">
        <v>363</v>
      </c>
      <c r="K126" t="s">
        <v>333</v>
      </c>
      <c r="L126" t="s">
        <v>4450</v>
      </c>
      <c r="M126" t="s">
        <v>4451</v>
      </c>
      <c r="N126" t="s">
        <v>488</v>
      </c>
      <c r="O126" t="s">
        <v>179</v>
      </c>
      <c r="P126" t="s">
        <v>178</v>
      </c>
    </row>
    <row r="127" spans="1:16" x14ac:dyDescent="0.25">
      <c r="A127">
        <v>273938</v>
      </c>
      <c r="B127" t="s">
        <v>263</v>
      </c>
      <c r="C127" t="s">
        <v>2151</v>
      </c>
      <c r="D127" t="s">
        <v>491</v>
      </c>
      <c r="E127" t="s">
        <v>2152</v>
      </c>
      <c r="F127" t="s">
        <v>2153</v>
      </c>
      <c r="G127" t="s">
        <v>320</v>
      </c>
      <c r="H127" t="s">
        <v>326</v>
      </c>
      <c r="I127" t="s">
        <v>337</v>
      </c>
      <c r="J127" t="s">
        <v>363</v>
      </c>
      <c r="K127" t="s">
        <v>333</v>
      </c>
      <c r="L127" t="s">
        <v>521</v>
      </c>
      <c r="M127" t="s">
        <v>5101</v>
      </c>
      <c r="N127" t="s">
        <v>160</v>
      </c>
      <c r="O127" t="s">
        <v>179</v>
      </c>
      <c r="P127" t="s">
        <v>178</v>
      </c>
    </row>
    <row r="128" spans="1:16" x14ac:dyDescent="0.25">
      <c r="A128">
        <v>169654</v>
      </c>
      <c r="B128" t="s">
        <v>263</v>
      </c>
      <c r="C128" t="s">
        <v>2213</v>
      </c>
      <c r="D128" t="s">
        <v>497</v>
      </c>
      <c r="E128" t="s">
        <v>2214</v>
      </c>
      <c r="F128" t="s">
        <v>2215</v>
      </c>
      <c r="G128" t="s">
        <v>319</v>
      </c>
      <c r="H128" t="s">
        <v>323</v>
      </c>
      <c r="I128" t="s">
        <v>351</v>
      </c>
      <c r="J128" t="s">
        <v>351</v>
      </c>
      <c r="K128" t="s">
        <v>326</v>
      </c>
      <c r="L128" t="s">
        <v>5129</v>
      </c>
      <c r="M128" t="s">
        <v>5130</v>
      </c>
      <c r="N128" t="s">
        <v>5131</v>
      </c>
      <c r="O128" t="s">
        <v>180</v>
      </c>
      <c r="P128" t="s">
        <v>178</v>
      </c>
    </row>
    <row r="129" spans="1:16" x14ac:dyDescent="0.25">
      <c r="A129">
        <v>251194</v>
      </c>
      <c r="B129" t="s">
        <v>263</v>
      </c>
      <c r="C129" t="s">
        <v>2303</v>
      </c>
      <c r="D129" t="s">
        <v>160</v>
      </c>
      <c r="E129" t="s">
        <v>2304</v>
      </c>
      <c r="F129" t="s">
        <v>2305</v>
      </c>
      <c r="G129" t="s">
        <v>160</v>
      </c>
      <c r="H129" t="s">
        <v>160</v>
      </c>
      <c r="I129" t="s">
        <v>160</v>
      </c>
      <c r="J129" t="s">
        <v>160</v>
      </c>
      <c r="K129" t="s">
        <v>160</v>
      </c>
      <c r="L129" t="s">
        <v>495</v>
      </c>
      <c r="M129" t="s">
        <v>495</v>
      </c>
      <c r="N129" t="s">
        <v>160</v>
      </c>
      <c r="O129" t="s">
        <v>1601</v>
      </c>
      <c r="P129" t="s">
        <v>178</v>
      </c>
    </row>
    <row r="130" spans="1:16" x14ac:dyDescent="0.25">
      <c r="A130">
        <v>322708</v>
      </c>
      <c r="B130" t="s">
        <v>263</v>
      </c>
      <c r="C130" t="s">
        <v>17</v>
      </c>
      <c r="D130" t="s">
        <v>483</v>
      </c>
      <c r="E130" t="s">
        <v>844</v>
      </c>
      <c r="F130" t="s">
        <v>845</v>
      </c>
      <c r="G130" t="s">
        <v>317</v>
      </c>
      <c r="H130" t="s">
        <v>321</v>
      </c>
      <c r="I130" t="s">
        <v>532</v>
      </c>
      <c r="J130" t="s">
        <v>540</v>
      </c>
      <c r="K130" t="s">
        <v>336</v>
      </c>
      <c r="L130" t="s">
        <v>4452</v>
      </c>
      <c r="M130" t="s">
        <v>4453</v>
      </c>
      <c r="N130" t="s">
        <v>762</v>
      </c>
      <c r="O130" t="s">
        <v>193</v>
      </c>
      <c r="P130" t="s">
        <v>184</v>
      </c>
    </row>
    <row r="131" spans="1:16" x14ac:dyDescent="0.25">
      <c r="A131">
        <v>368838</v>
      </c>
      <c r="B131" t="s">
        <v>263</v>
      </c>
      <c r="C131" t="s">
        <v>1973</v>
      </c>
      <c r="D131" t="s">
        <v>478</v>
      </c>
      <c r="E131" t="s">
        <v>1974</v>
      </c>
      <c r="F131" t="s">
        <v>1975</v>
      </c>
      <c r="G131" t="s">
        <v>160</v>
      </c>
      <c r="H131" t="s">
        <v>160</v>
      </c>
      <c r="I131" t="s">
        <v>160</v>
      </c>
      <c r="J131" t="s">
        <v>160</v>
      </c>
      <c r="K131" t="s">
        <v>160</v>
      </c>
      <c r="L131" t="s">
        <v>495</v>
      </c>
      <c r="M131" t="s">
        <v>495</v>
      </c>
      <c r="N131" t="s">
        <v>160</v>
      </c>
      <c r="O131" t="s">
        <v>1464</v>
      </c>
      <c r="P131" t="s">
        <v>178</v>
      </c>
    </row>
    <row r="132" spans="1:16" x14ac:dyDescent="0.25">
      <c r="A132">
        <v>256788</v>
      </c>
      <c r="B132" t="s">
        <v>263</v>
      </c>
      <c r="C132" t="s">
        <v>109</v>
      </c>
      <c r="D132" t="s">
        <v>482</v>
      </c>
      <c r="E132" t="s">
        <v>1164</v>
      </c>
      <c r="F132" t="s">
        <v>1165</v>
      </c>
      <c r="G132" t="s">
        <v>321</v>
      </c>
      <c r="H132" t="s">
        <v>326</v>
      </c>
      <c r="I132" t="s">
        <v>363</v>
      </c>
      <c r="J132" t="s">
        <v>363</v>
      </c>
      <c r="K132" t="s">
        <v>326</v>
      </c>
      <c r="L132" t="s">
        <v>576</v>
      </c>
      <c r="M132" t="s">
        <v>4678</v>
      </c>
      <c r="N132" t="s">
        <v>4679</v>
      </c>
      <c r="O132" t="s">
        <v>179</v>
      </c>
      <c r="P132" t="s">
        <v>178</v>
      </c>
    </row>
    <row r="133" spans="1:16" x14ac:dyDescent="0.25">
      <c r="A133">
        <v>223321</v>
      </c>
      <c r="B133" t="s">
        <v>263</v>
      </c>
      <c r="C133" t="s">
        <v>410</v>
      </c>
      <c r="D133" t="s">
        <v>482</v>
      </c>
      <c r="E133" t="s">
        <v>1166</v>
      </c>
      <c r="F133" t="s">
        <v>1167</v>
      </c>
      <c r="G133" t="s">
        <v>317</v>
      </c>
      <c r="H133" t="s">
        <v>322</v>
      </c>
      <c r="I133" t="s">
        <v>532</v>
      </c>
      <c r="J133" t="s">
        <v>540</v>
      </c>
      <c r="K133" t="s">
        <v>338</v>
      </c>
      <c r="L133" t="s">
        <v>4680</v>
      </c>
      <c r="M133" t="s">
        <v>4681</v>
      </c>
      <c r="N133" t="s">
        <v>1826</v>
      </c>
      <c r="O133" t="s">
        <v>193</v>
      </c>
      <c r="P133" t="s">
        <v>184</v>
      </c>
    </row>
    <row r="134" spans="1:16" x14ac:dyDescent="0.25">
      <c r="A134">
        <v>15512</v>
      </c>
      <c r="B134" t="s">
        <v>263</v>
      </c>
      <c r="C134" t="s">
        <v>1900</v>
      </c>
      <c r="D134" t="s">
        <v>528</v>
      </c>
      <c r="E134" t="s">
        <v>1901</v>
      </c>
      <c r="F134" t="s">
        <v>1902</v>
      </c>
      <c r="G134" t="s">
        <v>320</v>
      </c>
      <c r="H134" t="s">
        <v>326</v>
      </c>
      <c r="I134" t="s">
        <v>344</v>
      </c>
      <c r="J134" t="s">
        <v>360</v>
      </c>
      <c r="K134" t="s">
        <v>326</v>
      </c>
      <c r="L134" t="s">
        <v>4363</v>
      </c>
      <c r="M134" t="s">
        <v>4364</v>
      </c>
      <c r="N134" t="s">
        <v>4040</v>
      </c>
      <c r="O134" t="s">
        <v>180</v>
      </c>
      <c r="P134" t="s">
        <v>178</v>
      </c>
    </row>
    <row r="135" spans="1:16" x14ac:dyDescent="0.25">
      <c r="A135">
        <v>194594</v>
      </c>
      <c r="B135" t="s">
        <v>263</v>
      </c>
      <c r="C135" t="s">
        <v>2011</v>
      </c>
      <c r="D135" t="s">
        <v>507</v>
      </c>
      <c r="E135" t="s">
        <v>2012</v>
      </c>
      <c r="F135" t="s">
        <v>2013</v>
      </c>
      <c r="G135" t="s">
        <v>319</v>
      </c>
      <c r="H135" t="s">
        <v>321</v>
      </c>
      <c r="I135" t="s">
        <v>363</v>
      </c>
      <c r="J135" t="s">
        <v>363</v>
      </c>
      <c r="K135" t="s">
        <v>329</v>
      </c>
      <c r="L135" t="s">
        <v>2014</v>
      </c>
      <c r="M135" t="s">
        <v>5045</v>
      </c>
      <c r="N135" t="s">
        <v>756</v>
      </c>
      <c r="O135" t="s">
        <v>180</v>
      </c>
      <c r="P135" t="s">
        <v>178</v>
      </c>
    </row>
    <row r="136" spans="1:16" x14ac:dyDescent="0.25">
      <c r="A136">
        <v>221194</v>
      </c>
      <c r="B136" t="s">
        <v>263</v>
      </c>
      <c r="C136" t="s">
        <v>392</v>
      </c>
      <c r="D136" t="s">
        <v>507</v>
      </c>
      <c r="E136" t="s">
        <v>1168</v>
      </c>
      <c r="F136" t="s">
        <v>1169</v>
      </c>
      <c r="G136" t="s">
        <v>317</v>
      </c>
      <c r="H136" t="s">
        <v>321</v>
      </c>
      <c r="I136" t="s">
        <v>402</v>
      </c>
      <c r="J136" t="s">
        <v>532</v>
      </c>
      <c r="K136" t="s">
        <v>326</v>
      </c>
      <c r="L136" t="s">
        <v>4682</v>
      </c>
      <c r="M136" t="s">
        <v>4683</v>
      </c>
      <c r="N136" t="s">
        <v>4684</v>
      </c>
      <c r="O136" t="s">
        <v>187</v>
      </c>
      <c r="P136" t="s">
        <v>178</v>
      </c>
    </row>
    <row r="137" spans="1:16" x14ac:dyDescent="0.25">
      <c r="A137">
        <v>317457</v>
      </c>
      <c r="B137" t="s">
        <v>263</v>
      </c>
      <c r="C137" t="s">
        <v>394</v>
      </c>
      <c r="D137" t="s">
        <v>483</v>
      </c>
      <c r="E137" t="s">
        <v>1170</v>
      </c>
      <c r="F137" t="s">
        <v>1171</v>
      </c>
      <c r="G137" t="s">
        <v>319</v>
      </c>
      <c r="H137" t="s">
        <v>321</v>
      </c>
      <c r="I137" t="s">
        <v>372</v>
      </c>
      <c r="J137" t="s">
        <v>532</v>
      </c>
      <c r="K137" t="s">
        <v>329</v>
      </c>
      <c r="L137" t="s">
        <v>4685</v>
      </c>
      <c r="M137" t="s">
        <v>4686</v>
      </c>
      <c r="N137" t="s">
        <v>4687</v>
      </c>
      <c r="O137" t="s">
        <v>281</v>
      </c>
      <c r="P137" t="s">
        <v>178</v>
      </c>
    </row>
    <row r="138" spans="1:16" x14ac:dyDescent="0.25">
      <c r="A138">
        <v>39856</v>
      </c>
      <c r="B138" t="s">
        <v>263</v>
      </c>
      <c r="C138" t="s">
        <v>50</v>
      </c>
      <c r="D138" t="s">
        <v>484</v>
      </c>
      <c r="E138" t="s">
        <v>846</v>
      </c>
      <c r="F138" t="s">
        <v>847</v>
      </c>
      <c r="G138" t="s">
        <v>320</v>
      </c>
      <c r="H138" t="s">
        <v>323</v>
      </c>
      <c r="I138" t="s">
        <v>351</v>
      </c>
      <c r="J138" t="s">
        <v>351</v>
      </c>
      <c r="K138" t="s">
        <v>326</v>
      </c>
      <c r="L138" t="s">
        <v>4169</v>
      </c>
      <c r="M138" t="s">
        <v>4170</v>
      </c>
      <c r="N138" t="s">
        <v>4171</v>
      </c>
      <c r="O138" t="s">
        <v>179</v>
      </c>
      <c r="P138" t="s">
        <v>178</v>
      </c>
    </row>
    <row r="139" spans="1:16" x14ac:dyDescent="0.25">
      <c r="A139">
        <v>121288</v>
      </c>
      <c r="B139" t="s">
        <v>263</v>
      </c>
      <c r="C139" t="s">
        <v>374</v>
      </c>
      <c r="D139" t="s">
        <v>503</v>
      </c>
      <c r="E139" t="s">
        <v>1172</v>
      </c>
      <c r="F139" t="s">
        <v>1173</v>
      </c>
      <c r="G139" t="s">
        <v>320</v>
      </c>
      <c r="H139" t="s">
        <v>323</v>
      </c>
      <c r="I139" t="s">
        <v>351</v>
      </c>
      <c r="J139" t="s">
        <v>351</v>
      </c>
      <c r="K139" t="s">
        <v>326</v>
      </c>
      <c r="L139" t="s">
        <v>4267</v>
      </c>
      <c r="M139" t="s">
        <v>4268</v>
      </c>
      <c r="N139" t="s">
        <v>4269</v>
      </c>
      <c r="O139" t="s">
        <v>179</v>
      </c>
      <c r="P139" t="s">
        <v>178</v>
      </c>
    </row>
    <row r="140" spans="1:16" x14ac:dyDescent="0.25">
      <c r="A140">
        <v>92828</v>
      </c>
      <c r="B140" t="s">
        <v>263</v>
      </c>
      <c r="C140" t="s">
        <v>568</v>
      </c>
      <c r="D140" t="s">
        <v>518</v>
      </c>
      <c r="E140" t="s">
        <v>1174</v>
      </c>
      <c r="F140" t="s">
        <v>1175</v>
      </c>
      <c r="G140" t="s">
        <v>320</v>
      </c>
      <c r="H140" t="s">
        <v>333</v>
      </c>
      <c r="I140" t="s">
        <v>351</v>
      </c>
      <c r="J140" t="s">
        <v>351</v>
      </c>
      <c r="K140" t="s">
        <v>326</v>
      </c>
      <c r="L140" t="s">
        <v>4270</v>
      </c>
      <c r="M140" t="s">
        <v>4271</v>
      </c>
      <c r="N140" t="s">
        <v>4272</v>
      </c>
      <c r="O140" t="s">
        <v>179</v>
      </c>
      <c r="P140" t="s">
        <v>178</v>
      </c>
    </row>
    <row r="141" spans="1:16" x14ac:dyDescent="0.25">
      <c r="A141">
        <v>36218</v>
      </c>
      <c r="B141" t="s">
        <v>263</v>
      </c>
      <c r="C141" t="s">
        <v>1706</v>
      </c>
      <c r="D141" t="s">
        <v>484</v>
      </c>
      <c r="E141" t="s">
        <v>1707</v>
      </c>
      <c r="F141" t="s">
        <v>1708</v>
      </c>
      <c r="G141" t="s">
        <v>319</v>
      </c>
      <c r="H141" t="s">
        <v>321</v>
      </c>
      <c r="I141" t="s">
        <v>351</v>
      </c>
      <c r="J141" t="s">
        <v>351</v>
      </c>
      <c r="K141" t="s">
        <v>335</v>
      </c>
      <c r="L141" t="s">
        <v>4344</v>
      </c>
      <c r="M141" t="s">
        <v>4345</v>
      </c>
      <c r="N141" t="s">
        <v>4346</v>
      </c>
      <c r="O141" t="s">
        <v>187</v>
      </c>
      <c r="P141" t="s">
        <v>178</v>
      </c>
    </row>
    <row r="142" spans="1:16" x14ac:dyDescent="0.25">
      <c r="A142">
        <v>40834</v>
      </c>
      <c r="B142" t="s">
        <v>263</v>
      </c>
      <c r="C142" t="s">
        <v>77</v>
      </c>
      <c r="D142" t="s">
        <v>523</v>
      </c>
      <c r="E142" t="s">
        <v>848</v>
      </c>
      <c r="F142" t="s">
        <v>849</v>
      </c>
      <c r="G142" t="s">
        <v>319</v>
      </c>
      <c r="H142" t="s">
        <v>323</v>
      </c>
      <c r="I142" t="s">
        <v>351</v>
      </c>
      <c r="J142" t="s">
        <v>351</v>
      </c>
      <c r="K142" t="s">
        <v>335</v>
      </c>
      <c r="L142" t="s">
        <v>4172</v>
      </c>
      <c r="M142" t="s">
        <v>4173</v>
      </c>
      <c r="N142" t="s">
        <v>755</v>
      </c>
      <c r="O142" t="s">
        <v>187</v>
      </c>
      <c r="P142" t="s">
        <v>178</v>
      </c>
    </row>
    <row r="143" spans="1:16" x14ac:dyDescent="0.25">
      <c r="A143">
        <v>51811</v>
      </c>
      <c r="B143" t="s">
        <v>263</v>
      </c>
      <c r="C143" t="s">
        <v>1672</v>
      </c>
      <c r="D143" t="s">
        <v>523</v>
      </c>
      <c r="E143" t="s">
        <v>1673</v>
      </c>
      <c r="F143" t="s">
        <v>1674</v>
      </c>
      <c r="G143" t="s">
        <v>319</v>
      </c>
      <c r="H143" t="s">
        <v>321</v>
      </c>
      <c r="I143" t="s">
        <v>351</v>
      </c>
      <c r="J143" t="s">
        <v>351</v>
      </c>
      <c r="K143" t="s">
        <v>335</v>
      </c>
      <c r="L143" t="s">
        <v>4335</v>
      </c>
      <c r="M143" t="s">
        <v>4336</v>
      </c>
      <c r="N143" t="s">
        <v>160</v>
      </c>
      <c r="O143" t="s">
        <v>1675</v>
      </c>
      <c r="P143" t="s">
        <v>178</v>
      </c>
    </row>
    <row r="144" spans="1:16" x14ac:dyDescent="0.25">
      <c r="A144">
        <v>262547</v>
      </c>
      <c r="B144" t="s">
        <v>263</v>
      </c>
      <c r="C144" t="s">
        <v>638</v>
      </c>
      <c r="D144" t="s">
        <v>482</v>
      </c>
      <c r="E144" t="s">
        <v>1176</v>
      </c>
      <c r="F144" t="s">
        <v>1177</v>
      </c>
      <c r="G144" t="s">
        <v>319</v>
      </c>
      <c r="H144" t="s">
        <v>329</v>
      </c>
      <c r="I144" t="s">
        <v>495</v>
      </c>
      <c r="J144" t="s">
        <v>495</v>
      </c>
      <c r="K144" t="s">
        <v>329</v>
      </c>
      <c r="L144" t="s">
        <v>4688</v>
      </c>
      <c r="M144" t="s">
        <v>4689</v>
      </c>
      <c r="N144" t="s">
        <v>4690</v>
      </c>
      <c r="O144" t="s">
        <v>179</v>
      </c>
      <c r="P144" t="s">
        <v>178</v>
      </c>
    </row>
    <row r="145" spans="1:16" x14ac:dyDescent="0.25">
      <c r="A145">
        <v>170587</v>
      </c>
      <c r="B145" t="s">
        <v>263</v>
      </c>
      <c r="C145" t="s">
        <v>2173</v>
      </c>
      <c r="D145" t="s">
        <v>497</v>
      </c>
      <c r="E145" t="s">
        <v>2174</v>
      </c>
      <c r="F145" t="s">
        <v>2175</v>
      </c>
      <c r="G145" t="s">
        <v>321</v>
      </c>
      <c r="H145" t="s">
        <v>323</v>
      </c>
      <c r="I145" t="s">
        <v>317</v>
      </c>
      <c r="J145" t="s">
        <v>351</v>
      </c>
      <c r="K145" t="s">
        <v>329</v>
      </c>
      <c r="L145" t="s">
        <v>2176</v>
      </c>
      <c r="M145" t="s">
        <v>5112</v>
      </c>
      <c r="N145" t="s">
        <v>5113</v>
      </c>
      <c r="O145" t="s">
        <v>179</v>
      </c>
      <c r="P145" t="s">
        <v>178</v>
      </c>
    </row>
    <row r="146" spans="1:16" x14ac:dyDescent="0.25">
      <c r="A146">
        <v>370591</v>
      </c>
      <c r="B146" t="s">
        <v>263</v>
      </c>
      <c r="C146" t="s">
        <v>116</v>
      </c>
      <c r="D146" t="s">
        <v>478</v>
      </c>
      <c r="E146" t="s">
        <v>850</v>
      </c>
      <c r="F146" t="s">
        <v>851</v>
      </c>
      <c r="G146" t="s">
        <v>317</v>
      </c>
      <c r="H146" t="s">
        <v>323</v>
      </c>
      <c r="I146" t="s">
        <v>351</v>
      </c>
      <c r="J146" t="s">
        <v>372</v>
      </c>
      <c r="K146" t="s">
        <v>326</v>
      </c>
      <c r="L146" t="s">
        <v>4454</v>
      </c>
      <c r="M146" t="s">
        <v>4455</v>
      </c>
      <c r="N146" t="s">
        <v>489</v>
      </c>
      <c r="O146" t="s">
        <v>180</v>
      </c>
      <c r="P146" t="s">
        <v>184</v>
      </c>
    </row>
    <row r="147" spans="1:16" x14ac:dyDescent="0.25">
      <c r="A147">
        <v>215311</v>
      </c>
      <c r="B147" t="s">
        <v>263</v>
      </c>
      <c r="C147" t="s">
        <v>277</v>
      </c>
      <c r="D147" t="s">
        <v>507</v>
      </c>
      <c r="E147" t="s">
        <v>852</v>
      </c>
      <c r="F147" t="s">
        <v>853</v>
      </c>
      <c r="G147" t="s">
        <v>319</v>
      </c>
      <c r="H147" t="s">
        <v>323</v>
      </c>
      <c r="I147" t="s">
        <v>344</v>
      </c>
      <c r="J147" t="s">
        <v>360</v>
      </c>
      <c r="K147" t="s">
        <v>329</v>
      </c>
      <c r="L147" t="s">
        <v>4456</v>
      </c>
      <c r="M147" t="s">
        <v>4457</v>
      </c>
      <c r="N147" t="s">
        <v>563</v>
      </c>
      <c r="O147" t="s">
        <v>180</v>
      </c>
      <c r="P147" t="s">
        <v>178</v>
      </c>
    </row>
    <row r="148" spans="1:16" x14ac:dyDescent="0.25">
      <c r="A148">
        <v>264055</v>
      </c>
      <c r="B148" t="s">
        <v>263</v>
      </c>
      <c r="C148" t="s">
        <v>123</v>
      </c>
      <c r="D148" t="s">
        <v>491</v>
      </c>
      <c r="E148" t="s">
        <v>1178</v>
      </c>
      <c r="F148" t="s">
        <v>1179</v>
      </c>
      <c r="G148" t="s">
        <v>319</v>
      </c>
      <c r="H148" t="s">
        <v>322</v>
      </c>
      <c r="I148" t="s">
        <v>337</v>
      </c>
      <c r="J148" t="s">
        <v>337</v>
      </c>
      <c r="K148" t="s">
        <v>326</v>
      </c>
      <c r="L148" t="s">
        <v>4691</v>
      </c>
      <c r="M148" t="s">
        <v>4692</v>
      </c>
      <c r="N148" t="s">
        <v>4693</v>
      </c>
      <c r="O148" t="s">
        <v>180</v>
      </c>
      <c r="P148" t="s">
        <v>178</v>
      </c>
    </row>
    <row r="149" spans="1:16" x14ac:dyDescent="0.25">
      <c r="A149">
        <v>300010</v>
      </c>
      <c r="B149" t="s">
        <v>263</v>
      </c>
      <c r="C149" t="s">
        <v>16</v>
      </c>
      <c r="D149" t="s">
        <v>480</v>
      </c>
      <c r="E149" t="s">
        <v>854</v>
      </c>
      <c r="F149" t="s">
        <v>855</v>
      </c>
      <c r="G149" t="s">
        <v>319</v>
      </c>
      <c r="H149" t="s">
        <v>321</v>
      </c>
      <c r="I149" t="s">
        <v>337</v>
      </c>
      <c r="J149" t="s">
        <v>337</v>
      </c>
      <c r="K149" t="s">
        <v>322</v>
      </c>
      <c r="L149" t="s">
        <v>4458</v>
      </c>
      <c r="M149" t="s">
        <v>4459</v>
      </c>
      <c r="N149" t="s">
        <v>4460</v>
      </c>
      <c r="O149" t="s">
        <v>191</v>
      </c>
      <c r="P149" t="s">
        <v>178</v>
      </c>
    </row>
    <row r="150" spans="1:16" x14ac:dyDescent="0.25">
      <c r="A150">
        <v>244916</v>
      </c>
      <c r="B150" t="s">
        <v>263</v>
      </c>
      <c r="C150" t="s">
        <v>12</v>
      </c>
      <c r="D150" t="s">
        <v>482</v>
      </c>
      <c r="E150" t="s">
        <v>856</v>
      </c>
      <c r="F150" t="s">
        <v>857</v>
      </c>
      <c r="G150" t="s">
        <v>319</v>
      </c>
      <c r="H150" t="s">
        <v>321</v>
      </c>
      <c r="I150" t="s">
        <v>351</v>
      </c>
      <c r="J150" t="s">
        <v>351</v>
      </c>
      <c r="K150" t="s">
        <v>326</v>
      </c>
      <c r="L150" t="s">
        <v>4461</v>
      </c>
      <c r="M150" t="s">
        <v>4462</v>
      </c>
      <c r="N150" t="s">
        <v>4463</v>
      </c>
      <c r="O150" t="s">
        <v>180</v>
      </c>
      <c r="P150" t="s">
        <v>178</v>
      </c>
    </row>
    <row r="151" spans="1:16" x14ac:dyDescent="0.25">
      <c r="A151">
        <v>18228</v>
      </c>
      <c r="B151" t="s">
        <v>263</v>
      </c>
      <c r="C151" t="s">
        <v>2259</v>
      </c>
      <c r="D151" t="s">
        <v>487</v>
      </c>
      <c r="E151" t="s">
        <v>2260</v>
      </c>
      <c r="F151" t="s">
        <v>2261</v>
      </c>
      <c r="G151" t="s">
        <v>319</v>
      </c>
      <c r="H151" t="s">
        <v>338</v>
      </c>
      <c r="I151" t="s">
        <v>532</v>
      </c>
      <c r="J151" t="s">
        <v>532</v>
      </c>
      <c r="K151" t="s">
        <v>333</v>
      </c>
      <c r="L151" t="s">
        <v>320</v>
      </c>
      <c r="M151" t="s">
        <v>2262</v>
      </c>
      <c r="N151" t="s">
        <v>160</v>
      </c>
      <c r="O151" t="s">
        <v>2263</v>
      </c>
      <c r="P151" t="s">
        <v>184</v>
      </c>
    </row>
    <row r="152" spans="1:16" x14ac:dyDescent="0.25">
      <c r="A152">
        <v>316554</v>
      </c>
      <c r="B152" t="s">
        <v>263</v>
      </c>
      <c r="C152" t="s">
        <v>225</v>
      </c>
      <c r="D152" t="s">
        <v>480</v>
      </c>
      <c r="E152" t="s">
        <v>1180</v>
      </c>
      <c r="F152" t="s">
        <v>1181</v>
      </c>
      <c r="G152" t="s">
        <v>317</v>
      </c>
      <c r="H152" t="s">
        <v>321</v>
      </c>
      <c r="I152" t="s">
        <v>372</v>
      </c>
      <c r="J152" t="s">
        <v>532</v>
      </c>
      <c r="K152" t="s">
        <v>336</v>
      </c>
      <c r="L152" t="s">
        <v>4694</v>
      </c>
      <c r="M152" t="s">
        <v>4695</v>
      </c>
      <c r="N152" t="s">
        <v>322</v>
      </c>
      <c r="O152" t="s">
        <v>187</v>
      </c>
      <c r="P152" t="s">
        <v>178</v>
      </c>
    </row>
    <row r="153" spans="1:16" x14ac:dyDescent="0.25">
      <c r="A153">
        <v>397598</v>
      </c>
      <c r="B153" t="s">
        <v>263</v>
      </c>
      <c r="C153" t="s">
        <v>4030</v>
      </c>
      <c r="D153" t="s">
        <v>493</v>
      </c>
      <c r="E153" t="s">
        <v>4031</v>
      </c>
      <c r="F153" t="s">
        <v>4032</v>
      </c>
      <c r="G153" t="s">
        <v>317</v>
      </c>
      <c r="H153" t="s">
        <v>323</v>
      </c>
      <c r="I153" t="s">
        <v>372</v>
      </c>
      <c r="J153" t="s">
        <v>532</v>
      </c>
      <c r="K153" t="s">
        <v>335</v>
      </c>
      <c r="L153" t="s">
        <v>4033</v>
      </c>
      <c r="M153" t="s">
        <v>4034</v>
      </c>
      <c r="N153" t="s">
        <v>329</v>
      </c>
      <c r="O153" t="s">
        <v>187</v>
      </c>
      <c r="P153" t="s">
        <v>178</v>
      </c>
    </row>
    <row r="154" spans="1:16" x14ac:dyDescent="0.25">
      <c r="A154">
        <v>357028</v>
      </c>
      <c r="B154" t="s">
        <v>263</v>
      </c>
      <c r="C154" t="s">
        <v>666</v>
      </c>
      <c r="D154" t="s">
        <v>483</v>
      </c>
      <c r="E154" t="s">
        <v>1182</v>
      </c>
      <c r="F154" t="s">
        <v>1183</v>
      </c>
      <c r="G154" t="s">
        <v>317</v>
      </c>
      <c r="H154" t="s">
        <v>323</v>
      </c>
      <c r="I154" t="s">
        <v>363</v>
      </c>
      <c r="J154" t="s">
        <v>372</v>
      </c>
      <c r="K154" t="s">
        <v>326</v>
      </c>
      <c r="L154" t="s">
        <v>667</v>
      </c>
      <c r="M154" t="s">
        <v>4696</v>
      </c>
      <c r="N154" t="s">
        <v>4697</v>
      </c>
      <c r="O154" t="s">
        <v>186</v>
      </c>
      <c r="P154" t="s">
        <v>184</v>
      </c>
    </row>
    <row r="155" spans="1:16" x14ac:dyDescent="0.25">
      <c r="A155">
        <v>260300</v>
      </c>
      <c r="B155" t="s">
        <v>263</v>
      </c>
      <c r="C155" t="s">
        <v>2359</v>
      </c>
      <c r="D155" t="s">
        <v>482</v>
      </c>
      <c r="E155" t="s">
        <v>2360</v>
      </c>
      <c r="F155" t="s">
        <v>2361</v>
      </c>
      <c r="G155" t="s">
        <v>319</v>
      </c>
      <c r="H155" t="s">
        <v>321</v>
      </c>
      <c r="I155" t="s">
        <v>329</v>
      </c>
      <c r="J155" t="s">
        <v>329</v>
      </c>
      <c r="K155" t="s">
        <v>326</v>
      </c>
      <c r="L155" t="s">
        <v>5182</v>
      </c>
      <c r="M155" t="s">
        <v>5183</v>
      </c>
      <c r="N155" t="s">
        <v>5184</v>
      </c>
      <c r="O155" t="s">
        <v>180</v>
      </c>
      <c r="P155" t="s">
        <v>178</v>
      </c>
    </row>
    <row r="156" spans="1:16" x14ac:dyDescent="0.25">
      <c r="A156">
        <v>264196</v>
      </c>
      <c r="B156" t="s">
        <v>263</v>
      </c>
      <c r="C156" t="s">
        <v>312</v>
      </c>
      <c r="D156" t="s">
        <v>491</v>
      </c>
      <c r="E156" t="s">
        <v>858</v>
      </c>
      <c r="F156" t="s">
        <v>859</v>
      </c>
      <c r="G156" t="s">
        <v>317</v>
      </c>
      <c r="H156" t="s">
        <v>322</v>
      </c>
      <c r="I156" t="s">
        <v>372</v>
      </c>
      <c r="J156" t="s">
        <v>372</v>
      </c>
      <c r="K156" t="s">
        <v>336</v>
      </c>
      <c r="L156" t="s">
        <v>566</v>
      </c>
      <c r="M156" t="s">
        <v>4464</v>
      </c>
      <c r="N156" t="s">
        <v>4465</v>
      </c>
      <c r="O156" t="s">
        <v>281</v>
      </c>
      <c r="P156" t="s">
        <v>184</v>
      </c>
    </row>
    <row r="157" spans="1:16" x14ac:dyDescent="0.25">
      <c r="A157">
        <v>349463</v>
      </c>
      <c r="B157" t="s">
        <v>263</v>
      </c>
      <c r="C157" t="s">
        <v>1920</v>
      </c>
      <c r="D157" t="s">
        <v>478</v>
      </c>
      <c r="E157" t="s">
        <v>1921</v>
      </c>
      <c r="F157" t="s">
        <v>1922</v>
      </c>
      <c r="G157" t="s">
        <v>317</v>
      </c>
      <c r="H157" t="s">
        <v>321</v>
      </c>
      <c r="I157" t="s">
        <v>363</v>
      </c>
      <c r="J157" t="s">
        <v>372</v>
      </c>
      <c r="K157" t="s">
        <v>333</v>
      </c>
      <c r="L157" t="s">
        <v>5007</v>
      </c>
      <c r="M157" t="s">
        <v>5008</v>
      </c>
      <c r="N157" t="s">
        <v>5009</v>
      </c>
      <c r="O157" t="s">
        <v>180</v>
      </c>
      <c r="P157" t="s">
        <v>178</v>
      </c>
    </row>
    <row r="158" spans="1:16" x14ac:dyDescent="0.25">
      <c r="A158">
        <v>181329</v>
      </c>
      <c r="B158" t="s">
        <v>263</v>
      </c>
      <c r="C158" t="s">
        <v>2394</v>
      </c>
      <c r="D158" t="s">
        <v>486</v>
      </c>
      <c r="E158" t="s">
        <v>2395</v>
      </c>
      <c r="F158" t="s">
        <v>2396</v>
      </c>
      <c r="G158" t="s">
        <v>320</v>
      </c>
      <c r="H158" t="s">
        <v>323</v>
      </c>
      <c r="I158" t="s">
        <v>351</v>
      </c>
      <c r="J158" t="s">
        <v>351</v>
      </c>
      <c r="K158" t="s">
        <v>326</v>
      </c>
      <c r="L158" t="s">
        <v>2397</v>
      </c>
      <c r="M158" t="s">
        <v>5206</v>
      </c>
      <c r="N158" t="s">
        <v>5207</v>
      </c>
      <c r="O158" t="s">
        <v>180</v>
      </c>
      <c r="P158" t="s">
        <v>178</v>
      </c>
    </row>
    <row r="159" spans="1:16" x14ac:dyDescent="0.25">
      <c r="A159">
        <v>350184</v>
      </c>
      <c r="B159" t="s">
        <v>263</v>
      </c>
      <c r="C159" t="s">
        <v>107</v>
      </c>
      <c r="D159" t="s">
        <v>493</v>
      </c>
      <c r="E159" t="s">
        <v>1184</v>
      </c>
      <c r="F159" t="s">
        <v>1185</v>
      </c>
      <c r="G159" t="s">
        <v>317</v>
      </c>
      <c r="H159" t="s">
        <v>322</v>
      </c>
      <c r="I159" t="s">
        <v>363</v>
      </c>
      <c r="J159" t="s">
        <v>402</v>
      </c>
      <c r="K159" t="s">
        <v>335</v>
      </c>
      <c r="L159" t="s">
        <v>4698</v>
      </c>
      <c r="M159" t="s">
        <v>4699</v>
      </c>
      <c r="N159" t="s">
        <v>4700</v>
      </c>
      <c r="O159" t="s">
        <v>187</v>
      </c>
      <c r="P159" t="s">
        <v>178</v>
      </c>
    </row>
    <row r="160" spans="1:16" x14ac:dyDescent="0.25">
      <c r="A160">
        <v>72125</v>
      </c>
      <c r="B160" t="s">
        <v>263</v>
      </c>
      <c r="C160" t="s">
        <v>43</v>
      </c>
      <c r="D160" t="s">
        <v>518</v>
      </c>
      <c r="E160" t="s">
        <v>860</v>
      </c>
      <c r="F160" t="s">
        <v>861</v>
      </c>
      <c r="G160" t="s">
        <v>319</v>
      </c>
      <c r="H160" t="s">
        <v>323</v>
      </c>
      <c r="I160" t="s">
        <v>372</v>
      </c>
      <c r="J160" t="s">
        <v>540</v>
      </c>
      <c r="K160" t="s">
        <v>336</v>
      </c>
      <c r="L160" t="s">
        <v>4174</v>
      </c>
      <c r="M160" t="s">
        <v>4175</v>
      </c>
      <c r="N160" t="s">
        <v>409</v>
      </c>
      <c r="O160" t="s">
        <v>187</v>
      </c>
      <c r="P160" t="s">
        <v>178</v>
      </c>
    </row>
    <row r="161" spans="1:16" x14ac:dyDescent="0.25">
      <c r="A161">
        <v>246900</v>
      </c>
      <c r="B161" t="s">
        <v>263</v>
      </c>
      <c r="C161" t="s">
        <v>1739</v>
      </c>
      <c r="D161" t="s">
        <v>480</v>
      </c>
      <c r="E161" t="s">
        <v>1740</v>
      </c>
      <c r="F161" t="s">
        <v>1741</v>
      </c>
      <c r="G161" t="s">
        <v>319</v>
      </c>
      <c r="H161" t="s">
        <v>323</v>
      </c>
      <c r="I161" t="s">
        <v>372</v>
      </c>
      <c r="J161" t="s">
        <v>602</v>
      </c>
      <c r="K161" t="s">
        <v>336</v>
      </c>
      <c r="L161" t="s">
        <v>4951</v>
      </c>
      <c r="M161" t="s">
        <v>4952</v>
      </c>
      <c r="N161" t="s">
        <v>341</v>
      </c>
      <c r="O161" t="s">
        <v>187</v>
      </c>
      <c r="P161" t="s">
        <v>178</v>
      </c>
    </row>
    <row r="162" spans="1:16" x14ac:dyDescent="0.25">
      <c r="A162">
        <v>142326</v>
      </c>
      <c r="B162" t="s">
        <v>263</v>
      </c>
      <c r="C162" t="s">
        <v>2296</v>
      </c>
      <c r="D162" t="s">
        <v>536</v>
      </c>
      <c r="E162" t="s">
        <v>2297</v>
      </c>
      <c r="F162" t="s">
        <v>2298</v>
      </c>
      <c r="G162" t="s">
        <v>319</v>
      </c>
      <c r="H162" t="s">
        <v>321</v>
      </c>
      <c r="I162" t="s">
        <v>326</v>
      </c>
      <c r="J162" t="s">
        <v>344</v>
      </c>
      <c r="K162" t="s">
        <v>335</v>
      </c>
      <c r="L162" t="s">
        <v>2299</v>
      </c>
      <c r="M162" t="s">
        <v>5154</v>
      </c>
      <c r="N162" t="s">
        <v>5155</v>
      </c>
      <c r="O162" t="s">
        <v>310</v>
      </c>
      <c r="P162" t="s">
        <v>178</v>
      </c>
    </row>
    <row r="163" spans="1:16" x14ac:dyDescent="0.25">
      <c r="A163">
        <v>100423</v>
      </c>
      <c r="B163" t="s">
        <v>263</v>
      </c>
      <c r="C163" t="s">
        <v>20</v>
      </c>
      <c r="D163" t="s">
        <v>518</v>
      </c>
      <c r="E163" t="s">
        <v>862</v>
      </c>
      <c r="F163" t="s">
        <v>863</v>
      </c>
      <c r="G163" t="s">
        <v>317</v>
      </c>
      <c r="H163" t="s">
        <v>326</v>
      </c>
      <c r="I163" t="s">
        <v>402</v>
      </c>
      <c r="J163" t="s">
        <v>402</v>
      </c>
      <c r="K163" t="s">
        <v>335</v>
      </c>
      <c r="L163" t="s">
        <v>4176</v>
      </c>
      <c r="M163" t="s">
        <v>4177</v>
      </c>
      <c r="N163" t="s">
        <v>4178</v>
      </c>
      <c r="O163" t="s">
        <v>193</v>
      </c>
      <c r="P163" t="s">
        <v>184</v>
      </c>
    </row>
    <row r="164" spans="1:16" x14ac:dyDescent="0.25">
      <c r="A164">
        <v>266300</v>
      </c>
      <c r="B164" t="s">
        <v>263</v>
      </c>
      <c r="C164" t="s">
        <v>1651</v>
      </c>
      <c r="D164" t="s">
        <v>482</v>
      </c>
      <c r="E164" t="s">
        <v>1652</v>
      </c>
      <c r="F164" t="s">
        <v>1653</v>
      </c>
      <c r="G164" t="s">
        <v>160</v>
      </c>
      <c r="H164" t="s">
        <v>160</v>
      </c>
      <c r="I164" t="s">
        <v>160</v>
      </c>
      <c r="J164" t="s">
        <v>160</v>
      </c>
      <c r="K164" t="s">
        <v>160</v>
      </c>
      <c r="L164" t="s">
        <v>495</v>
      </c>
      <c r="M164" t="s">
        <v>1654</v>
      </c>
      <c r="N164" t="s">
        <v>160</v>
      </c>
      <c r="O164" t="s">
        <v>1389</v>
      </c>
      <c r="P164" t="s">
        <v>178</v>
      </c>
    </row>
    <row r="165" spans="1:16" x14ac:dyDescent="0.25">
      <c r="A165">
        <v>135262</v>
      </c>
      <c r="B165" t="s">
        <v>263</v>
      </c>
      <c r="C165" t="s">
        <v>4047</v>
      </c>
      <c r="D165" t="s">
        <v>530</v>
      </c>
      <c r="E165" t="s">
        <v>4048</v>
      </c>
      <c r="F165" t="s">
        <v>4049</v>
      </c>
      <c r="G165" t="s">
        <v>321</v>
      </c>
      <c r="H165" t="s">
        <v>412</v>
      </c>
      <c r="I165" t="s">
        <v>344</v>
      </c>
      <c r="J165" t="s">
        <v>344</v>
      </c>
      <c r="K165" t="s">
        <v>326</v>
      </c>
      <c r="L165" t="s">
        <v>4050</v>
      </c>
      <c r="M165" t="s">
        <v>4051</v>
      </c>
      <c r="N165" t="s">
        <v>4052</v>
      </c>
      <c r="O165" t="s">
        <v>179</v>
      </c>
      <c r="P165" t="s">
        <v>178</v>
      </c>
    </row>
    <row r="166" spans="1:16" x14ac:dyDescent="0.25">
      <c r="A166">
        <v>22123</v>
      </c>
      <c r="B166" t="s">
        <v>263</v>
      </c>
      <c r="C166" t="s">
        <v>282</v>
      </c>
      <c r="D166" t="s">
        <v>546</v>
      </c>
      <c r="E166" t="s">
        <v>916</v>
      </c>
      <c r="F166" t="s">
        <v>917</v>
      </c>
      <c r="G166" t="s">
        <v>317</v>
      </c>
      <c r="H166" t="s">
        <v>320</v>
      </c>
      <c r="I166" t="s">
        <v>337</v>
      </c>
      <c r="J166" t="s">
        <v>337</v>
      </c>
      <c r="K166" t="s">
        <v>323</v>
      </c>
      <c r="L166" t="s">
        <v>319</v>
      </c>
      <c r="M166" t="s">
        <v>4193</v>
      </c>
      <c r="N166" t="s">
        <v>4194</v>
      </c>
      <c r="O166" t="s">
        <v>192</v>
      </c>
      <c r="P166" t="s">
        <v>178</v>
      </c>
    </row>
    <row r="167" spans="1:16" x14ac:dyDescent="0.25">
      <c r="A167">
        <v>357541</v>
      </c>
      <c r="B167" t="s">
        <v>263</v>
      </c>
      <c r="C167" t="s">
        <v>2114</v>
      </c>
      <c r="D167" t="s">
        <v>483</v>
      </c>
      <c r="E167" t="s">
        <v>2115</v>
      </c>
      <c r="F167" t="s">
        <v>2116</v>
      </c>
      <c r="G167" t="s">
        <v>317</v>
      </c>
      <c r="H167" t="s">
        <v>323</v>
      </c>
      <c r="I167" t="s">
        <v>372</v>
      </c>
      <c r="J167" t="s">
        <v>532</v>
      </c>
      <c r="K167" t="s">
        <v>329</v>
      </c>
      <c r="L167" t="s">
        <v>495</v>
      </c>
      <c r="M167" t="s">
        <v>2117</v>
      </c>
      <c r="N167" t="s">
        <v>160</v>
      </c>
      <c r="O167" t="s">
        <v>181</v>
      </c>
      <c r="P167" t="s">
        <v>184</v>
      </c>
    </row>
    <row r="168" spans="1:16" x14ac:dyDescent="0.25">
      <c r="A168">
        <v>204836</v>
      </c>
      <c r="B168" t="s">
        <v>263</v>
      </c>
      <c r="C168" t="s">
        <v>54</v>
      </c>
      <c r="D168" t="s">
        <v>538</v>
      </c>
      <c r="E168" t="s">
        <v>864</v>
      </c>
      <c r="F168" t="s">
        <v>865</v>
      </c>
      <c r="G168" t="s">
        <v>320</v>
      </c>
      <c r="H168" t="s">
        <v>322</v>
      </c>
      <c r="I168" t="s">
        <v>372</v>
      </c>
      <c r="J168" t="s">
        <v>372</v>
      </c>
      <c r="K168" t="s">
        <v>338</v>
      </c>
      <c r="L168" t="s">
        <v>4466</v>
      </c>
      <c r="M168" t="s">
        <v>4467</v>
      </c>
      <c r="N168" t="s">
        <v>4468</v>
      </c>
      <c r="O168" t="s">
        <v>180</v>
      </c>
      <c r="P168" t="s">
        <v>184</v>
      </c>
    </row>
    <row r="169" spans="1:16" x14ac:dyDescent="0.25">
      <c r="A169">
        <v>206718</v>
      </c>
      <c r="B169" t="s">
        <v>263</v>
      </c>
      <c r="C169" t="s">
        <v>2136</v>
      </c>
      <c r="D169" t="s">
        <v>507</v>
      </c>
      <c r="E169" t="s">
        <v>2137</v>
      </c>
      <c r="F169" t="s">
        <v>2138</v>
      </c>
      <c r="G169" t="s">
        <v>319</v>
      </c>
      <c r="H169" t="s">
        <v>323</v>
      </c>
      <c r="I169" t="s">
        <v>363</v>
      </c>
      <c r="J169" t="s">
        <v>372</v>
      </c>
      <c r="K169" t="s">
        <v>336</v>
      </c>
      <c r="L169" t="s">
        <v>5093</v>
      </c>
      <c r="M169" t="s">
        <v>5094</v>
      </c>
      <c r="N169" t="s">
        <v>2139</v>
      </c>
      <c r="O169" t="s">
        <v>187</v>
      </c>
      <c r="P169" t="s">
        <v>178</v>
      </c>
    </row>
    <row r="170" spans="1:16" x14ac:dyDescent="0.25">
      <c r="A170">
        <v>199792</v>
      </c>
      <c r="B170" t="s">
        <v>263</v>
      </c>
      <c r="C170" t="s">
        <v>294</v>
      </c>
      <c r="D170" t="s">
        <v>482</v>
      </c>
      <c r="E170" t="s">
        <v>1186</v>
      </c>
      <c r="F170" t="s">
        <v>1187</v>
      </c>
      <c r="G170" t="s">
        <v>317</v>
      </c>
      <c r="H170" t="s">
        <v>321</v>
      </c>
      <c r="I170" t="s">
        <v>360</v>
      </c>
      <c r="J170" t="s">
        <v>393</v>
      </c>
      <c r="K170" t="s">
        <v>329</v>
      </c>
      <c r="L170" t="s">
        <v>4701</v>
      </c>
      <c r="M170" t="s">
        <v>4702</v>
      </c>
      <c r="N170" t="s">
        <v>361</v>
      </c>
      <c r="O170" t="s">
        <v>310</v>
      </c>
      <c r="P170" t="s">
        <v>178</v>
      </c>
    </row>
    <row r="171" spans="1:16" x14ac:dyDescent="0.25">
      <c r="A171">
        <v>370718</v>
      </c>
      <c r="B171" t="s">
        <v>263</v>
      </c>
      <c r="C171" t="s">
        <v>1537</v>
      </c>
      <c r="D171" t="s">
        <v>493</v>
      </c>
      <c r="E171" t="s">
        <v>1538</v>
      </c>
      <c r="F171" t="s">
        <v>1539</v>
      </c>
      <c r="G171" t="s">
        <v>160</v>
      </c>
      <c r="H171" t="s">
        <v>160</v>
      </c>
      <c r="I171" t="s">
        <v>160</v>
      </c>
      <c r="J171" t="s">
        <v>160</v>
      </c>
      <c r="K171" t="s">
        <v>160</v>
      </c>
      <c r="L171" t="s">
        <v>495</v>
      </c>
      <c r="M171" t="s">
        <v>495</v>
      </c>
      <c r="N171" t="s">
        <v>160</v>
      </c>
      <c r="O171" t="s">
        <v>1389</v>
      </c>
      <c r="P171" t="s">
        <v>178</v>
      </c>
    </row>
    <row r="172" spans="1:16" x14ac:dyDescent="0.25">
      <c r="A172">
        <v>362620</v>
      </c>
      <c r="B172" t="s">
        <v>263</v>
      </c>
      <c r="C172" t="s">
        <v>2133</v>
      </c>
      <c r="D172" t="s">
        <v>478</v>
      </c>
      <c r="E172" t="s">
        <v>2134</v>
      </c>
      <c r="F172" t="s">
        <v>2135</v>
      </c>
      <c r="G172" t="s">
        <v>160</v>
      </c>
      <c r="H172" t="s">
        <v>160</v>
      </c>
      <c r="I172" t="s">
        <v>160</v>
      </c>
      <c r="J172" t="s">
        <v>160</v>
      </c>
      <c r="K172" t="s">
        <v>160</v>
      </c>
      <c r="L172" t="s">
        <v>495</v>
      </c>
      <c r="M172" t="s">
        <v>495</v>
      </c>
      <c r="N172" t="s">
        <v>160</v>
      </c>
      <c r="O172" t="s">
        <v>1464</v>
      </c>
      <c r="P172" t="s">
        <v>178</v>
      </c>
    </row>
    <row r="173" spans="1:16" x14ac:dyDescent="0.25">
      <c r="A173">
        <v>172225</v>
      </c>
      <c r="B173" t="s">
        <v>263</v>
      </c>
      <c r="C173" t="s">
        <v>2253</v>
      </c>
      <c r="D173" t="s">
        <v>486</v>
      </c>
      <c r="E173" t="s">
        <v>2254</v>
      </c>
      <c r="F173" t="s">
        <v>2255</v>
      </c>
      <c r="G173" t="s">
        <v>319</v>
      </c>
      <c r="H173" t="s">
        <v>322</v>
      </c>
      <c r="I173" t="s">
        <v>337</v>
      </c>
      <c r="J173" t="s">
        <v>337</v>
      </c>
      <c r="K173" t="s">
        <v>325</v>
      </c>
      <c r="L173" t="s">
        <v>5143</v>
      </c>
      <c r="M173" t="s">
        <v>5144</v>
      </c>
      <c r="N173" t="s">
        <v>5145</v>
      </c>
      <c r="O173" t="s">
        <v>179</v>
      </c>
      <c r="P173" t="s">
        <v>178</v>
      </c>
    </row>
    <row r="174" spans="1:16" x14ac:dyDescent="0.25">
      <c r="A174">
        <v>447244</v>
      </c>
      <c r="B174" t="s">
        <v>263</v>
      </c>
      <c r="C174" t="s">
        <v>313</v>
      </c>
      <c r="D174" t="s">
        <v>494</v>
      </c>
      <c r="E174" t="s">
        <v>866</v>
      </c>
      <c r="F174" t="s">
        <v>867</v>
      </c>
      <c r="G174" t="s">
        <v>319</v>
      </c>
      <c r="H174" t="s">
        <v>323</v>
      </c>
      <c r="I174" t="s">
        <v>344</v>
      </c>
      <c r="J174" t="s">
        <v>344</v>
      </c>
      <c r="K174" t="s">
        <v>325</v>
      </c>
      <c r="L174" t="s">
        <v>317</v>
      </c>
      <c r="M174" t="s">
        <v>5221</v>
      </c>
      <c r="N174" t="s">
        <v>5222</v>
      </c>
      <c r="O174" t="s">
        <v>179</v>
      </c>
      <c r="P174" t="s">
        <v>178</v>
      </c>
    </row>
    <row r="175" spans="1:16" x14ac:dyDescent="0.25">
      <c r="A175">
        <v>260428</v>
      </c>
      <c r="B175" t="s">
        <v>263</v>
      </c>
      <c r="C175" t="s">
        <v>2170</v>
      </c>
      <c r="D175" t="s">
        <v>482</v>
      </c>
      <c r="E175" t="s">
        <v>2171</v>
      </c>
      <c r="F175" t="s">
        <v>2172</v>
      </c>
      <c r="G175" t="s">
        <v>317</v>
      </c>
      <c r="H175" t="s">
        <v>322</v>
      </c>
      <c r="I175" t="s">
        <v>363</v>
      </c>
      <c r="J175" t="s">
        <v>372</v>
      </c>
      <c r="K175" t="s">
        <v>326</v>
      </c>
      <c r="L175" t="s">
        <v>5109</v>
      </c>
      <c r="M175" t="s">
        <v>5110</v>
      </c>
      <c r="N175" t="s">
        <v>5111</v>
      </c>
      <c r="O175" t="s">
        <v>187</v>
      </c>
      <c r="P175" t="s">
        <v>184</v>
      </c>
    </row>
    <row r="176" spans="1:16" x14ac:dyDescent="0.25">
      <c r="A176">
        <v>413948</v>
      </c>
      <c r="B176" t="s">
        <v>263</v>
      </c>
      <c r="C176" t="s">
        <v>1932</v>
      </c>
      <c r="D176" t="s">
        <v>508</v>
      </c>
      <c r="E176" t="s">
        <v>1933</v>
      </c>
      <c r="F176" t="s">
        <v>1934</v>
      </c>
      <c r="G176" t="s">
        <v>319</v>
      </c>
      <c r="H176" t="s">
        <v>321</v>
      </c>
      <c r="I176" t="s">
        <v>344</v>
      </c>
      <c r="J176" t="s">
        <v>344</v>
      </c>
      <c r="K176" t="s">
        <v>326</v>
      </c>
      <c r="L176" t="s">
        <v>5281</v>
      </c>
      <c r="M176" t="s">
        <v>5282</v>
      </c>
      <c r="N176" t="s">
        <v>5283</v>
      </c>
      <c r="O176" t="s">
        <v>192</v>
      </c>
      <c r="P176" t="s">
        <v>178</v>
      </c>
    </row>
    <row r="177" spans="1:16" x14ac:dyDescent="0.25">
      <c r="A177">
        <v>261720</v>
      </c>
      <c r="B177" t="s">
        <v>263</v>
      </c>
      <c r="C177" t="s">
        <v>194</v>
      </c>
      <c r="D177" t="s">
        <v>482</v>
      </c>
      <c r="E177" t="s">
        <v>868</v>
      </c>
      <c r="F177" t="s">
        <v>869</v>
      </c>
      <c r="G177" t="s">
        <v>319</v>
      </c>
      <c r="H177" t="s">
        <v>322</v>
      </c>
      <c r="I177" t="s">
        <v>363</v>
      </c>
      <c r="J177" t="s">
        <v>363</v>
      </c>
      <c r="K177" t="s">
        <v>329</v>
      </c>
      <c r="L177" t="s">
        <v>758</v>
      </c>
      <c r="M177" t="s">
        <v>4469</v>
      </c>
      <c r="N177" t="s">
        <v>160</v>
      </c>
      <c r="O177" t="s">
        <v>308</v>
      </c>
      <c r="P177" t="s">
        <v>178</v>
      </c>
    </row>
    <row r="178" spans="1:16" x14ac:dyDescent="0.25">
      <c r="A178">
        <v>436126</v>
      </c>
      <c r="B178" t="s">
        <v>263</v>
      </c>
      <c r="C178" t="s">
        <v>1890</v>
      </c>
      <c r="D178" t="s">
        <v>494</v>
      </c>
      <c r="E178" t="s">
        <v>1891</v>
      </c>
      <c r="F178" t="s">
        <v>1892</v>
      </c>
      <c r="G178" t="s">
        <v>317</v>
      </c>
      <c r="H178" t="s">
        <v>322</v>
      </c>
      <c r="I178" t="s">
        <v>363</v>
      </c>
      <c r="J178" t="s">
        <v>372</v>
      </c>
      <c r="K178" t="s">
        <v>329</v>
      </c>
      <c r="L178" t="s">
        <v>5264</v>
      </c>
      <c r="M178" t="s">
        <v>5265</v>
      </c>
      <c r="N178" t="s">
        <v>1592</v>
      </c>
      <c r="O178" t="s">
        <v>310</v>
      </c>
      <c r="P178" t="s">
        <v>178</v>
      </c>
    </row>
    <row r="179" spans="1:16" x14ac:dyDescent="0.25">
      <c r="A179">
        <v>394729</v>
      </c>
      <c r="B179" t="s">
        <v>263</v>
      </c>
      <c r="C179" t="s">
        <v>1613</v>
      </c>
      <c r="D179" t="s">
        <v>478</v>
      </c>
      <c r="E179" t="s">
        <v>1614</v>
      </c>
      <c r="F179" t="s">
        <v>1615</v>
      </c>
      <c r="G179" t="s">
        <v>160</v>
      </c>
      <c r="H179" t="s">
        <v>160</v>
      </c>
      <c r="I179" t="s">
        <v>160</v>
      </c>
      <c r="J179" t="s">
        <v>160</v>
      </c>
      <c r="K179" t="s">
        <v>160</v>
      </c>
      <c r="L179" t="s">
        <v>495</v>
      </c>
      <c r="M179" t="s">
        <v>495</v>
      </c>
      <c r="N179" t="s">
        <v>160</v>
      </c>
      <c r="O179" t="s">
        <v>1464</v>
      </c>
      <c r="P179" t="s">
        <v>178</v>
      </c>
    </row>
    <row r="180" spans="1:16" x14ac:dyDescent="0.25">
      <c r="A180">
        <v>1472</v>
      </c>
      <c r="B180" t="s">
        <v>263</v>
      </c>
      <c r="C180" t="s">
        <v>4117</v>
      </c>
      <c r="D180" t="s">
        <v>542</v>
      </c>
      <c r="E180" t="s">
        <v>5303</v>
      </c>
      <c r="F180" t="s">
        <v>4119</v>
      </c>
      <c r="G180" t="s">
        <v>317</v>
      </c>
      <c r="H180" t="s">
        <v>325</v>
      </c>
      <c r="I180" t="s">
        <v>351</v>
      </c>
      <c r="J180" t="s">
        <v>351</v>
      </c>
      <c r="K180" t="s">
        <v>326</v>
      </c>
      <c r="L180" t="s">
        <v>5304</v>
      </c>
      <c r="M180" t="s">
        <v>5305</v>
      </c>
      <c r="N180" t="s">
        <v>5306</v>
      </c>
      <c r="O180" t="s">
        <v>180</v>
      </c>
      <c r="P180" t="s">
        <v>178</v>
      </c>
    </row>
    <row r="181" spans="1:16" x14ac:dyDescent="0.25">
      <c r="A181">
        <v>157354</v>
      </c>
      <c r="B181" t="s">
        <v>263</v>
      </c>
      <c r="C181" t="s">
        <v>287</v>
      </c>
      <c r="D181" t="s">
        <v>497</v>
      </c>
      <c r="E181" t="s">
        <v>870</v>
      </c>
      <c r="F181" t="s">
        <v>871</v>
      </c>
      <c r="G181" t="s">
        <v>319</v>
      </c>
      <c r="H181" t="s">
        <v>321</v>
      </c>
      <c r="I181" t="s">
        <v>360</v>
      </c>
      <c r="J181" t="s">
        <v>393</v>
      </c>
      <c r="K181" t="s">
        <v>335</v>
      </c>
      <c r="L181" t="s">
        <v>4470</v>
      </c>
      <c r="M181" t="s">
        <v>4471</v>
      </c>
      <c r="N181" t="s">
        <v>2332</v>
      </c>
      <c r="O181" t="s">
        <v>187</v>
      </c>
      <c r="P181" t="s">
        <v>178</v>
      </c>
    </row>
    <row r="182" spans="1:16" x14ac:dyDescent="0.25">
      <c r="A182">
        <v>336986</v>
      </c>
      <c r="B182" t="s">
        <v>263</v>
      </c>
      <c r="C182" t="s">
        <v>395</v>
      </c>
      <c r="D182" t="s">
        <v>478</v>
      </c>
      <c r="E182" t="s">
        <v>1188</v>
      </c>
      <c r="F182" t="s">
        <v>1189</v>
      </c>
      <c r="G182" t="s">
        <v>317</v>
      </c>
      <c r="H182" t="s">
        <v>322</v>
      </c>
      <c r="I182" t="s">
        <v>372</v>
      </c>
      <c r="J182" t="s">
        <v>372</v>
      </c>
      <c r="K182" t="s">
        <v>329</v>
      </c>
      <c r="L182" t="s">
        <v>4703</v>
      </c>
      <c r="M182" t="s">
        <v>4704</v>
      </c>
      <c r="N182" t="s">
        <v>4705</v>
      </c>
      <c r="O182" t="s">
        <v>310</v>
      </c>
      <c r="P182" t="s">
        <v>178</v>
      </c>
    </row>
    <row r="183" spans="1:16" x14ac:dyDescent="0.25">
      <c r="A183">
        <v>236639</v>
      </c>
      <c r="B183" t="s">
        <v>263</v>
      </c>
      <c r="C183" t="s">
        <v>80</v>
      </c>
      <c r="D183" t="s">
        <v>482</v>
      </c>
      <c r="E183" t="s">
        <v>872</v>
      </c>
      <c r="F183" t="s">
        <v>873</v>
      </c>
      <c r="G183" t="s">
        <v>319</v>
      </c>
      <c r="H183" t="s">
        <v>323</v>
      </c>
      <c r="I183" t="s">
        <v>329</v>
      </c>
      <c r="J183" t="s">
        <v>344</v>
      </c>
      <c r="K183" t="s">
        <v>326</v>
      </c>
      <c r="L183" t="s">
        <v>490</v>
      </c>
      <c r="M183" t="s">
        <v>4472</v>
      </c>
      <c r="N183" t="s">
        <v>4473</v>
      </c>
      <c r="O183" t="s">
        <v>180</v>
      </c>
      <c r="P183" t="s">
        <v>178</v>
      </c>
    </row>
    <row r="184" spans="1:16" x14ac:dyDescent="0.25">
      <c r="A184">
        <v>100901</v>
      </c>
      <c r="B184" t="s">
        <v>263</v>
      </c>
      <c r="C184" t="s">
        <v>2123</v>
      </c>
      <c r="D184" t="s">
        <v>518</v>
      </c>
      <c r="E184" t="s">
        <v>2124</v>
      </c>
      <c r="F184" t="s">
        <v>2125</v>
      </c>
      <c r="G184" t="s">
        <v>319</v>
      </c>
      <c r="H184" t="s">
        <v>323</v>
      </c>
      <c r="I184" t="s">
        <v>363</v>
      </c>
      <c r="J184" t="s">
        <v>363</v>
      </c>
      <c r="K184" t="s">
        <v>329</v>
      </c>
      <c r="L184" t="s">
        <v>2126</v>
      </c>
      <c r="M184" t="s">
        <v>4375</v>
      </c>
      <c r="N184" t="s">
        <v>4376</v>
      </c>
      <c r="O184" t="s">
        <v>309</v>
      </c>
      <c r="P184" t="s">
        <v>184</v>
      </c>
    </row>
    <row r="185" spans="1:16" x14ac:dyDescent="0.25">
      <c r="A185">
        <v>420087</v>
      </c>
      <c r="B185" t="s">
        <v>263</v>
      </c>
      <c r="C185" t="s">
        <v>60</v>
      </c>
      <c r="D185" t="s">
        <v>508</v>
      </c>
      <c r="E185" t="s">
        <v>874</v>
      </c>
      <c r="F185" t="s">
        <v>875</v>
      </c>
      <c r="G185" t="s">
        <v>320</v>
      </c>
      <c r="H185" t="s">
        <v>341</v>
      </c>
      <c r="I185" t="s">
        <v>344</v>
      </c>
      <c r="J185" t="s">
        <v>344</v>
      </c>
      <c r="K185" t="s">
        <v>326</v>
      </c>
      <c r="L185" t="s">
        <v>5223</v>
      </c>
      <c r="M185" t="s">
        <v>5224</v>
      </c>
      <c r="N185" t="s">
        <v>1768</v>
      </c>
      <c r="O185" t="s">
        <v>186</v>
      </c>
      <c r="P185" t="s">
        <v>178</v>
      </c>
    </row>
    <row r="186" spans="1:16" x14ac:dyDescent="0.25">
      <c r="A186">
        <v>261140</v>
      </c>
      <c r="B186" t="s">
        <v>263</v>
      </c>
      <c r="C186" t="s">
        <v>79</v>
      </c>
      <c r="D186" t="s">
        <v>491</v>
      </c>
      <c r="E186" t="s">
        <v>876</v>
      </c>
      <c r="F186" t="s">
        <v>877</v>
      </c>
      <c r="G186" t="s">
        <v>319</v>
      </c>
      <c r="H186" t="s">
        <v>326</v>
      </c>
      <c r="I186" t="s">
        <v>322</v>
      </c>
      <c r="J186" t="s">
        <v>351</v>
      </c>
      <c r="K186" t="s">
        <v>323</v>
      </c>
      <c r="L186" t="s">
        <v>317</v>
      </c>
      <c r="M186" t="s">
        <v>492</v>
      </c>
      <c r="N186" t="s">
        <v>4474</v>
      </c>
      <c r="O186" t="s">
        <v>181</v>
      </c>
      <c r="P186" t="s">
        <v>178</v>
      </c>
    </row>
    <row r="187" spans="1:16" x14ac:dyDescent="0.25">
      <c r="A187">
        <v>334712</v>
      </c>
      <c r="B187" t="s">
        <v>263</v>
      </c>
      <c r="C187" t="s">
        <v>85</v>
      </c>
      <c r="D187" t="s">
        <v>493</v>
      </c>
      <c r="E187" t="s">
        <v>878</v>
      </c>
      <c r="F187" t="s">
        <v>879</v>
      </c>
      <c r="G187" t="s">
        <v>319</v>
      </c>
      <c r="H187" t="s">
        <v>321</v>
      </c>
      <c r="I187" t="s">
        <v>344</v>
      </c>
      <c r="J187" t="s">
        <v>360</v>
      </c>
      <c r="K187" t="s">
        <v>333</v>
      </c>
      <c r="L187" t="s">
        <v>319</v>
      </c>
      <c r="M187" t="s">
        <v>4475</v>
      </c>
      <c r="N187" t="s">
        <v>4476</v>
      </c>
      <c r="O187" t="s">
        <v>182</v>
      </c>
      <c r="P187" t="s">
        <v>178</v>
      </c>
    </row>
    <row r="188" spans="1:16" x14ac:dyDescent="0.25">
      <c r="A188">
        <v>311896</v>
      </c>
      <c r="B188" t="s">
        <v>263</v>
      </c>
      <c r="C188" t="s">
        <v>2271</v>
      </c>
      <c r="D188" t="s">
        <v>160</v>
      </c>
      <c r="E188" t="s">
        <v>2272</v>
      </c>
      <c r="F188" t="s">
        <v>2273</v>
      </c>
      <c r="G188" t="s">
        <v>317</v>
      </c>
      <c r="H188" t="s">
        <v>495</v>
      </c>
      <c r="I188" t="s">
        <v>160</v>
      </c>
      <c r="J188" t="s">
        <v>160</v>
      </c>
      <c r="K188" t="s">
        <v>160</v>
      </c>
      <c r="L188" t="s">
        <v>495</v>
      </c>
      <c r="M188" t="s">
        <v>319</v>
      </c>
      <c r="N188" t="s">
        <v>160</v>
      </c>
      <c r="O188" t="s">
        <v>1436</v>
      </c>
      <c r="P188" t="s">
        <v>178</v>
      </c>
    </row>
    <row r="189" spans="1:16" x14ac:dyDescent="0.25">
      <c r="A189">
        <v>258</v>
      </c>
      <c r="B189" t="s">
        <v>263</v>
      </c>
      <c r="C189" t="s">
        <v>45</v>
      </c>
      <c r="D189" t="s">
        <v>500</v>
      </c>
      <c r="E189" t="s">
        <v>880</v>
      </c>
      <c r="F189" t="s">
        <v>881</v>
      </c>
      <c r="G189" t="s">
        <v>319</v>
      </c>
      <c r="H189" t="s">
        <v>323</v>
      </c>
      <c r="I189" t="s">
        <v>322</v>
      </c>
      <c r="J189" t="s">
        <v>351</v>
      </c>
      <c r="K189" t="s">
        <v>326</v>
      </c>
      <c r="L189" t="s">
        <v>4179</v>
      </c>
      <c r="M189" t="s">
        <v>4180</v>
      </c>
      <c r="N189" t="s">
        <v>4181</v>
      </c>
      <c r="O189" t="s">
        <v>186</v>
      </c>
      <c r="P189" t="s">
        <v>178</v>
      </c>
    </row>
    <row r="190" spans="1:16" x14ac:dyDescent="0.25">
      <c r="A190">
        <v>175914</v>
      </c>
      <c r="B190" t="s">
        <v>263</v>
      </c>
      <c r="C190" t="s">
        <v>2292</v>
      </c>
      <c r="D190" t="s">
        <v>486</v>
      </c>
      <c r="E190" t="s">
        <v>2293</v>
      </c>
      <c r="F190" t="s">
        <v>2294</v>
      </c>
      <c r="G190" t="s">
        <v>319</v>
      </c>
      <c r="H190" t="s">
        <v>322</v>
      </c>
      <c r="I190" t="s">
        <v>532</v>
      </c>
      <c r="J190" t="s">
        <v>547</v>
      </c>
      <c r="K190" t="s">
        <v>336</v>
      </c>
      <c r="L190" t="s">
        <v>5152</v>
      </c>
      <c r="M190" t="s">
        <v>5153</v>
      </c>
      <c r="N190" t="s">
        <v>2295</v>
      </c>
      <c r="O190" t="s">
        <v>187</v>
      </c>
      <c r="P190" t="s">
        <v>178</v>
      </c>
    </row>
    <row r="191" spans="1:16" x14ac:dyDescent="0.25">
      <c r="A191">
        <v>172</v>
      </c>
      <c r="B191" t="s">
        <v>263</v>
      </c>
      <c r="C191" t="s">
        <v>19</v>
      </c>
      <c r="D191" t="s">
        <v>500</v>
      </c>
      <c r="E191" t="s">
        <v>882</v>
      </c>
      <c r="F191" t="s">
        <v>883</v>
      </c>
      <c r="G191" t="s">
        <v>320</v>
      </c>
      <c r="H191" t="s">
        <v>323</v>
      </c>
      <c r="I191" t="s">
        <v>351</v>
      </c>
      <c r="J191" t="s">
        <v>351</v>
      </c>
      <c r="K191" t="s">
        <v>329</v>
      </c>
      <c r="L191" t="s">
        <v>4182</v>
      </c>
      <c r="M191" t="s">
        <v>785</v>
      </c>
      <c r="N191" t="s">
        <v>4183</v>
      </c>
      <c r="O191" t="s">
        <v>180</v>
      </c>
      <c r="P191" t="s">
        <v>178</v>
      </c>
    </row>
    <row r="192" spans="1:16" x14ac:dyDescent="0.25">
      <c r="A192">
        <v>136063</v>
      </c>
      <c r="B192" t="s">
        <v>263</v>
      </c>
      <c r="C192" t="s">
        <v>1800</v>
      </c>
      <c r="D192" t="s">
        <v>536</v>
      </c>
      <c r="E192" t="s">
        <v>1801</v>
      </c>
      <c r="F192" t="s">
        <v>1802</v>
      </c>
      <c r="G192" t="s">
        <v>319</v>
      </c>
      <c r="H192" t="s">
        <v>322</v>
      </c>
      <c r="I192" t="s">
        <v>363</v>
      </c>
      <c r="J192" t="s">
        <v>363</v>
      </c>
      <c r="K192" t="s">
        <v>329</v>
      </c>
      <c r="L192" t="s">
        <v>1803</v>
      </c>
      <c r="M192" t="s">
        <v>4361</v>
      </c>
      <c r="N192" t="s">
        <v>4362</v>
      </c>
      <c r="O192" t="s">
        <v>180</v>
      </c>
      <c r="P192" t="s">
        <v>184</v>
      </c>
    </row>
    <row r="193" spans="1:16" x14ac:dyDescent="0.25">
      <c r="A193">
        <v>65244</v>
      </c>
      <c r="B193" t="s">
        <v>263</v>
      </c>
      <c r="C193" t="s">
        <v>125</v>
      </c>
      <c r="D193" t="s">
        <v>479</v>
      </c>
      <c r="E193" t="s">
        <v>884</v>
      </c>
      <c r="F193" t="s">
        <v>885</v>
      </c>
      <c r="G193" t="s">
        <v>319</v>
      </c>
      <c r="H193" t="s">
        <v>321</v>
      </c>
      <c r="I193" t="s">
        <v>351</v>
      </c>
      <c r="J193" t="s">
        <v>351</v>
      </c>
      <c r="K193" t="s">
        <v>329</v>
      </c>
      <c r="L193" t="s">
        <v>600</v>
      </c>
      <c r="M193" t="s">
        <v>4184</v>
      </c>
      <c r="N193" t="s">
        <v>4185</v>
      </c>
      <c r="O193" t="s">
        <v>180</v>
      </c>
      <c r="P193" t="s">
        <v>184</v>
      </c>
    </row>
    <row r="194" spans="1:16" x14ac:dyDescent="0.25">
      <c r="A194">
        <v>302723</v>
      </c>
      <c r="B194" t="s">
        <v>263</v>
      </c>
      <c r="C194" t="s">
        <v>2352</v>
      </c>
      <c r="D194" t="s">
        <v>480</v>
      </c>
      <c r="E194" t="s">
        <v>2353</v>
      </c>
      <c r="F194" t="s">
        <v>2354</v>
      </c>
      <c r="G194" t="s">
        <v>320</v>
      </c>
      <c r="H194" t="s">
        <v>325</v>
      </c>
      <c r="I194" t="s">
        <v>532</v>
      </c>
      <c r="J194" t="s">
        <v>547</v>
      </c>
      <c r="K194" t="s">
        <v>336</v>
      </c>
      <c r="L194" t="s">
        <v>2355</v>
      </c>
      <c r="M194" t="s">
        <v>5177</v>
      </c>
      <c r="N194" t="s">
        <v>5178</v>
      </c>
      <c r="O194" t="s">
        <v>193</v>
      </c>
      <c r="P194" t="s">
        <v>184</v>
      </c>
    </row>
    <row r="195" spans="1:16" x14ac:dyDescent="0.25">
      <c r="A195">
        <v>296912</v>
      </c>
      <c r="B195" t="s">
        <v>263</v>
      </c>
      <c r="C195" t="s">
        <v>1385</v>
      </c>
      <c r="D195" t="s">
        <v>480</v>
      </c>
      <c r="E195" t="s">
        <v>1390</v>
      </c>
      <c r="F195" t="s">
        <v>1391</v>
      </c>
      <c r="G195" t="s">
        <v>319</v>
      </c>
      <c r="H195" t="s">
        <v>321</v>
      </c>
      <c r="I195" t="s">
        <v>344</v>
      </c>
      <c r="J195" t="s">
        <v>360</v>
      </c>
      <c r="K195" t="s">
        <v>329</v>
      </c>
      <c r="L195" t="s">
        <v>4893</v>
      </c>
      <c r="M195" t="s">
        <v>4894</v>
      </c>
      <c r="N195" t="s">
        <v>4895</v>
      </c>
      <c r="O195" t="s">
        <v>187</v>
      </c>
      <c r="P195" t="s">
        <v>178</v>
      </c>
    </row>
    <row r="196" spans="1:16" x14ac:dyDescent="0.25">
      <c r="A196">
        <v>314893</v>
      </c>
      <c r="B196" t="s">
        <v>263</v>
      </c>
      <c r="C196" t="s">
        <v>2196</v>
      </c>
      <c r="D196" t="s">
        <v>480</v>
      </c>
      <c r="E196" t="s">
        <v>2197</v>
      </c>
      <c r="F196" t="s">
        <v>2198</v>
      </c>
      <c r="G196" t="s">
        <v>317</v>
      </c>
      <c r="H196" t="s">
        <v>322</v>
      </c>
      <c r="I196" t="s">
        <v>363</v>
      </c>
      <c r="J196" t="s">
        <v>372</v>
      </c>
      <c r="K196" t="s">
        <v>333</v>
      </c>
      <c r="L196" t="s">
        <v>2199</v>
      </c>
      <c r="M196" t="s">
        <v>5124</v>
      </c>
      <c r="N196" t="s">
        <v>5125</v>
      </c>
      <c r="O196" t="s">
        <v>183</v>
      </c>
      <c r="P196" t="s">
        <v>184</v>
      </c>
    </row>
    <row r="197" spans="1:16" x14ac:dyDescent="0.25">
      <c r="A197">
        <v>370164</v>
      </c>
      <c r="B197" t="s">
        <v>263</v>
      </c>
      <c r="C197" t="s">
        <v>354</v>
      </c>
      <c r="D197" t="s">
        <v>478</v>
      </c>
      <c r="E197" t="s">
        <v>1190</v>
      </c>
      <c r="F197" t="s">
        <v>1191</v>
      </c>
      <c r="G197" t="s">
        <v>321</v>
      </c>
      <c r="H197" t="s">
        <v>326</v>
      </c>
      <c r="I197" t="s">
        <v>351</v>
      </c>
      <c r="J197" t="s">
        <v>351</v>
      </c>
      <c r="K197" t="s">
        <v>326</v>
      </c>
      <c r="L197" t="s">
        <v>1789</v>
      </c>
      <c r="M197" t="s">
        <v>4706</v>
      </c>
      <c r="N197" t="s">
        <v>4707</v>
      </c>
      <c r="O197" t="s">
        <v>179</v>
      </c>
      <c r="P197" t="s">
        <v>184</v>
      </c>
    </row>
    <row r="198" spans="1:16" x14ac:dyDescent="0.25">
      <c r="A198">
        <v>142296</v>
      </c>
      <c r="B198" t="s">
        <v>263</v>
      </c>
      <c r="C198" t="s">
        <v>378</v>
      </c>
      <c r="D198" t="s">
        <v>536</v>
      </c>
      <c r="E198" t="s">
        <v>1192</v>
      </c>
      <c r="F198" t="s">
        <v>1193</v>
      </c>
      <c r="G198" t="s">
        <v>320</v>
      </c>
      <c r="H198" t="s">
        <v>344</v>
      </c>
      <c r="I198" t="s">
        <v>351</v>
      </c>
      <c r="J198" t="s">
        <v>351</v>
      </c>
      <c r="K198" t="s">
        <v>335</v>
      </c>
      <c r="L198" t="s">
        <v>668</v>
      </c>
      <c r="M198" t="s">
        <v>4708</v>
      </c>
      <c r="N198" t="s">
        <v>4709</v>
      </c>
      <c r="O198" t="s">
        <v>179</v>
      </c>
      <c r="P198" t="s">
        <v>178</v>
      </c>
    </row>
    <row r="199" spans="1:16" x14ac:dyDescent="0.25">
      <c r="A199">
        <v>220308</v>
      </c>
      <c r="B199" t="s">
        <v>263</v>
      </c>
      <c r="C199" t="s">
        <v>1703</v>
      </c>
      <c r="D199" t="s">
        <v>507</v>
      </c>
      <c r="E199" t="s">
        <v>1704</v>
      </c>
      <c r="F199" t="s">
        <v>1705</v>
      </c>
      <c r="G199" t="s">
        <v>317</v>
      </c>
      <c r="H199" t="s">
        <v>321</v>
      </c>
      <c r="I199" t="s">
        <v>372</v>
      </c>
      <c r="J199" t="s">
        <v>519</v>
      </c>
      <c r="K199" t="s">
        <v>333</v>
      </c>
      <c r="L199" t="s">
        <v>4940</v>
      </c>
      <c r="M199" t="s">
        <v>4941</v>
      </c>
      <c r="N199" t="s">
        <v>335</v>
      </c>
      <c r="O199" t="s">
        <v>187</v>
      </c>
      <c r="P199" t="s">
        <v>178</v>
      </c>
    </row>
    <row r="200" spans="1:16" x14ac:dyDescent="0.25">
      <c r="A200">
        <v>31481</v>
      </c>
      <c r="B200" t="s">
        <v>263</v>
      </c>
      <c r="C200" t="s">
        <v>240</v>
      </c>
      <c r="D200" t="s">
        <v>522</v>
      </c>
      <c r="E200" t="s">
        <v>1194</v>
      </c>
      <c r="F200" t="s">
        <v>1195</v>
      </c>
      <c r="G200" t="s">
        <v>319</v>
      </c>
      <c r="H200" t="s">
        <v>321</v>
      </c>
      <c r="I200" t="s">
        <v>372</v>
      </c>
      <c r="J200" t="s">
        <v>372</v>
      </c>
      <c r="K200" t="s">
        <v>329</v>
      </c>
      <c r="L200" t="s">
        <v>587</v>
      </c>
      <c r="M200" t="s">
        <v>4273</v>
      </c>
      <c r="N200" t="s">
        <v>4274</v>
      </c>
      <c r="O200" t="s">
        <v>193</v>
      </c>
      <c r="P200" t="s">
        <v>178</v>
      </c>
    </row>
    <row r="201" spans="1:16" x14ac:dyDescent="0.25">
      <c r="A201">
        <v>336794</v>
      </c>
      <c r="B201" t="s">
        <v>263</v>
      </c>
      <c r="C201" t="s">
        <v>1764</v>
      </c>
      <c r="D201" t="s">
        <v>483</v>
      </c>
      <c r="E201" t="s">
        <v>1765</v>
      </c>
      <c r="F201" t="s">
        <v>1766</v>
      </c>
      <c r="G201" t="s">
        <v>319</v>
      </c>
      <c r="H201" t="s">
        <v>321</v>
      </c>
      <c r="I201" t="s">
        <v>344</v>
      </c>
      <c r="J201" t="s">
        <v>351</v>
      </c>
      <c r="K201" t="s">
        <v>326</v>
      </c>
      <c r="L201" t="s">
        <v>1767</v>
      </c>
      <c r="M201" t="s">
        <v>4955</v>
      </c>
      <c r="N201" t="s">
        <v>4956</v>
      </c>
      <c r="O201" t="s">
        <v>309</v>
      </c>
      <c r="P201" t="s">
        <v>178</v>
      </c>
    </row>
    <row r="202" spans="1:16" x14ac:dyDescent="0.25">
      <c r="A202">
        <v>361840</v>
      </c>
      <c r="B202" t="s">
        <v>263</v>
      </c>
      <c r="C202" t="s">
        <v>276</v>
      </c>
      <c r="D202" t="s">
        <v>493</v>
      </c>
      <c r="E202" t="s">
        <v>886</v>
      </c>
      <c r="F202" t="s">
        <v>887</v>
      </c>
      <c r="G202" t="s">
        <v>317</v>
      </c>
      <c r="H202" t="s">
        <v>321</v>
      </c>
      <c r="I202" t="s">
        <v>337</v>
      </c>
      <c r="J202" t="s">
        <v>337</v>
      </c>
      <c r="K202" t="s">
        <v>329</v>
      </c>
      <c r="L202" t="s">
        <v>319</v>
      </c>
      <c r="M202" t="s">
        <v>4477</v>
      </c>
      <c r="N202" t="s">
        <v>4478</v>
      </c>
      <c r="O202" t="s">
        <v>181</v>
      </c>
      <c r="P202" t="s">
        <v>184</v>
      </c>
    </row>
    <row r="203" spans="1:16" x14ac:dyDescent="0.25">
      <c r="A203">
        <v>391274</v>
      </c>
      <c r="B203" t="s">
        <v>263</v>
      </c>
      <c r="C203" t="s">
        <v>1558</v>
      </c>
      <c r="D203" t="s">
        <v>478</v>
      </c>
      <c r="E203" t="s">
        <v>1559</v>
      </c>
      <c r="F203" t="s">
        <v>1560</v>
      </c>
      <c r="G203" t="s">
        <v>160</v>
      </c>
      <c r="H203" t="s">
        <v>160</v>
      </c>
      <c r="I203" t="s">
        <v>160</v>
      </c>
      <c r="J203" t="s">
        <v>160</v>
      </c>
      <c r="K203" t="s">
        <v>160</v>
      </c>
      <c r="L203" t="s">
        <v>495</v>
      </c>
      <c r="M203" t="s">
        <v>495</v>
      </c>
      <c r="N203" t="s">
        <v>160</v>
      </c>
      <c r="O203" t="s">
        <v>1464</v>
      </c>
      <c r="P203" t="s">
        <v>178</v>
      </c>
    </row>
    <row r="204" spans="1:16" x14ac:dyDescent="0.25">
      <c r="A204">
        <v>394821</v>
      </c>
      <c r="B204" t="s">
        <v>263</v>
      </c>
      <c r="C204" t="s">
        <v>1528</v>
      </c>
      <c r="D204" t="s">
        <v>491</v>
      </c>
      <c r="E204" t="s">
        <v>1529</v>
      </c>
      <c r="F204" t="s">
        <v>1530</v>
      </c>
      <c r="G204" t="s">
        <v>160</v>
      </c>
      <c r="H204" t="s">
        <v>160</v>
      </c>
      <c r="I204" t="s">
        <v>160</v>
      </c>
      <c r="J204" t="s">
        <v>160</v>
      </c>
      <c r="K204" t="s">
        <v>160</v>
      </c>
      <c r="L204" t="s">
        <v>495</v>
      </c>
      <c r="M204" t="s">
        <v>495</v>
      </c>
      <c r="N204" t="s">
        <v>160</v>
      </c>
      <c r="O204" t="s">
        <v>1464</v>
      </c>
      <c r="P204" t="s">
        <v>178</v>
      </c>
    </row>
    <row r="205" spans="1:16" x14ac:dyDescent="0.25">
      <c r="A205">
        <v>176</v>
      </c>
      <c r="B205" t="s">
        <v>263</v>
      </c>
      <c r="C205" t="s">
        <v>59</v>
      </c>
      <c r="D205" t="s">
        <v>542</v>
      </c>
      <c r="E205" t="s">
        <v>888</v>
      </c>
      <c r="F205" t="s">
        <v>889</v>
      </c>
      <c r="G205" t="s">
        <v>320</v>
      </c>
      <c r="H205" t="s">
        <v>326</v>
      </c>
      <c r="I205" t="s">
        <v>337</v>
      </c>
      <c r="J205" t="s">
        <v>337</v>
      </c>
      <c r="K205" t="s">
        <v>329</v>
      </c>
      <c r="L205" t="s">
        <v>543</v>
      </c>
      <c r="M205" t="s">
        <v>4186</v>
      </c>
      <c r="N205" t="s">
        <v>4187</v>
      </c>
      <c r="O205" t="s">
        <v>189</v>
      </c>
      <c r="P205" t="s">
        <v>178</v>
      </c>
    </row>
    <row r="206" spans="1:16" x14ac:dyDescent="0.25">
      <c r="A206">
        <v>303929</v>
      </c>
      <c r="B206" t="s">
        <v>263</v>
      </c>
      <c r="C206" t="s">
        <v>81</v>
      </c>
      <c r="D206" t="s">
        <v>494</v>
      </c>
      <c r="E206" t="s">
        <v>890</v>
      </c>
      <c r="F206" t="s">
        <v>891</v>
      </c>
      <c r="G206" t="s">
        <v>319</v>
      </c>
      <c r="H206" t="s">
        <v>321</v>
      </c>
      <c r="I206" t="s">
        <v>329</v>
      </c>
      <c r="J206" t="s">
        <v>348</v>
      </c>
      <c r="K206" t="s">
        <v>326</v>
      </c>
      <c r="L206" t="s">
        <v>495</v>
      </c>
      <c r="M206" t="s">
        <v>4479</v>
      </c>
      <c r="N206" t="s">
        <v>160</v>
      </c>
      <c r="O206" t="s">
        <v>183</v>
      </c>
      <c r="P206" t="s">
        <v>184</v>
      </c>
    </row>
    <row r="207" spans="1:16" x14ac:dyDescent="0.25">
      <c r="A207">
        <v>174430</v>
      </c>
      <c r="B207" t="s">
        <v>263</v>
      </c>
      <c r="C207" t="s">
        <v>55</v>
      </c>
      <c r="D207" t="s">
        <v>507</v>
      </c>
      <c r="E207" t="s">
        <v>892</v>
      </c>
      <c r="F207" t="s">
        <v>893</v>
      </c>
      <c r="G207" t="s">
        <v>317</v>
      </c>
      <c r="H207" t="s">
        <v>321</v>
      </c>
      <c r="I207" t="s">
        <v>372</v>
      </c>
      <c r="J207" t="s">
        <v>532</v>
      </c>
      <c r="K207" t="s">
        <v>336</v>
      </c>
      <c r="L207" t="s">
        <v>4480</v>
      </c>
      <c r="M207" t="s">
        <v>4481</v>
      </c>
      <c r="N207" t="s">
        <v>321</v>
      </c>
      <c r="O207" t="s">
        <v>281</v>
      </c>
      <c r="P207" t="s">
        <v>184</v>
      </c>
    </row>
    <row r="208" spans="1:16" x14ac:dyDescent="0.25">
      <c r="A208">
        <v>291457</v>
      </c>
      <c r="B208" t="s">
        <v>263</v>
      </c>
      <c r="C208" t="s">
        <v>1454</v>
      </c>
      <c r="D208" t="s">
        <v>480</v>
      </c>
      <c r="E208" t="s">
        <v>1455</v>
      </c>
      <c r="F208" t="s">
        <v>1456</v>
      </c>
      <c r="G208" t="s">
        <v>317</v>
      </c>
      <c r="H208" t="s">
        <v>321</v>
      </c>
      <c r="I208" t="s">
        <v>351</v>
      </c>
      <c r="J208" t="s">
        <v>532</v>
      </c>
      <c r="K208" t="s">
        <v>336</v>
      </c>
      <c r="L208" t="s">
        <v>4898</v>
      </c>
      <c r="M208" t="s">
        <v>4899</v>
      </c>
      <c r="N208" t="s">
        <v>333</v>
      </c>
      <c r="O208" t="s">
        <v>281</v>
      </c>
      <c r="P208" t="s">
        <v>184</v>
      </c>
    </row>
    <row r="209" spans="1:16" x14ac:dyDescent="0.25">
      <c r="A209">
        <v>192547</v>
      </c>
      <c r="B209" t="s">
        <v>263</v>
      </c>
      <c r="C209" t="s">
        <v>357</v>
      </c>
      <c r="D209" t="s">
        <v>538</v>
      </c>
      <c r="E209" t="s">
        <v>1196</v>
      </c>
      <c r="F209" t="s">
        <v>1197</v>
      </c>
      <c r="G209" t="s">
        <v>319</v>
      </c>
      <c r="H209" t="s">
        <v>322</v>
      </c>
      <c r="I209" t="s">
        <v>329</v>
      </c>
      <c r="J209" t="s">
        <v>337</v>
      </c>
      <c r="K209" t="s">
        <v>321</v>
      </c>
      <c r="L209" t="s">
        <v>317</v>
      </c>
      <c r="M209" t="s">
        <v>4710</v>
      </c>
      <c r="N209" t="s">
        <v>4711</v>
      </c>
      <c r="O209" t="s">
        <v>180</v>
      </c>
      <c r="P209" t="s">
        <v>178</v>
      </c>
    </row>
    <row r="210" spans="1:16" x14ac:dyDescent="0.25">
      <c r="A210">
        <v>403664</v>
      </c>
      <c r="B210" t="s">
        <v>263</v>
      </c>
      <c r="C210" t="s">
        <v>1458</v>
      </c>
      <c r="D210" t="s">
        <v>493</v>
      </c>
      <c r="E210" t="s">
        <v>1459</v>
      </c>
      <c r="F210" t="s">
        <v>1460</v>
      </c>
      <c r="G210" t="s">
        <v>160</v>
      </c>
      <c r="H210" t="s">
        <v>160</v>
      </c>
      <c r="I210" t="s">
        <v>160</v>
      </c>
      <c r="J210" t="s">
        <v>160</v>
      </c>
      <c r="K210" t="s">
        <v>160</v>
      </c>
      <c r="L210" t="s">
        <v>495</v>
      </c>
      <c r="M210" t="s">
        <v>326</v>
      </c>
      <c r="N210" t="s">
        <v>160</v>
      </c>
      <c r="O210" t="s">
        <v>1389</v>
      </c>
      <c r="P210" t="s">
        <v>178</v>
      </c>
    </row>
    <row r="211" spans="1:16" x14ac:dyDescent="0.25">
      <c r="A211">
        <v>146765</v>
      </c>
      <c r="B211" t="s">
        <v>263</v>
      </c>
      <c r="C211" t="s">
        <v>65</v>
      </c>
      <c r="D211" t="s">
        <v>536</v>
      </c>
      <c r="E211" t="s">
        <v>894</v>
      </c>
      <c r="F211" t="s">
        <v>895</v>
      </c>
      <c r="G211" t="s">
        <v>319</v>
      </c>
      <c r="H211" t="s">
        <v>326</v>
      </c>
      <c r="I211" t="s">
        <v>344</v>
      </c>
      <c r="J211" t="s">
        <v>344</v>
      </c>
      <c r="K211" t="s">
        <v>325</v>
      </c>
      <c r="L211" t="s">
        <v>499</v>
      </c>
      <c r="M211" t="s">
        <v>544</v>
      </c>
      <c r="N211" t="s">
        <v>4482</v>
      </c>
      <c r="O211" t="s">
        <v>181</v>
      </c>
      <c r="P211" t="s">
        <v>178</v>
      </c>
    </row>
    <row r="212" spans="1:16" x14ac:dyDescent="0.25">
      <c r="A212">
        <v>380607</v>
      </c>
      <c r="B212" t="s">
        <v>263</v>
      </c>
      <c r="C212" t="s">
        <v>476</v>
      </c>
      <c r="D212" t="s">
        <v>493</v>
      </c>
      <c r="E212" t="s">
        <v>1198</v>
      </c>
      <c r="F212" t="s">
        <v>1199</v>
      </c>
      <c r="G212" t="s">
        <v>317</v>
      </c>
      <c r="H212" t="s">
        <v>321</v>
      </c>
      <c r="I212" t="s">
        <v>388</v>
      </c>
      <c r="J212" t="s">
        <v>519</v>
      </c>
      <c r="K212" t="s">
        <v>333</v>
      </c>
      <c r="L212" t="s">
        <v>5247</v>
      </c>
      <c r="M212" t="s">
        <v>5248</v>
      </c>
      <c r="N212" t="s">
        <v>398</v>
      </c>
      <c r="O212" t="s">
        <v>187</v>
      </c>
      <c r="P212" t="s">
        <v>178</v>
      </c>
    </row>
    <row r="213" spans="1:16" x14ac:dyDescent="0.25">
      <c r="A213">
        <v>341169</v>
      </c>
      <c r="B213" t="s">
        <v>263</v>
      </c>
      <c r="C213" t="s">
        <v>2190</v>
      </c>
      <c r="D213" t="s">
        <v>483</v>
      </c>
      <c r="E213" t="s">
        <v>2191</v>
      </c>
      <c r="F213" t="s">
        <v>2192</v>
      </c>
      <c r="G213" t="s">
        <v>317</v>
      </c>
      <c r="H213" t="s">
        <v>321</v>
      </c>
      <c r="I213" t="s">
        <v>388</v>
      </c>
      <c r="J213" t="s">
        <v>519</v>
      </c>
      <c r="K213" t="s">
        <v>333</v>
      </c>
      <c r="L213" t="s">
        <v>5120</v>
      </c>
      <c r="M213" t="s">
        <v>5121</v>
      </c>
      <c r="N213" t="s">
        <v>349</v>
      </c>
      <c r="O213" t="s">
        <v>187</v>
      </c>
      <c r="P213" t="s">
        <v>178</v>
      </c>
    </row>
    <row r="214" spans="1:16" x14ac:dyDescent="0.25">
      <c r="A214">
        <v>347805</v>
      </c>
      <c r="B214" t="s">
        <v>263</v>
      </c>
      <c r="C214" t="s">
        <v>138</v>
      </c>
      <c r="D214" t="s">
        <v>478</v>
      </c>
      <c r="E214" t="s">
        <v>1200</v>
      </c>
      <c r="F214" t="s">
        <v>1201</v>
      </c>
      <c r="G214" t="s">
        <v>320</v>
      </c>
      <c r="H214" t="s">
        <v>333</v>
      </c>
      <c r="I214" t="s">
        <v>337</v>
      </c>
      <c r="J214" t="s">
        <v>337</v>
      </c>
      <c r="K214" t="s">
        <v>329</v>
      </c>
      <c r="L214" t="s">
        <v>1759</v>
      </c>
      <c r="M214" t="s">
        <v>4712</v>
      </c>
      <c r="N214" t="s">
        <v>4713</v>
      </c>
      <c r="O214" t="s">
        <v>179</v>
      </c>
      <c r="P214" t="s">
        <v>178</v>
      </c>
    </row>
    <row r="215" spans="1:16" x14ac:dyDescent="0.25">
      <c r="A215">
        <v>369813</v>
      </c>
      <c r="B215" t="s">
        <v>263</v>
      </c>
      <c r="C215" t="s">
        <v>1583</v>
      </c>
      <c r="D215" t="s">
        <v>493</v>
      </c>
      <c r="E215" t="s">
        <v>1584</v>
      </c>
      <c r="F215" t="s">
        <v>1585</v>
      </c>
      <c r="G215" t="s">
        <v>319</v>
      </c>
      <c r="H215" t="s">
        <v>320</v>
      </c>
      <c r="I215" t="s">
        <v>337</v>
      </c>
      <c r="J215" t="s">
        <v>495</v>
      </c>
      <c r="K215" t="s">
        <v>326</v>
      </c>
      <c r="L215" t="s">
        <v>317</v>
      </c>
      <c r="M215" t="s">
        <v>4916</v>
      </c>
      <c r="N215" t="s">
        <v>160</v>
      </c>
      <c r="O215" t="s">
        <v>179</v>
      </c>
      <c r="P215" t="s">
        <v>178</v>
      </c>
    </row>
    <row r="216" spans="1:16" x14ac:dyDescent="0.25">
      <c r="A216">
        <v>304783</v>
      </c>
      <c r="B216" t="s">
        <v>263</v>
      </c>
      <c r="C216" t="s">
        <v>669</v>
      </c>
      <c r="D216" t="s">
        <v>483</v>
      </c>
      <c r="E216" t="s">
        <v>1202</v>
      </c>
      <c r="F216" t="s">
        <v>1203</v>
      </c>
      <c r="G216" t="s">
        <v>317</v>
      </c>
      <c r="H216" t="s">
        <v>323</v>
      </c>
      <c r="I216" t="s">
        <v>351</v>
      </c>
      <c r="J216" t="s">
        <v>372</v>
      </c>
      <c r="K216" t="s">
        <v>333</v>
      </c>
      <c r="L216" t="s">
        <v>4714</v>
      </c>
      <c r="M216" t="s">
        <v>4715</v>
      </c>
      <c r="N216" t="s">
        <v>4716</v>
      </c>
      <c r="O216" t="s">
        <v>187</v>
      </c>
      <c r="P216" t="s">
        <v>178</v>
      </c>
    </row>
    <row r="217" spans="1:16" x14ac:dyDescent="0.25">
      <c r="A217">
        <v>98778</v>
      </c>
      <c r="B217" t="s">
        <v>263</v>
      </c>
      <c r="C217" t="s">
        <v>1441</v>
      </c>
      <c r="D217" t="s">
        <v>479</v>
      </c>
      <c r="E217" t="s">
        <v>1442</v>
      </c>
      <c r="F217" t="s">
        <v>1443</v>
      </c>
      <c r="G217" t="s">
        <v>319</v>
      </c>
      <c r="H217" t="s">
        <v>322</v>
      </c>
      <c r="I217" t="s">
        <v>348</v>
      </c>
      <c r="J217" t="s">
        <v>348</v>
      </c>
      <c r="K217" t="s">
        <v>326</v>
      </c>
      <c r="L217" t="s">
        <v>4313</v>
      </c>
      <c r="M217" t="s">
        <v>4314</v>
      </c>
      <c r="N217" t="s">
        <v>741</v>
      </c>
      <c r="O217" t="s">
        <v>180</v>
      </c>
      <c r="P217" t="s">
        <v>184</v>
      </c>
    </row>
    <row r="218" spans="1:16" x14ac:dyDescent="0.25">
      <c r="A218">
        <v>158600</v>
      </c>
      <c r="B218" t="s">
        <v>263</v>
      </c>
      <c r="C218" t="s">
        <v>2051</v>
      </c>
      <c r="D218" t="s">
        <v>536</v>
      </c>
      <c r="E218" t="s">
        <v>2052</v>
      </c>
      <c r="F218" t="s">
        <v>2053</v>
      </c>
      <c r="G218" t="s">
        <v>319</v>
      </c>
      <c r="H218" t="s">
        <v>319</v>
      </c>
      <c r="I218" t="s">
        <v>337</v>
      </c>
      <c r="J218" t="s">
        <v>337</v>
      </c>
      <c r="K218" t="s">
        <v>329</v>
      </c>
      <c r="L218" t="s">
        <v>5059</v>
      </c>
      <c r="M218" t="s">
        <v>5060</v>
      </c>
      <c r="N218" t="s">
        <v>773</v>
      </c>
      <c r="O218" t="s">
        <v>180</v>
      </c>
      <c r="P218" t="s">
        <v>178</v>
      </c>
    </row>
    <row r="219" spans="1:16" x14ac:dyDescent="0.25">
      <c r="A219">
        <v>194626</v>
      </c>
      <c r="B219" t="s">
        <v>263</v>
      </c>
      <c r="C219" t="s">
        <v>339</v>
      </c>
      <c r="D219" t="s">
        <v>538</v>
      </c>
      <c r="E219" t="s">
        <v>1204</v>
      </c>
      <c r="F219" t="s">
        <v>1205</v>
      </c>
      <c r="G219" t="s">
        <v>320</v>
      </c>
      <c r="H219" t="s">
        <v>326</v>
      </c>
      <c r="I219" t="s">
        <v>319</v>
      </c>
      <c r="J219" t="s">
        <v>319</v>
      </c>
      <c r="K219" t="s">
        <v>323</v>
      </c>
      <c r="L219" t="s">
        <v>4717</v>
      </c>
      <c r="M219" t="s">
        <v>4718</v>
      </c>
      <c r="N219" t="s">
        <v>4719</v>
      </c>
      <c r="O219" t="s">
        <v>179</v>
      </c>
      <c r="P219" t="s">
        <v>178</v>
      </c>
    </row>
    <row r="220" spans="1:16" x14ac:dyDescent="0.25">
      <c r="A220">
        <v>223750</v>
      </c>
      <c r="B220" t="s">
        <v>263</v>
      </c>
      <c r="C220" t="s">
        <v>405</v>
      </c>
      <c r="D220" t="s">
        <v>482</v>
      </c>
      <c r="E220" t="s">
        <v>1206</v>
      </c>
      <c r="F220" t="s">
        <v>1207</v>
      </c>
      <c r="G220" t="s">
        <v>317</v>
      </c>
      <c r="H220" t="s">
        <v>322</v>
      </c>
      <c r="I220" t="s">
        <v>363</v>
      </c>
      <c r="J220" t="s">
        <v>402</v>
      </c>
      <c r="K220" t="s">
        <v>329</v>
      </c>
      <c r="L220" t="s">
        <v>639</v>
      </c>
      <c r="M220" t="s">
        <v>4720</v>
      </c>
      <c r="N220" t="s">
        <v>783</v>
      </c>
      <c r="O220" t="s">
        <v>310</v>
      </c>
      <c r="P220" t="s">
        <v>184</v>
      </c>
    </row>
    <row r="221" spans="1:16" x14ac:dyDescent="0.25">
      <c r="A221">
        <v>414317</v>
      </c>
      <c r="B221" t="s">
        <v>263</v>
      </c>
      <c r="C221" t="s">
        <v>1884</v>
      </c>
      <c r="D221" t="s">
        <v>508</v>
      </c>
      <c r="E221" t="s">
        <v>1885</v>
      </c>
      <c r="F221" t="s">
        <v>1886</v>
      </c>
      <c r="G221" t="s">
        <v>317</v>
      </c>
      <c r="H221" t="s">
        <v>321</v>
      </c>
      <c r="I221" t="s">
        <v>351</v>
      </c>
      <c r="J221" t="s">
        <v>363</v>
      </c>
      <c r="K221" t="s">
        <v>329</v>
      </c>
      <c r="L221" t="s">
        <v>5262</v>
      </c>
      <c r="M221" t="s">
        <v>5263</v>
      </c>
      <c r="N221" t="s">
        <v>381</v>
      </c>
      <c r="O221" t="s">
        <v>177</v>
      </c>
      <c r="P221" t="s">
        <v>178</v>
      </c>
    </row>
    <row r="222" spans="1:16" x14ac:dyDescent="0.25">
      <c r="A222">
        <v>268482</v>
      </c>
      <c r="B222" t="s">
        <v>263</v>
      </c>
      <c r="C222" t="s">
        <v>2244</v>
      </c>
      <c r="D222" t="s">
        <v>507</v>
      </c>
      <c r="E222" t="s">
        <v>2245</v>
      </c>
      <c r="F222" t="s">
        <v>2246</v>
      </c>
      <c r="G222" t="s">
        <v>160</v>
      </c>
      <c r="H222" t="s">
        <v>160</v>
      </c>
      <c r="I222" t="s">
        <v>160</v>
      </c>
      <c r="J222" t="s">
        <v>160</v>
      </c>
      <c r="K222" t="s">
        <v>160</v>
      </c>
      <c r="L222" t="s">
        <v>495</v>
      </c>
      <c r="M222" t="s">
        <v>495</v>
      </c>
      <c r="N222" t="s">
        <v>160</v>
      </c>
      <c r="O222" t="s">
        <v>1464</v>
      </c>
      <c r="P222" t="s">
        <v>178</v>
      </c>
    </row>
    <row r="223" spans="1:16" x14ac:dyDescent="0.25">
      <c r="A223">
        <v>366013</v>
      </c>
      <c r="B223" t="s">
        <v>263</v>
      </c>
      <c r="C223" t="s">
        <v>58</v>
      </c>
      <c r="D223" t="s">
        <v>478</v>
      </c>
      <c r="E223" t="s">
        <v>896</v>
      </c>
      <c r="F223" t="s">
        <v>897</v>
      </c>
      <c r="G223" t="s">
        <v>317</v>
      </c>
      <c r="H223" t="s">
        <v>323</v>
      </c>
      <c r="I223" t="s">
        <v>351</v>
      </c>
      <c r="J223" t="s">
        <v>372</v>
      </c>
      <c r="K223" t="s">
        <v>329</v>
      </c>
      <c r="L223" t="s">
        <v>4483</v>
      </c>
      <c r="M223" t="s">
        <v>4484</v>
      </c>
      <c r="N223" t="s">
        <v>363</v>
      </c>
      <c r="O223" t="s">
        <v>180</v>
      </c>
      <c r="P223" t="s">
        <v>178</v>
      </c>
    </row>
    <row r="224" spans="1:16" x14ac:dyDescent="0.25">
      <c r="A224">
        <v>321608</v>
      </c>
      <c r="B224" t="s">
        <v>263</v>
      </c>
      <c r="C224" t="s">
        <v>2337</v>
      </c>
      <c r="D224" t="s">
        <v>493</v>
      </c>
      <c r="E224" t="s">
        <v>2338</v>
      </c>
      <c r="F224" t="s">
        <v>2339</v>
      </c>
      <c r="G224" t="s">
        <v>319</v>
      </c>
      <c r="H224" t="s">
        <v>321</v>
      </c>
      <c r="I224" t="s">
        <v>402</v>
      </c>
      <c r="J224" t="s">
        <v>540</v>
      </c>
      <c r="K224" t="s">
        <v>336</v>
      </c>
      <c r="L224" t="s">
        <v>5171</v>
      </c>
      <c r="M224" t="s">
        <v>5172</v>
      </c>
      <c r="N224" t="s">
        <v>2340</v>
      </c>
      <c r="O224" t="s">
        <v>187</v>
      </c>
      <c r="P224" t="s">
        <v>178</v>
      </c>
    </row>
    <row r="225" spans="1:16" x14ac:dyDescent="0.25">
      <c r="A225">
        <v>311322</v>
      </c>
      <c r="B225" t="s">
        <v>263</v>
      </c>
      <c r="C225" t="s">
        <v>220</v>
      </c>
      <c r="D225" t="s">
        <v>480</v>
      </c>
      <c r="E225" t="s">
        <v>898</v>
      </c>
      <c r="F225" t="s">
        <v>899</v>
      </c>
      <c r="G225" t="s">
        <v>321</v>
      </c>
      <c r="H225" t="s">
        <v>344</v>
      </c>
      <c r="I225" t="s">
        <v>344</v>
      </c>
      <c r="J225" t="s">
        <v>351</v>
      </c>
      <c r="K225" t="s">
        <v>329</v>
      </c>
      <c r="L225" t="s">
        <v>317</v>
      </c>
      <c r="M225" t="s">
        <v>4485</v>
      </c>
      <c r="N225" t="s">
        <v>4486</v>
      </c>
      <c r="O225" t="s">
        <v>179</v>
      </c>
      <c r="P225" t="s">
        <v>178</v>
      </c>
    </row>
    <row r="226" spans="1:16" x14ac:dyDescent="0.25">
      <c r="A226">
        <v>220</v>
      </c>
      <c r="B226" t="s">
        <v>263</v>
      </c>
      <c r="C226" t="s">
        <v>2310</v>
      </c>
      <c r="D226" t="s">
        <v>531</v>
      </c>
      <c r="E226" t="s">
        <v>2311</v>
      </c>
      <c r="F226" t="s">
        <v>2312</v>
      </c>
      <c r="G226" t="s">
        <v>320</v>
      </c>
      <c r="H226" t="s">
        <v>322</v>
      </c>
      <c r="I226" t="s">
        <v>337</v>
      </c>
      <c r="J226" t="s">
        <v>351</v>
      </c>
      <c r="K226" t="s">
        <v>329</v>
      </c>
      <c r="L226" t="s">
        <v>4388</v>
      </c>
      <c r="M226" t="s">
        <v>4389</v>
      </c>
      <c r="N226" t="s">
        <v>784</v>
      </c>
      <c r="O226" t="s">
        <v>180</v>
      </c>
      <c r="P226" t="s">
        <v>178</v>
      </c>
    </row>
    <row r="227" spans="1:16" x14ac:dyDescent="0.25">
      <c r="A227">
        <v>2655</v>
      </c>
      <c r="B227" t="s">
        <v>263</v>
      </c>
      <c r="C227" t="s">
        <v>119</v>
      </c>
      <c r="D227" t="s">
        <v>496</v>
      </c>
      <c r="E227" t="s">
        <v>900</v>
      </c>
      <c r="F227" t="s">
        <v>901</v>
      </c>
      <c r="G227" t="s">
        <v>319</v>
      </c>
      <c r="H227" t="s">
        <v>319</v>
      </c>
      <c r="I227" t="s">
        <v>344</v>
      </c>
      <c r="J227" t="s">
        <v>344</v>
      </c>
      <c r="K227" t="s">
        <v>328</v>
      </c>
      <c r="L227" t="s">
        <v>4188</v>
      </c>
      <c r="M227" t="s">
        <v>4189</v>
      </c>
      <c r="N227" t="s">
        <v>582</v>
      </c>
      <c r="O227" t="s">
        <v>192</v>
      </c>
      <c r="P227" t="s">
        <v>178</v>
      </c>
    </row>
    <row r="228" spans="1:16" x14ac:dyDescent="0.25">
      <c r="A228">
        <v>201308</v>
      </c>
      <c r="B228" t="s">
        <v>263</v>
      </c>
      <c r="C228" t="s">
        <v>353</v>
      </c>
      <c r="D228" t="s">
        <v>538</v>
      </c>
      <c r="E228" t="s">
        <v>1208</v>
      </c>
      <c r="F228" t="s">
        <v>1209</v>
      </c>
      <c r="G228" t="s">
        <v>320</v>
      </c>
      <c r="H228" t="s">
        <v>333</v>
      </c>
      <c r="I228" t="s">
        <v>351</v>
      </c>
      <c r="J228" t="s">
        <v>402</v>
      </c>
      <c r="K228" t="s">
        <v>326</v>
      </c>
      <c r="L228" t="s">
        <v>640</v>
      </c>
      <c r="M228" t="s">
        <v>4721</v>
      </c>
      <c r="N228" t="s">
        <v>4722</v>
      </c>
      <c r="O228" t="s">
        <v>179</v>
      </c>
      <c r="P228" t="s">
        <v>184</v>
      </c>
    </row>
    <row r="229" spans="1:16" x14ac:dyDescent="0.25">
      <c r="A229">
        <v>180471</v>
      </c>
      <c r="B229" t="s">
        <v>263</v>
      </c>
      <c r="C229" t="s">
        <v>92</v>
      </c>
      <c r="D229" t="s">
        <v>497</v>
      </c>
      <c r="E229" t="s">
        <v>902</v>
      </c>
      <c r="F229" t="s">
        <v>903</v>
      </c>
      <c r="G229" t="s">
        <v>319</v>
      </c>
      <c r="H229" t="s">
        <v>323</v>
      </c>
      <c r="I229" t="s">
        <v>329</v>
      </c>
      <c r="J229" t="s">
        <v>363</v>
      </c>
      <c r="K229" t="s">
        <v>323</v>
      </c>
      <c r="L229" t="s">
        <v>498</v>
      </c>
      <c r="M229" t="s">
        <v>4487</v>
      </c>
      <c r="N229" t="s">
        <v>4488</v>
      </c>
      <c r="O229" t="s">
        <v>185</v>
      </c>
      <c r="P229" t="s">
        <v>178</v>
      </c>
    </row>
    <row r="230" spans="1:16" x14ac:dyDescent="0.25">
      <c r="A230">
        <v>282524</v>
      </c>
      <c r="B230" t="s">
        <v>263</v>
      </c>
      <c r="C230" t="s">
        <v>195</v>
      </c>
      <c r="D230" t="s">
        <v>491</v>
      </c>
      <c r="E230" t="s">
        <v>904</v>
      </c>
      <c r="F230" t="s">
        <v>905</v>
      </c>
      <c r="G230" t="s">
        <v>317</v>
      </c>
      <c r="H230" t="s">
        <v>322</v>
      </c>
      <c r="I230" t="s">
        <v>372</v>
      </c>
      <c r="J230" t="s">
        <v>372</v>
      </c>
      <c r="K230" t="s">
        <v>329</v>
      </c>
      <c r="L230" t="s">
        <v>4489</v>
      </c>
      <c r="M230" t="s">
        <v>4490</v>
      </c>
      <c r="N230" t="s">
        <v>4491</v>
      </c>
      <c r="O230" t="s">
        <v>309</v>
      </c>
      <c r="P230" t="s">
        <v>184</v>
      </c>
    </row>
    <row r="231" spans="1:16" x14ac:dyDescent="0.25">
      <c r="A231">
        <v>343562</v>
      </c>
      <c r="B231" t="s">
        <v>263</v>
      </c>
      <c r="C231" t="s">
        <v>1831</v>
      </c>
      <c r="D231" t="s">
        <v>483</v>
      </c>
      <c r="E231" t="s">
        <v>1832</v>
      </c>
      <c r="F231" t="s">
        <v>1833</v>
      </c>
      <c r="G231" t="s">
        <v>317</v>
      </c>
      <c r="H231" t="s">
        <v>322</v>
      </c>
      <c r="I231" t="s">
        <v>372</v>
      </c>
      <c r="J231" t="s">
        <v>372</v>
      </c>
      <c r="K231" t="s">
        <v>329</v>
      </c>
      <c r="L231" t="s">
        <v>4991</v>
      </c>
      <c r="M231" t="s">
        <v>4992</v>
      </c>
      <c r="N231" t="s">
        <v>765</v>
      </c>
      <c r="O231" t="s">
        <v>187</v>
      </c>
      <c r="P231" t="s">
        <v>184</v>
      </c>
    </row>
    <row r="232" spans="1:16" x14ac:dyDescent="0.25">
      <c r="A232">
        <v>402821</v>
      </c>
      <c r="B232" t="s">
        <v>263</v>
      </c>
      <c r="C232" t="s">
        <v>1437</v>
      </c>
      <c r="D232" t="s">
        <v>480</v>
      </c>
      <c r="E232" t="s">
        <v>160</v>
      </c>
      <c r="F232" t="s">
        <v>160</v>
      </c>
      <c r="G232" t="s">
        <v>160</v>
      </c>
      <c r="H232" t="s">
        <v>160</v>
      </c>
      <c r="I232" t="s">
        <v>160</v>
      </c>
      <c r="J232" t="s">
        <v>160</v>
      </c>
      <c r="K232" t="s">
        <v>160</v>
      </c>
      <c r="L232" t="s">
        <v>495</v>
      </c>
      <c r="M232" t="s">
        <v>323</v>
      </c>
      <c r="N232" t="s">
        <v>160</v>
      </c>
      <c r="O232" t="s">
        <v>1389</v>
      </c>
      <c r="P232" t="s">
        <v>178</v>
      </c>
    </row>
    <row r="233" spans="1:16" x14ac:dyDescent="0.25">
      <c r="A233">
        <v>302520</v>
      </c>
      <c r="B233" t="s">
        <v>263</v>
      </c>
      <c r="C233" t="s">
        <v>73</v>
      </c>
      <c r="D233" t="s">
        <v>480</v>
      </c>
      <c r="E233" t="s">
        <v>906</v>
      </c>
      <c r="F233" t="s">
        <v>907</v>
      </c>
      <c r="G233" t="s">
        <v>320</v>
      </c>
      <c r="H233" t="s">
        <v>329</v>
      </c>
      <c r="I233" t="s">
        <v>351</v>
      </c>
      <c r="J233" t="s">
        <v>351</v>
      </c>
      <c r="K233" t="s">
        <v>326</v>
      </c>
      <c r="L233" t="s">
        <v>541</v>
      </c>
      <c r="M233" t="s">
        <v>4492</v>
      </c>
      <c r="N233" t="s">
        <v>4493</v>
      </c>
      <c r="O233" t="s">
        <v>186</v>
      </c>
      <c r="P233" t="s">
        <v>178</v>
      </c>
    </row>
    <row r="234" spans="1:16" x14ac:dyDescent="0.25">
      <c r="A234">
        <v>366772</v>
      </c>
      <c r="B234" t="s">
        <v>263</v>
      </c>
      <c r="C234" t="s">
        <v>2203</v>
      </c>
      <c r="D234" t="s">
        <v>478</v>
      </c>
      <c r="E234" t="s">
        <v>2204</v>
      </c>
      <c r="F234" t="s">
        <v>2205</v>
      </c>
      <c r="G234" t="s">
        <v>160</v>
      </c>
      <c r="H234" t="s">
        <v>160</v>
      </c>
      <c r="I234" t="s">
        <v>160</v>
      </c>
      <c r="J234" t="s">
        <v>160</v>
      </c>
      <c r="K234" t="s">
        <v>160</v>
      </c>
      <c r="L234" t="s">
        <v>495</v>
      </c>
      <c r="M234" t="s">
        <v>495</v>
      </c>
      <c r="N234" t="s">
        <v>160</v>
      </c>
      <c r="O234" t="s">
        <v>1464</v>
      </c>
      <c r="P234" t="s">
        <v>178</v>
      </c>
    </row>
    <row r="235" spans="1:16" x14ac:dyDescent="0.25">
      <c r="A235">
        <v>198928</v>
      </c>
      <c r="B235" t="s">
        <v>263</v>
      </c>
      <c r="C235" t="s">
        <v>1804</v>
      </c>
      <c r="D235" t="s">
        <v>538</v>
      </c>
      <c r="E235" t="s">
        <v>1805</v>
      </c>
      <c r="F235" t="s">
        <v>1806</v>
      </c>
      <c r="G235" t="s">
        <v>319</v>
      </c>
      <c r="H235" t="s">
        <v>322</v>
      </c>
      <c r="I235" t="s">
        <v>363</v>
      </c>
      <c r="J235" t="s">
        <v>363</v>
      </c>
      <c r="K235" t="s">
        <v>326</v>
      </c>
      <c r="L235" t="s">
        <v>1807</v>
      </c>
      <c r="M235" t="s">
        <v>4971</v>
      </c>
      <c r="N235" t="s">
        <v>1808</v>
      </c>
      <c r="O235" t="s">
        <v>187</v>
      </c>
      <c r="P235" t="s">
        <v>184</v>
      </c>
    </row>
    <row r="236" spans="1:16" x14ac:dyDescent="0.25">
      <c r="A236">
        <v>177524</v>
      </c>
      <c r="B236" t="s">
        <v>263</v>
      </c>
      <c r="C236" t="s">
        <v>641</v>
      </c>
      <c r="D236" t="s">
        <v>538</v>
      </c>
      <c r="E236" t="s">
        <v>1210</v>
      </c>
      <c r="F236" t="s">
        <v>1211</v>
      </c>
      <c r="G236" t="s">
        <v>319</v>
      </c>
      <c r="H236" t="s">
        <v>321</v>
      </c>
      <c r="I236" t="s">
        <v>351</v>
      </c>
      <c r="J236" t="s">
        <v>351</v>
      </c>
      <c r="K236" t="s">
        <v>323</v>
      </c>
      <c r="L236" t="s">
        <v>4723</v>
      </c>
      <c r="M236" t="s">
        <v>4724</v>
      </c>
      <c r="N236" t="s">
        <v>4725</v>
      </c>
      <c r="O236" t="s">
        <v>283</v>
      </c>
      <c r="P236" t="s">
        <v>178</v>
      </c>
    </row>
    <row r="237" spans="1:16" x14ac:dyDescent="0.25">
      <c r="A237">
        <v>177478</v>
      </c>
      <c r="B237" t="s">
        <v>263</v>
      </c>
      <c r="C237" t="s">
        <v>2319</v>
      </c>
      <c r="D237" t="s">
        <v>486</v>
      </c>
      <c r="E237" t="s">
        <v>2320</v>
      </c>
      <c r="F237" t="s">
        <v>2321</v>
      </c>
      <c r="G237" t="s">
        <v>319</v>
      </c>
      <c r="H237" t="s">
        <v>321</v>
      </c>
      <c r="I237" t="s">
        <v>372</v>
      </c>
      <c r="J237" t="s">
        <v>402</v>
      </c>
      <c r="K237" t="s">
        <v>336</v>
      </c>
      <c r="L237" t="s">
        <v>5159</v>
      </c>
      <c r="M237" t="s">
        <v>5160</v>
      </c>
      <c r="N237" t="s">
        <v>5161</v>
      </c>
      <c r="O237" t="s">
        <v>187</v>
      </c>
      <c r="P237" t="s">
        <v>178</v>
      </c>
    </row>
    <row r="238" spans="1:16" x14ac:dyDescent="0.25">
      <c r="A238">
        <v>191862</v>
      </c>
      <c r="B238" t="s">
        <v>263</v>
      </c>
      <c r="C238" t="s">
        <v>628</v>
      </c>
      <c r="D238" t="s">
        <v>538</v>
      </c>
      <c r="E238" t="s">
        <v>1212</v>
      </c>
      <c r="F238" t="s">
        <v>1213</v>
      </c>
      <c r="G238" t="s">
        <v>319</v>
      </c>
      <c r="H238" t="s">
        <v>321</v>
      </c>
      <c r="I238" t="s">
        <v>360</v>
      </c>
      <c r="J238" t="s">
        <v>360</v>
      </c>
      <c r="K238" t="s">
        <v>329</v>
      </c>
      <c r="L238" t="s">
        <v>4726</v>
      </c>
      <c r="M238" t="s">
        <v>4727</v>
      </c>
      <c r="N238" t="s">
        <v>4728</v>
      </c>
      <c r="O238" t="s">
        <v>180</v>
      </c>
      <c r="P238" t="s">
        <v>178</v>
      </c>
    </row>
    <row r="239" spans="1:16" x14ac:dyDescent="0.25">
      <c r="A239">
        <v>373065</v>
      </c>
      <c r="B239" t="s">
        <v>263</v>
      </c>
      <c r="C239" t="s">
        <v>1628</v>
      </c>
      <c r="D239" t="s">
        <v>478</v>
      </c>
      <c r="E239" t="s">
        <v>1629</v>
      </c>
      <c r="F239" t="s">
        <v>1630</v>
      </c>
      <c r="G239" t="s">
        <v>317</v>
      </c>
      <c r="H239" t="s">
        <v>320</v>
      </c>
      <c r="I239" t="s">
        <v>344</v>
      </c>
      <c r="J239" t="s">
        <v>372</v>
      </c>
      <c r="K239" t="s">
        <v>337</v>
      </c>
      <c r="L239" t="s">
        <v>495</v>
      </c>
      <c r="M239" t="s">
        <v>495</v>
      </c>
      <c r="N239" t="s">
        <v>160</v>
      </c>
      <c r="O239" t="s">
        <v>1631</v>
      </c>
      <c r="P239" t="s">
        <v>178</v>
      </c>
    </row>
    <row r="240" spans="1:16" x14ac:dyDescent="0.25">
      <c r="A240">
        <v>358805</v>
      </c>
      <c r="B240" t="s">
        <v>263</v>
      </c>
      <c r="C240" t="s">
        <v>255</v>
      </c>
      <c r="D240" t="s">
        <v>478</v>
      </c>
      <c r="E240" t="s">
        <v>908</v>
      </c>
      <c r="F240" t="s">
        <v>909</v>
      </c>
      <c r="G240" t="s">
        <v>319</v>
      </c>
      <c r="H240" t="s">
        <v>322</v>
      </c>
      <c r="I240" t="s">
        <v>495</v>
      </c>
      <c r="J240" t="s">
        <v>325</v>
      </c>
      <c r="K240" t="s">
        <v>325</v>
      </c>
      <c r="L240" t="s">
        <v>4494</v>
      </c>
      <c r="M240" t="s">
        <v>4495</v>
      </c>
      <c r="N240" t="s">
        <v>4496</v>
      </c>
      <c r="O240" t="s">
        <v>179</v>
      </c>
      <c r="P240" t="s">
        <v>184</v>
      </c>
    </row>
    <row r="241" spans="1:16" x14ac:dyDescent="0.25">
      <c r="A241">
        <v>155821</v>
      </c>
      <c r="B241" t="s">
        <v>263</v>
      </c>
      <c r="C241" t="s">
        <v>1957</v>
      </c>
      <c r="D241" t="s">
        <v>538</v>
      </c>
      <c r="E241" t="s">
        <v>1958</v>
      </c>
      <c r="F241" t="s">
        <v>1959</v>
      </c>
      <c r="G241" t="s">
        <v>319</v>
      </c>
      <c r="H241" t="s">
        <v>321</v>
      </c>
      <c r="I241" t="s">
        <v>372</v>
      </c>
      <c r="J241" t="s">
        <v>402</v>
      </c>
      <c r="K241" t="s">
        <v>336</v>
      </c>
      <c r="L241" t="s">
        <v>5018</v>
      </c>
      <c r="M241" t="s">
        <v>5019</v>
      </c>
      <c r="N241" t="s">
        <v>1960</v>
      </c>
      <c r="O241" t="s">
        <v>187</v>
      </c>
      <c r="P241" t="s">
        <v>178</v>
      </c>
    </row>
    <row r="242" spans="1:16" x14ac:dyDescent="0.25">
      <c r="A242">
        <v>324914</v>
      </c>
      <c r="B242" t="s">
        <v>263</v>
      </c>
      <c r="C242" t="s">
        <v>386</v>
      </c>
      <c r="D242" t="s">
        <v>478</v>
      </c>
      <c r="E242" t="s">
        <v>1214</v>
      </c>
      <c r="F242" t="s">
        <v>1215</v>
      </c>
      <c r="G242" t="s">
        <v>319</v>
      </c>
      <c r="H242" t="s">
        <v>322</v>
      </c>
      <c r="I242" t="s">
        <v>344</v>
      </c>
      <c r="J242" t="s">
        <v>351</v>
      </c>
      <c r="K242" t="s">
        <v>329</v>
      </c>
      <c r="L242" t="s">
        <v>4729</v>
      </c>
      <c r="M242" t="s">
        <v>4730</v>
      </c>
      <c r="N242" t="s">
        <v>4731</v>
      </c>
      <c r="O242" t="s">
        <v>310</v>
      </c>
      <c r="P242" t="s">
        <v>184</v>
      </c>
    </row>
    <row r="243" spans="1:16" x14ac:dyDescent="0.25">
      <c r="A243">
        <v>206051</v>
      </c>
      <c r="B243" t="s">
        <v>263</v>
      </c>
      <c r="C243" t="s">
        <v>201</v>
      </c>
      <c r="D243" t="s">
        <v>538</v>
      </c>
      <c r="E243" t="s">
        <v>1216</v>
      </c>
      <c r="F243" t="s">
        <v>1217</v>
      </c>
      <c r="G243" t="s">
        <v>321</v>
      </c>
      <c r="H243" t="s">
        <v>326</v>
      </c>
      <c r="I243" t="s">
        <v>337</v>
      </c>
      <c r="J243" t="s">
        <v>337</v>
      </c>
      <c r="K243" t="s">
        <v>328</v>
      </c>
      <c r="L243" t="s">
        <v>589</v>
      </c>
      <c r="M243" t="s">
        <v>4732</v>
      </c>
      <c r="N243" t="s">
        <v>4733</v>
      </c>
      <c r="O243" t="s">
        <v>179</v>
      </c>
      <c r="P243" t="s">
        <v>178</v>
      </c>
    </row>
    <row r="244" spans="1:16" x14ac:dyDescent="0.25">
      <c r="A244">
        <v>176494</v>
      </c>
      <c r="B244" t="s">
        <v>263</v>
      </c>
      <c r="C244" t="s">
        <v>474</v>
      </c>
      <c r="D244" t="s">
        <v>486</v>
      </c>
      <c r="E244" t="s">
        <v>1218</v>
      </c>
      <c r="F244" t="s">
        <v>1219</v>
      </c>
      <c r="G244" t="s">
        <v>319</v>
      </c>
      <c r="H244" t="s">
        <v>322</v>
      </c>
      <c r="I244" t="s">
        <v>351</v>
      </c>
      <c r="J244" t="s">
        <v>365</v>
      </c>
      <c r="K244" t="s">
        <v>326</v>
      </c>
      <c r="L244" t="s">
        <v>4734</v>
      </c>
      <c r="M244" t="s">
        <v>4735</v>
      </c>
      <c r="N244" t="s">
        <v>4736</v>
      </c>
      <c r="O244" t="s">
        <v>310</v>
      </c>
      <c r="P244" t="s">
        <v>178</v>
      </c>
    </row>
    <row r="245" spans="1:16" x14ac:dyDescent="0.25">
      <c r="A245">
        <v>148949</v>
      </c>
      <c r="B245" t="s">
        <v>263</v>
      </c>
      <c r="C245" t="s">
        <v>1747</v>
      </c>
      <c r="D245" t="s">
        <v>497</v>
      </c>
      <c r="E245" t="s">
        <v>1748</v>
      </c>
      <c r="F245" t="s">
        <v>1749</v>
      </c>
      <c r="G245" t="s">
        <v>319</v>
      </c>
      <c r="H245" t="s">
        <v>322</v>
      </c>
      <c r="I245" t="s">
        <v>360</v>
      </c>
      <c r="J245" t="s">
        <v>372</v>
      </c>
      <c r="K245" t="s">
        <v>329</v>
      </c>
      <c r="L245" t="s">
        <v>4954</v>
      </c>
      <c r="M245" t="s">
        <v>1750</v>
      </c>
      <c r="N245" t="s">
        <v>1453</v>
      </c>
      <c r="O245" t="s">
        <v>310</v>
      </c>
      <c r="P245" t="s">
        <v>178</v>
      </c>
    </row>
    <row r="246" spans="1:16" x14ac:dyDescent="0.25">
      <c r="A246">
        <v>54043</v>
      </c>
      <c r="B246" t="s">
        <v>263</v>
      </c>
      <c r="C246" t="s">
        <v>48</v>
      </c>
      <c r="D246" t="s">
        <v>523</v>
      </c>
      <c r="E246" t="s">
        <v>910</v>
      </c>
      <c r="F246" t="s">
        <v>911</v>
      </c>
      <c r="G246" t="s">
        <v>319</v>
      </c>
      <c r="H246" t="s">
        <v>319</v>
      </c>
      <c r="I246" t="s">
        <v>351</v>
      </c>
      <c r="J246" t="s">
        <v>351</v>
      </c>
      <c r="K246" t="s">
        <v>329</v>
      </c>
      <c r="L246" t="s">
        <v>647</v>
      </c>
      <c r="M246" t="s">
        <v>4190</v>
      </c>
      <c r="N246" t="s">
        <v>545</v>
      </c>
      <c r="O246" t="s">
        <v>180</v>
      </c>
      <c r="P246" t="s">
        <v>178</v>
      </c>
    </row>
    <row r="247" spans="1:16" x14ac:dyDescent="0.25">
      <c r="A247">
        <v>8098</v>
      </c>
      <c r="B247" t="s">
        <v>263</v>
      </c>
      <c r="C247" t="s">
        <v>208</v>
      </c>
      <c r="D247" t="s">
        <v>500</v>
      </c>
      <c r="E247" t="s">
        <v>912</v>
      </c>
      <c r="F247" t="s">
        <v>913</v>
      </c>
      <c r="G247" t="s">
        <v>319</v>
      </c>
      <c r="H247" t="s">
        <v>329</v>
      </c>
      <c r="I247" t="s">
        <v>329</v>
      </c>
      <c r="J247" t="s">
        <v>329</v>
      </c>
      <c r="K247" t="s">
        <v>325</v>
      </c>
      <c r="L247" t="s">
        <v>4191</v>
      </c>
      <c r="M247" t="s">
        <v>4192</v>
      </c>
      <c r="N247" t="s">
        <v>664</v>
      </c>
      <c r="O247" t="s">
        <v>179</v>
      </c>
      <c r="P247" t="s">
        <v>178</v>
      </c>
    </row>
    <row r="248" spans="1:16" x14ac:dyDescent="0.25">
      <c r="A248">
        <v>448188</v>
      </c>
      <c r="B248" t="s">
        <v>263</v>
      </c>
      <c r="C248" t="s">
        <v>270</v>
      </c>
      <c r="D248" t="s">
        <v>494</v>
      </c>
      <c r="E248" t="s">
        <v>1220</v>
      </c>
      <c r="F248" t="s">
        <v>1221</v>
      </c>
      <c r="G248" t="s">
        <v>319</v>
      </c>
      <c r="H248" t="s">
        <v>323</v>
      </c>
      <c r="I248" t="s">
        <v>351</v>
      </c>
      <c r="J248" t="s">
        <v>351</v>
      </c>
      <c r="K248" t="s">
        <v>326</v>
      </c>
      <c r="L248" t="s">
        <v>524</v>
      </c>
      <c r="M248" t="s">
        <v>5249</v>
      </c>
      <c r="N248" t="s">
        <v>160</v>
      </c>
      <c r="O248" t="s">
        <v>179</v>
      </c>
      <c r="P248" t="s">
        <v>178</v>
      </c>
    </row>
    <row r="249" spans="1:16" x14ac:dyDescent="0.25">
      <c r="A249">
        <v>254640</v>
      </c>
      <c r="B249" t="s">
        <v>263</v>
      </c>
      <c r="C249" t="s">
        <v>94</v>
      </c>
      <c r="D249" t="s">
        <v>482</v>
      </c>
      <c r="E249" t="s">
        <v>914</v>
      </c>
      <c r="F249" t="s">
        <v>915</v>
      </c>
      <c r="G249" t="s">
        <v>320</v>
      </c>
      <c r="H249" t="s">
        <v>325</v>
      </c>
      <c r="I249" t="s">
        <v>344</v>
      </c>
      <c r="J249" t="s">
        <v>372</v>
      </c>
      <c r="K249" t="s">
        <v>326</v>
      </c>
      <c r="L249" t="s">
        <v>4497</v>
      </c>
      <c r="M249" t="s">
        <v>4498</v>
      </c>
      <c r="N249" t="s">
        <v>4499</v>
      </c>
      <c r="O249" t="s">
        <v>179</v>
      </c>
      <c r="P249" t="s">
        <v>184</v>
      </c>
    </row>
    <row r="250" spans="1:16" x14ac:dyDescent="0.25">
      <c r="A250">
        <v>320390</v>
      </c>
      <c r="B250" t="s">
        <v>263</v>
      </c>
      <c r="C250" t="s">
        <v>1926</v>
      </c>
      <c r="D250" t="s">
        <v>483</v>
      </c>
      <c r="E250" t="s">
        <v>1927</v>
      </c>
      <c r="F250" t="s">
        <v>1928</v>
      </c>
      <c r="G250" t="s">
        <v>319</v>
      </c>
      <c r="H250" t="s">
        <v>321</v>
      </c>
      <c r="I250" t="s">
        <v>337</v>
      </c>
      <c r="J250" t="s">
        <v>337</v>
      </c>
      <c r="K250" t="s">
        <v>495</v>
      </c>
      <c r="L250" t="s">
        <v>5010</v>
      </c>
      <c r="M250" t="s">
        <v>5011</v>
      </c>
      <c r="N250" t="s">
        <v>5012</v>
      </c>
      <c r="O250" t="s">
        <v>180</v>
      </c>
      <c r="P250" t="s">
        <v>178</v>
      </c>
    </row>
    <row r="251" spans="1:16" x14ac:dyDescent="0.25">
      <c r="A251">
        <v>38391</v>
      </c>
      <c r="B251" t="s">
        <v>263</v>
      </c>
      <c r="C251" t="s">
        <v>262</v>
      </c>
      <c r="D251" t="s">
        <v>484</v>
      </c>
      <c r="E251" t="s">
        <v>828</v>
      </c>
      <c r="F251" t="s">
        <v>829</v>
      </c>
      <c r="G251" t="s">
        <v>319</v>
      </c>
      <c r="H251" t="s">
        <v>323</v>
      </c>
      <c r="I251" t="s">
        <v>329</v>
      </c>
      <c r="J251" t="s">
        <v>344</v>
      </c>
      <c r="K251" t="s">
        <v>323</v>
      </c>
      <c r="L251" t="s">
        <v>485</v>
      </c>
      <c r="M251" t="s">
        <v>4162</v>
      </c>
      <c r="N251" t="s">
        <v>4163</v>
      </c>
      <c r="O251" t="s">
        <v>179</v>
      </c>
      <c r="P251" t="s">
        <v>178</v>
      </c>
    </row>
    <row r="252" spans="1:16" x14ac:dyDescent="0.25">
      <c r="A252">
        <v>183251</v>
      </c>
      <c r="B252" t="s">
        <v>263</v>
      </c>
      <c r="C252" t="s">
        <v>2008</v>
      </c>
      <c r="D252" t="s">
        <v>486</v>
      </c>
      <c r="E252" t="s">
        <v>2009</v>
      </c>
      <c r="F252" t="s">
        <v>2010</v>
      </c>
      <c r="G252" t="s">
        <v>319</v>
      </c>
      <c r="H252" t="s">
        <v>321</v>
      </c>
      <c r="I252" t="s">
        <v>351</v>
      </c>
      <c r="J252" t="s">
        <v>360</v>
      </c>
      <c r="K252" t="s">
        <v>326</v>
      </c>
      <c r="L252" t="s">
        <v>5042</v>
      </c>
      <c r="M252" t="s">
        <v>5043</v>
      </c>
      <c r="N252" t="s">
        <v>5044</v>
      </c>
      <c r="O252" t="s">
        <v>180</v>
      </c>
      <c r="P252" t="s">
        <v>178</v>
      </c>
    </row>
    <row r="253" spans="1:16" x14ac:dyDescent="0.25">
      <c r="A253">
        <v>122515</v>
      </c>
      <c r="B253" t="s">
        <v>263</v>
      </c>
      <c r="C253" t="s">
        <v>1779</v>
      </c>
      <c r="D253" t="s">
        <v>503</v>
      </c>
      <c r="E253" t="s">
        <v>1780</v>
      </c>
      <c r="F253" t="s">
        <v>1781</v>
      </c>
      <c r="G253" t="s">
        <v>319</v>
      </c>
      <c r="H253" t="s">
        <v>323</v>
      </c>
      <c r="I253" t="s">
        <v>402</v>
      </c>
      <c r="J253" t="s">
        <v>532</v>
      </c>
      <c r="K253" t="s">
        <v>333</v>
      </c>
      <c r="L253" t="s">
        <v>4358</v>
      </c>
      <c r="M253" t="s">
        <v>4359</v>
      </c>
      <c r="N253" t="s">
        <v>1755</v>
      </c>
      <c r="O253" t="s">
        <v>187</v>
      </c>
      <c r="P253" t="s">
        <v>178</v>
      </c>
    </row>
    <row r="254" spans="1:16" x14ac:dyDescent="0.25">
      <c r="A254">
        <v>300509</v>
      </c>
      <c r="B254" t="s">
        <v>263</v>
      </c>
      <c r="C254" t="s">
        <v>86</v>
      </c>
      <c r="D254" t="s">
        <v>480</v>
      </c>
      <c r="E254" t="s">
        <v>918</v>
      </c>
      <c r="F254" t="s">
        <v>919</v>
      </c>
      <c r="G254" t="s">
        <v>319</v>
      </c>
      <c r="H254" t="s">
        <v>321</v>
      </c>
      <c r="I254" t="s">
        <v>363</v>
      </c>
      <c r="J254" t="s">
        <v>372</v>
      </c>
      <c r="K254" t="s">
        <v>333</v>
      </c>
      <c r="L254" t="s">
        <v>501</v>
      </c>
      <c r="M254" t="s">
        <v>4500</v>
      </c>
      <c r="N254" t="s">
        <v>4501</v>
      </c>
      <c r="O254" t="s">
        <v>187</v>
      </c>
      <c r="P254" t="s">
        <v>178</v>
      </c>
    </row>
    <row r="255" spans="1:16" x14ac:dyDescent="0.25">
      <c r="A255">
        <v>160499</v>
      </c>
      <c r="B255" t="s">
        <v>263</v>
      </c>
      <c r="C255" t="s">
        <v>227</v>
      </c>
      <c r="D255" t="s">
        <v>497</v>
      </c>
      <c r="E255" t="s">
        <v>1222</v>
      </c>
      <c r="F255" t="s">
        <v>1223</v>
      </c>
      <c r="G255" t="s">
        <v>319</v>
      </c>
      <c r="H255" t="s">
        <v>323</v>
      </c>
      <c r="I255" t="s">
        <v>360</v>
      </c>
      <c r="J255" t="s">
        <v>360</v>
      </c>
      <c r="K255" t="s">
        <v>329</v>
      </c>
      <c r="L255" t="s">
        <v>590</v>
      </c>
      <c r="M255" t="s">
        <v>4737</v>
      </c>
      <c r="N255" t="s">
        <v>781</v>
      </c>
      <c r="O255" t="s">
        <v>180</v>
      </c>
      <c r="P255" t="s">
        <v>178</v>
      </c>
    </row>
    <row r="256" spans="1:16" x14ac:dyDescent="0.25">
      <c r="A256">
        <v>70323</v>
      </c>
      <c r="B256" t="s">
        <v>263</v>
      </c>
      <c r="C256" t="s">
        <v>115</v>
      </c>
      <c r="D256" t="s">
        <v>518</v>
      </c>
      <c r="E256" t="s">
        <v>920</v>
      </c>
      <c r="F256" t="s">
        <v>921</v>
      </c>
      <c r="G256" t="s">
        <v>319</v>
      </c>
      <c r="H256" t="s">
        <v>323</v>
      </c>
      <c r="I256" t="s">
        <v>351</v>
      </c>
      <c r="J256" t="s">
        <v>351</v>
      </c>
      <c r="K256" t="s">
        <v>326</v>
      </c>
      <c r="L256" t="s">
        <v>761</v>
      </c>
      <c r="M256" t="s">
        <v>4195</v>
      </c>
      <c r="N256" t="s">
        <v>4196</v>
      </c>
      <c r="O256" t="s">
        <v>180</v>
      </c>
      <c r="P256" t="s">
        <v>178</v>
      </c>
    </row>
    <row r="257" spans="1:16" x14ac:dyDescent="0.25">
      <c r="A257">
        <v>336755</v>
      </c>
      <c r="B257" t="s">
        <v>263</v>
      </c>
      <c r="C257" t="s">
        <v>1797</v>
      </c>
      <c r="D257" t="s">
        <v>483</v>
      </c>
      <c r="E257" t="s">
        <v>1798</v>
      </c>
      <c r="F257" t="s">
        <v>1799</v>
      </c>
      <c r="G257" t="s">
        <v>319</v>
      </c>
      <c r="H257" t="s">
        <v>323</v>
      </c>
      <c r="I257" t="s">
        <v>351</v>
      </c>
      <c r="J257" t="s">
        <v>351</v>
      </c>
      <c r="K257" t="s">
        <v>326</v>
      </c>
      <c r="L257" t="s">
        <v>680</v>
      </c>
      <c r="M257" t="s">
        <v>4970</v>
      </c>
      <c r="N257" t="s">
        <v>160</v>
      </c>
      <c r="O257" t="s">
        <v>188</v>
      </c>
      <c r="P257" t="s">
        <v>178</v>
      </c>
    </row>
    <row r="258" spans="1:16" x14ac:dyDescent="0.25">
      <c r="A258">
        <v>107529</v>
      </c>
      <c r="B258" t="s">
        <v>263</v>
      </c>
      <c r="C258" t="s">
        <v>625</v>
      </c>
      <c r="D258" t="s">
        <v>518</v>
      </c>
      <c r="E258" t="s">
        <v>1224</v>
      </c>
      <c r="F258" t="s">
        <v>1225</v>
      </c>
      <c r="G258" t="s">
        <v>319</v>
      </c>
      <c r="H258" t="s">
        <v>321</v>
      </c>
      <c r="I258" t="s">
        <v>363</v>
      </c>
      <c r="J258" t="s">
        <v>363</v>
      </c>
      <c r="K258" t="s">
        <v>326</v>
      </c>
      <c r="L258" t="s">
        <v>4275</v>
      </c>
      <c r="M258" t="s">
        <v>4276</v>
      </c>
      <c r="N258" t="s">
        <v>4277</v>
      </c>
      <c r="O258" t="s">
        <v>310</v>
      </c>
      <c r="P258" t="s">
        <v>178</v>
      </c>
    </row>
    <row r="259" spans="1:16" x14ac:dyDescent="0.25">
      <c r="A259">
        <v>204583</v>
      </c>
      <c r="B259" t="s">
        <v>263</v>
      </c>
      <c r="C259" t="s">
        <v>28</v>
      </c>
      <c r="D259" t="s">
        <v>538</v>
      </c>
      <c r="E259" t="s">
        <v>922</v>
      </c>
      <c r="F259" t="s">
        <v>923</v>
      </c>
      <c r="G259" t="s">
        <v>319</v>
      </c>
      <c r="H259" t="s">
        <v>321</v>
      </c>
      <c r="I259" t="s">
        <v>337</v>
      </c>
      <c r="J259" t="s">
        <v>348</v>
      </c>
      <c r="K259" t="s">
        <v>326</v>
      </c>
      <c r="L259" t="s">
        <v>4502</v>
      </c>
      <c r="M259" t="s">
        <v>4503</v>
      </c>
      <c r="N259" t="s">
        <v>593</v>
      </c>
      <c r="O259" t="s">
        <v>180</v>
      </c>
      <c r="P259" t="s">
        <v>178</v>
      </c>
    </row>
    <row r="260" spans="1:16" x14ac:dyDescent="0.25">
      <c r="A260">
        <v>281960</v>
      </c>
      <c r="B260" t="s">
        <v>263</v>
      </c>
      <c r="C260" t="s">
        <v>121</v>
      </c>
      <c r="D260" t="s">
        <v>491</v>
      </c>
      <c r="E260" t="s">
        <v>924</v>
      </c>
      <c r="F260" t="s">
        <v>925</v>
      </c>
      <c r="G260" t="s">
        <v>319</v>
      </c>
      <c r="H260" t="s">
        <v>319</v>
      </c>
      <c r="I260" t="s">
        <v>344</v>
      </c>
      <c r="J260" t="s">
        <v>344</v>
      </c>
      <c r="K260" t="s">
        <v>326</v>
      </c>
      <c r="L260" t="s">
        <v>763</v>
      </c>
      <c r="M260" t="s">
        <v>4504</v>
      </c>
      <c r="N260" t="s">
        <v>4505</v>
      </c>
      <c r="O260" t="s">
        <v>180</v>
      </c>
      <c r="P260" t="s">
        <v>178</v>
      </c>
    </row>
    <row r="261" spans="1:16" x14ac:dyDescent="0.25">
      <c r="A261">
        <v>340041</v>
      </c>
      <c r="B261" t="s">
        <v>263</v>
      </c>
      <c r="C261" t="s">
        <v>1819</v>
      </c>
      <c r="D261" t="s">
        <v>483</v>
      </c>
      <c r="E261" t="s">
        <v>1820</v>
      </c>
      <c r="F261" t="s">
        <v>1821</v>
      </c>
      <c r="G261" t="s">
        <v>319</v>
      </c>
      <c r="H261" t="s">
        <v>321</v>
      </c>
      <c r="I261" t="s">
        <v>344</v>
      </c>
      <c r="J261" t="s">
        <v>360</v>
      </c>
      <c r="K261" t="s">
        <v>326</v>
      </c>
      <c r="L261" t="s">
        <v>1822</v>
      </c>
      <c r="M261" t="s">
        <v>4979</v>
      </c>
      <c r="N261" t="s">
        <v>4980</v>
      </c>
      <c r="O261" t="s">
        <v>180</v>
      </c>
      <c r="P261" t="s">
        <v>178</v>
      </c>
    </row>
    <row r="262" spans="1:16" x14ac:dyDescent="0.25">
      <c r="A262">
        <v>348096</v>
      </c>
      <c r="B262" t="s">
        <v>263</v>
      </c>
      <c r="C262" t="s">
        <v>217</v>
      </c>
      <c r="D262" t="s">
        <v>478</v>
      </c>
      <c r="E262" t="s">
        <v>1226</v>
      </c>
      <c r="F262" t="s">
        <v>1227</v>
      </c>
      <c r="G262" t="s">
        <v>319</v>
      </c>
      <c r="H262" t="s">
        <v>323</v>
      </c>
      <c r="I262" t="s">
        <v>329</v>
      </c>
      <c r="J262" t="s">
        <v>329</v>
      </c>
      <c r="K262" t="s">
        <v>329</v>
      </c>
      <c r="L262" t="s">
        <v>588</v>
      </c>
      <c r="M262" t="s">
        <v>4738</v>
      </c>
      <c r="N262" t="s">
        <v>4739</v>
      </c>
      <c r="O262" t="s">
        <v>186</v>
      </c>
      <c r="P262" t="s">
        <v>184</v>
      </c>
    </row>
    <row r="263" spans="1:16" x14ac:dyDescent="0.25">
      <c r="A263">
        <v>165722</v>
      </c>
      <c r="B263" t="s">
        <v>263</v>
      </c>
      <c r="C263" t="s">
        <v>216</v>
      </c>
      <c r="D263" t="s">
        <v>497</v>
      </c>
      <c r="E263" t="s">
        <v>926</v>
      </c>
      <c r="F263" t="s">
        <v>927</v>
      </c>
      <c r="G263" t="s">
        <v>319</v>
      </c>
      <c r="H263" t="s">
        <v>319</v>
      </c>
      <c r="I263" t="s">
        <v>329</v>
      </c>
      <c r="J263" t="s">
        <v>329</v>
      </c>
      <c r="K263" t="s">
        <v>326</v>
      </c>
      <c r="L263" t="s">
        <v>4506</v>
      </c>
      <c r="M263" t="s">
        <v>4507</v>
      </c>
      <c r="N263" t="s">
        <v>502</v>
      </c>
      <c r="O263" t="s">
        <v>186</v>
      </c>
      <c r="P263" t="s">
        <v>178</v>
      </c>
    </row>
    <row r="264" spans="1:16" x14ac:dyDescent="0.25">
      <c r="A264">
        <v>124992</v>
      </c>
      <c r="B264" t="s">
        <v>263</v>
      </c>
      <c r="C264" t="s">
        <v>87</v>
      </c>
      <c r="D264" t="s">
        <v>503</v>
      </c>
      <c r="E264" t="s">
        <v>928</v>
      </c>
      <c r="F264" t="s">
        <v>929</v>
      </c>
      <c r="G264" t="s">
        <v>319</v>
      </c>
      <c r="H264" t="s">
        <v>321</v>
      </c>
      <c r="I264" t="s">
        <v>363</v>
      </c>
      <c r="J264" t="s">
        <v>363</v>
      </c>
      <c r="K264" t="s">
        <v>326</v>
      </c>
      <c r="L264" t="s">
        <v>504</v>
      </c>
      <c r="M264" t="s">
        <v>505</v>
      </c>
      <c r="N264" t="s">
        <v>4197</v>
      </c>
      <c r="O264" t="s">
        <v>310</v>
      </c>
      <c r="P264" t="s">
        <v>184</v>
      </c>
    </row>
    <row r="265" spans="1:16" x14ac:dyDescent="0.25">
      <c r="A265">
        <v>160851</v>
      </c>
      <c r="B265" t="s">
        <v>263</v>
      </c>
      <c r="C265" t="s">
        <v>158</v>
      </c>
      <c r="D265" t="s">
        <v>486</v>
      </c>
      <c r="E265" t="s">
        <v>930</v>
      </c>
      <c r="F265" t="s">
        <v>931</v>
      </c>
      <c r="G265" t="s">
        <v>319</v>
      </c>
      <c r="H265" t="s">
        <v>321</v>
      </c>
      <c r="I265" t="s">
        <v>351</v>
      </c>
      <c r="J265" t="s">
        <v>351</v>
      </c>
      <c r="K265" t="s">
        <v>326</v>
      </c>
      <c r="L265" t="s">
        <v>764</v>
      </c>
      <c r="M265" t="s">
        <v>4508</v>
      </c>
      <c r="N265" t="s">
        <v>4509</v>
      </c>
      <c r="O265" t="s">
        <v>180</v>
      </c>
      <c r="P265" t="s">
        <v>178</v>
      </c>
    </row>
    <row r="266" spans="1:16" x14ac:dyDescent="0.25">
      <c r="A266">
        <v>329547</v>
      </c>
      <c r="B266" t="s">
        <v>263</v>
      </c>
      <c r="C266" t="s">
        <v>1607</v>
      </c>
      <c r="D266" t="s">
        <v>518</v>
      </c>
      <c r="E266" t="s">
        <v>1608</v>
      </c>
      <c r="F266" t="s">
        <v>1609</v>
      </c>
      <c r="G266" t="s">
        <v>160</v>
      </c>
      <c r="H266" t="s">
        <v>160</v>
      </c>
      <c r="I266" t="s">
        <v>160</v>
      </c>
      <c r="J266" t="s">
        <v>160</v>
      </c>
      <c r="K266" t="s">
        <v>160</v>
      </c>
      <c r="L266" t="s">
        <v>495</v>
      </c>
      <c r="M266" t="s">
        <v>495</v>
      </c>
      <c r="N266" t="s">
        <v>160</v>
      </c>
      <c r="O266" t="s">
        <v>1464</v>
      </c>
      <c r="P266" t="s">
        <v>178</v>
      </c>
    </row>
    <row r="267" spans="1:16" x14ac:dyDescent="0.25">
      <c r="A267">
        <v>271319</v>
      </c>
      <c r="B267" t="s">
        <v>263</v>
      </c>
      <c r="C267" t="s">
        <v>2413</v>
      </c>
      <c r="D267" t="s">
        <v>491</v>
      </c>
      <c r="E267" t="s">
        <v>2414</v>
      </c>
      <c r="F267" t="s">
        <v>2415</v>
      </c>
      <c r="G267" t="s">
        <v>319</v>
      </c>
      <c r="H267" t="s">
        <v>322</v>
      </c>
      <c r="I267" t="s">
        <v>363</v>
      </c>
      <c r="J267" t="s">
        <v>372</v>
      </c>
      <c r="K267" t="s">
        <v>326</v>
      </c>
      <c r="L267" t="s">
        <v>5216</v>
      </c>
      <c r="M267" t="s">
        <v>5217</v>
      </c>
      <c r="N267" t="s">
        <v>5218</v>
      </c>
      <c r="O267" t="s">
        <v>180</v>
      </c>
      <c r="P267" t="s">
        <v>178</v>
      </c>
    </row>
    <row r="268" spans="1:16" x14ac:dyDescent="0.25">
      <c r="A268">
        <v>389472</v>
      </c>
      <c r="B268" t="s">
        <v>263</v>
      </c>
      <c r="C268" t="s">
        <v>1574</v>
      </c>
      <c r="D268" t="s">
        <v>482</v>
      </c>
      <c r="E268" t="s">
        <v>1575</v>
      </c>
      <c r="F268" t="s">
        <v>1576</v>
      </c>
      <c r="G268" t="s">
        <v>160</v>
      </c>
      <c r="H268" t="s">
        <v>160</v>
      </c>
      <c r="I268" t="s">
        <v>160</v>
      </c>
      <c r="J268" t="s">
        <v>160</v>
      </c>
      <c r="K268" t="s">
        <v>160</v>
      </c>
      <c r="L268" t="s">
        <v>495</v>
      </c>
      <c r="M268" t="s">
        <v>495</v>
      </c>
      <c r="N268" t="s">
        <v>160</v>
      </c>
      <c r="O268" t="s">
        <v>1464</v>
      </c>
      <c r="P268" t="s">
        <v>178</v>
      </c>
    </row>
    <row r="269" spans="1:16" x14ac:dyDescent="0.25">
      <c r="A269">
        <v>29687</v>
      </c>
      <c r="B269" t="s">
        <v>263</v>
      </c>
      <c r="C269" t="s">
        <v>278</v>
      </c>
      <c r="D269" t="s">
        <v>479</v>
      </c>
      <c r="E269" t="s">
        <v>932</v>
      </c>
      <c r="F269" t="s">
        <v>933</v>
      </c>
      <c r="G269" t="s">
        <v>319</v>
      </c>
      <c r="H269" t="s">
        <v>323</v>
      </c>
      <c r="I269" t="s">
        <v>372</v>
      </c>
      <c r="J269" t="s">
        <v>384</v>
      </c>
      <c r="K269" t="s">
        <v>335</v>
      </c>
      <c r="L269" t="s">
        <v>527</v>
      </c>
      <c r="M269" t="s">
        <v>4198</v>
      </c>
      <c r="N269" t="s">
        <v>4199</v>
      </c>
      <c r="O269" t="s">
        <v>180</v>
      </c>
      <c r="P269" t="s">
        <v>178</v>
      </c>
    </row>
    <row r="270" spans="1:16" x14ac:dyDescent="0.25">
      <c r="A270">
        <v>354934</v>
      </c>
      <c r="B270" t="s">
        <v>263</v>
      </c>
      <c r="C270" t="s">
        <v>397</v>
      </c>
      <c r="D270" t="s">
        <v>493</v>
      </c>
      <c r="E270" t="s">
        <v>1228</v>
      </c>
      <c r="F270" t="s">
        <v>1229</v>
      </c>
      <c r="G270" t="s">
        <v>317</v>
      </c>
      <c r="H270" t="s">
        <v>317</v>
      </c>
      <c r="I270" t="s">
        <v>372</v>
      </c>
      <c r="J270" t="s">
        <v>372</v>
      </c>
      <c r="K270" t="s">
        <v>333</v>
      </c>
      <c r="L270" t="s">
        <v>4740</v>
      </c>
      <c r="M270" t="s">
        <v>4741</v>
      </c>
      <c r="N270" t="s">
        <v>4742</v>
      </c>
      <c r="O270" t="s">
        <v>187</v>
      </c>
      <c r="P270" t="s">
        <v>178</v>
      </c>
    </row>
    <row r="271" spans="1:16" x14ac:dyDescent="0.25">
      <c r="A271">
        <v>127398</v>
      </c>
      <c r="B271" t="s">
        <v>263</v>
      </c>
      <c r="C271" t="s">
        <v>1589</v>
      </c>
      <c r="D271" t="s">
        <v>503</v>
      </c>
      <c r="E271" t="s">
        <v>1590</v>
      </c>
      <c r="F271" t="s">
        <v>1591</v>
      </c>
      <c r="G271" t="s">
        <v>319</v>
      </c>
      <c r="H271" t="s">
        <v>321</v>
      </c>
      <c r="I271" t="s">
        <v>372</v>
      </c>
      <c r="J271" t="s">
        <v>402</v>
      </c>
      <c r="K271" t="s">
        <v>329</v>
      </c>
      <c r="L271" t="s">
        <v>4320</v>
      </c>
      <c r="M271" t="s">
        <v>4321</v>
      </c>
      <c r="N271" t="s">
        <v>1500</v>
      </c>
      <c r="O271" t="s">
        <v>193</v>
      </c>
      <c r="P271" t="s">
        <v>184</v>
      </c>
    </row>
    <row r="272" spans="1:16" x14ac:dyDescent="0.25">
      <c r="A272">
        <v>169147</v>
      </c>
      <c r="B272" t="s">
        <v>263</v>
      </c>
      <c r="C272" t="s">
        <v>2416</v>
      </c>
      <c r="D272" t="s">
        <v>486</v>
      </c>
      <c r="E272" t="s">
        <v>2417</v>
      </c>
      <c r="F272" t="s">
        <v>2418</v>
      </c>
      <c r="G272" t="s">
        <v>319</v>
      </c>
      <c r="H272" t="s">
        <v>322</v>
      </c>
      <c r="I272" t="s">
        <v>351</v>
      </c>
      <c r="J272" t="s">
        <v>351</v>
      </c>
      <c r="K272" t="s">
        <v>326</v>
      </c>
      <c r="L272" t="s">
        <v>319</v>
      </c>
      <c r="M272" t="s">
        <v>5219</v>
      </c>
      <c r="N272" t="s">
        <v>5220</v>
      </c>
      <c r="O272" t="s">
        <v>180</v>
      </c>
      <c r="P272" t="s">
        <v>178</v>
      </c>
    </row>
    <row r="273" spans="1:16" x14ac:dyDescent="0.25">
      <c r="A273">
        <v>358737</v>
      </c>
      <c r="B273" t="s">
        <v>263</v>
      </c>
      <c r="C273" t="s">
        <v>1907</v>
      </c>
      <c r="D273" t="s">
        <v>508</v>
      </c>
      <c r="E273" t="s">
        <v>1908</v>
      </c>
      <c r="F273" t="s">
        <v>1909</v>
      </c>
      <c r="G273" t="s">
        <v>317</v>
      </c>
      <c r="H273" t="s">
        <v>321</v>
      </c>
      <c r="I273" t="s">
        <v>363</v>
      </c>
      <c r="J273" t="s">
        <v>402</v>
      </c>
      <c r="K273" t="s">
        <v>329</v>
      </c>
      <c r="L273" t="s">
        <v>5002</v>
      </c>
      <c r="M273" t="s">
        <v>5003</v>
      </c>
      <c r="N273" t="s">
        <v>5004</v>
      </c>
      <c r="O273" t="s">
        <v>281</v>
      </c>
      <c r="P273" t="s">
        <v>184</v>
      </c>
    </row>
    <row r="274" spans="1:16" x14ac:dyDescent="0.25">
      <c r="A274">
        <v>356033</v>
      </c>
      <c r="B274" t="s">
        <v>263</v>
      </c>
      <c r="C274" t="s">
        <v>159</v>
      </c>
      <c r="D274" t="s">
        <v>478</v>
      </c>
      <c r="E274" t="s">
        <v>934</v>
      </c>
      <c r="F274" t="s">
        <v>935</v>
      </c>
      <c r="G274" t="s">
        <v>317</v>
      </c>
      <c r="H274" t="s">
        <v>323</v>
      </c>
      <c r="I274" t="s">
        <v>363</v>
      </c>
      <c r="J274" t="s">
        <v>372</v>
      </c>
      <c r="K274" t="s">
        <v>336</v>
      </c>
      <c r="L274" t="s">
        <v>4510</v>
      </c>
      <c r="M274" t="s">
        <v>4511</v>
      </c>
      <c r="N274" t="s">
        <v>4512</v>
      </c>
      <c r="O274" t="s">
        <v>310</v>
      </c>
      <c r="P274" t="s">
        <v>178</v>
      </c>
    </row>
    <row r="275" spans="1:16" x14ac:dyDescent="0.25">
      <c r="A275">
        <v>415513</v>
      </c>
      <c r="B275" t="s">
        <v>263</v>
      </c>
      <c r="C275" t="s">
        <v>1916</v>
      </c>
      <c r="D275" t="s">
        <v>508</v>
      </c>
      <c r="E275" t="s">
        <v>1917</v>
      </c>
      <c r="F275" t="s">
        <v>1918</v>
      </c>
      <c r="G275" t="s">
        <v>319</v>
      </c>
      <c r="H275" t="s">
        <v>321</v>
      </c>
      <c r="I275" t="s">
        <v>356</v>
      </c>
      <c r="J275" t="s">
        <v>356</v>
      </c>
      <c r="K275" t="s">
        <v>329</v>
      </c>
      <c r="L275" t="s">
        <v>535</v>
      </c>
      <c r="M275" t="s">
        <v>5276</v>
      </c>
      <c r="N275" t="s">
        <v>5277</v>
      </c>
      <c r="O275" t="s">
        <v>1919</v>
      </c>
      <c r="P275" t="s">
        <v>178</v>
      </c>
    </row>
    <row r="276" spans="1:16" x14ac:dyDescent="0.25">
      <c r="A276">
        <v>367829</v>
      </c>
      <c r="B276" t="s">
        <v>263</v>
      </c>
      <c r="C276" t="s">
        <v>88</v>
      </c>
      <c r="D276" t="s">
        <v>493</v>
      </c>
      <c r="E276" t="s">
        <v>936</v>
      </c>
      <c r="F276" t="s">
        <v>937</v>
      </c>
      <c r="G276" t="s">
        <v>319</v>
      </c>
      <c r="H276" t="s">
        <v>319</v>
      </c>
      <c r="I276" t="s">
        <v>337</v>
      </c>
      <c r="J276" t="s">
        <v>351</v>
      </c>
      <c r="K276" t="s">
        <v>329</v>
      </c>
      <c r="L276" t="s">
        <v>495</v>
      </c>
      <c r="M276" t="s">
        <v>506</v>
      </c>
      <c r="N276" t="s">
        <v>4513</v>
      </c>
      <c r="O276" t="s">
        <v>183</v>
      </c>
      <c r="P276" t="s">
        <v>184</v>
      </c>
    </row>
    <row r="277" spans="1:16" x14ac:dyDescent="0.25">
      <c r="A277">
        <v>147194</v>
      </c>
      <c r="B277" t="s">
        <v>263</v>
      </c>
      <c r="C277" t="s">
        <v>643</v>
      </c>
      <c r="D277" t="s">
        <v>503</v>
      </c>
      <c r="E277" t="s">
        <v>1230</v>
      </c>
      <c r="F277" t="s">
        <v>1231</v>
      </c>
      <c r="G277" t="s">
        <v>319</v>
      </c>
      <c r="H277" t="s">
        <v>351</v>
      </c>
      <c r="I277" t="s">
        <v>351</v>
      </c>
      <c r="J277" t="s">
        <v>351</v>
      </c>
      <c r="K277" t="s">
        <v>336</v>
      </c>
      <c r="L277" t="s">
        <v>4743</v>
      </c>
      <c r="M277" t="s">
        <v>4744</v>
      </c>
      <c r="N277" t="s">
        <v>4745</v>
      </c>
      <c r="O277" t="s">
        <v>179</v>
      </c>
      <c r="P277" t="s">
        <v>178</v>
      </c>
    </row>
    <row r="278" spans="1:16" x14ac:dyDescent="0.25">
      <c r="A278">
        <v>161533</v>
      </c>
      <c r="B278" t="s">
        <v>263</v>
      </c>
      <c r="C278" t="s">
        <v>295</v>
      </c>
      <c r="D278" t="s">
        <v>507</v>
      </c>
      <c r="E278" t="s">
        <v>1232</v>
      </c>
      <c r="F278" t="s">
        <v>1233</v>
      </c>
      <c r="G278" t="s">
        <v>317</v>
      </c>
      <c r="H278" t="s">
        <v>321</v>
      </c>
      <c r="I278" t="s">
        <v>372</v>
      </c>
      <c r="J278" t="s">
        <v>532</v>
      </c>
      <c r="K278" t="s">
        <v>333</v>
      </c>
      <c r="L278" t="s">
        <v>4746</v>
      </c>
      <c r="M278" t="s">
        <v>4747</v>
      </c>
      <c r="N278" t="s">
        <v>377</v>
      </c>
      <c r="O278" t="s">
        <v>187</v>
      </c>
      <c r="P278" t="s">
        <v>178</v>
      </c>
    </row>
    <row r="279" spans="1:16" x14ac:dyDescent="0.25">
      <c r="A279">
        <v>241266</v>
      </c>
      <c r="B279" t="s">
        <v>263</v>
      </c>
      <c r="C279" t="s">
        <v>162</v>
      </c>
      <c r="D279" t="s">
        <v>507</v>
      </c>
      <c r="E279" t="s">
        <v>938</v>
      </c>
      <c r="F279" t="s">
        <v>939</v>
      </c>
      <c r="G279" t="s">
        <v>319</v>
      </c>
      <c r="H279" t="s">
        <v>321</v>
      </c>
      <c r="I279" t="s">
        <v>351</v>
      </c>
      <c r="J279" t="s">
        <v>372</v>
      </c>
      <c r="K279" t="s">
        <v>329</v>
      </c>
      <c r="L279" t="s">
        <v>4514</v>
      </c>
      <c r="M279" t="s">
        <v>4515</v>
      </c>
      <c r="N279" t="s">
        <v>4516</v>
      </c>
      <c r="O279" t="s">
        <v>180</v>
      </c>
      <c r="P279" t="s">
        <v>178</v>
      </c>
    </row>
    <row r="280" spans="1:16" x14ac:dyDescent="0.25">
      <c r="A280">
        <v>328479</v>
      </c>
      <c r="B280" t="s">
        <v>263</v>
      </c>
      <c r="C280" t="s">
        <v>1428</v>
      </c>
      <c r="D280" t="s">
        <v>483</v>
      </c>
      <c r="E280" t="s">
        <v>1429</v>
      </c>
      <c r="F280" t="s">
        <v>1430</v>
      </c>
      <c r="G280" t="s">
        <v>317</v>
      </c>
      <c r="H280" t="s">
        <v>321</v>
      </c>
      <c r="I280" t="s">
        <v>360</v>
      </c>
      <c r="J280" t="s">
        <v>360</v>
      </c>
      <c r="K280" t="s">
        <v>329</v>
      </c>
      <c r="L280" t="s">
        <v>4896</v>
      </c>
      <c r="M280" t="s">
        <v>4897</v>
      </c>
      <c r="N280" t="s">
        <v>1431</v>
      </c>
      <c r="O280" t="s">
        <v>180</v>
      </c>
      <c r="P280" t="s">
        <v>178</v>
      </c>
    </row>
    <row r="281" spans="1:16" x14ac:dyDescent="0.25">
      <c r="A281">
        <v>295374</v>
      </c>
      <c r="B281" t="s">
        <v>263</v>
      </c>
      <c r="C281" t="s">
        <v>389</v>
      </c>
      <c r="D281" t="s">
        <v>478</v>
      </c>
      <c r="E281" t="s">
        <v>1234</v>
      </c>
      <c r="F281" t="s">
        <v>1235</v>
      </c>
      <c r="G281" t="s">
        <v>317</v>
      </c>
      <c r="H281" t="s">
        <v>326</v>
      </c>
      <c r="I281" t="s">
        <v>348</v>
      </c>
      <c r="J281" t="s">
        <v>348</v>
      </c>
      <c r="K281" t="s">
        <v>336</v>
      </c>
      <c r="L281" t="s">
        <v>4748</v>
      </c>
      <c r="M281" t="s">
        <v>4749</v>
      </c>
      <c r="N281" t="s">
        <v>4750</v>
      </c>
      <c r="O281" t="s">
        <v>180</v>
      </c>
      <c r="P281" t="s">
        <v>178</v>
      </c>
    </row>
    <row r="282" spans="1:16" x14ac:dyDescent="0.25">
      <c r="A282">
        <v>222509</v>
      </c>
      <c r="B282" t="s">
        <v>263</v>
      </c>
      <c r="C282" t="s">
        <v>2016</v>
      </c>
      <c r="D282" t="s">
        <v>482</v>
      </c>
      <c r="E282" t="s">
        <v>2017</v>
      </c>
      <c r="F282" t="s">
        <v>2018</v>
      </c>
      <c r="G282" t="s">
        <v>317</v>
      </c>
      <c r="H282" t="s">
        <v>321</v>
      </c>
      <c r="I282" t="s">
        <v>372</v>
      </c>
      <c r="J282" t="s">
        <v>402</v>
      </c>
      <c r="K282" t="s">
        <v>336</v>
      </c>
      <c r="L282" t="s">
        <v>2019</v>
      </c>
      <c r="M282" t="s">
        <v>5046</v>
      </c>
      <c r="N282" t="s">
        <v>642</v>
      </c>
      <c r="O282" t="s">
        <v>187</v>
      </c>
      <c r="P282" t="s">
        <v>178</v>
      </c>
    </row>
    <row r="283" spans="1:16" x14ac:dyDescent="0.25">
      <c r="A283">
        <v>110327</v>
      </c>
      <c r="B283" t="s">
        <v>263</v>
      </c>
      <c r="C283" t="s">
        <v>2274</v>
      </c>
      <c r="D283" t="s">
        <v>503</v>
      </c>
      <c r="E283" t="s">
        <v>2275</v>
      </c>
      <c r="F283" t="s">
        <v>2276</v>
      </c>
      <c r="G283" t="s">
        <v>319</v>
      </c>
      <c r="H283" t="s">
        <v>322</v>
      </c>
      <c r="I283" t="s">
        <v>372</v>
      </c>
      <c r="J283" t="s">
        <v>532</v>
      </c>
      <c r="K283" t="s">
        <v>333</v>
      </c>
      <c r="L283" t="s">
        <v>4386</v>
      </c>
      <c r="M283" t="s">
        <v>4387</v>
      </c>
      <c r="N283" t="s">
        <v>1485</v>
      </c>
      <c r="O283" t="s">
        <v>187</v>
      </c>
      <c r="P283" t="s">
        <v>178</v>
      </c>
    </row>
    <row r="284" spans="1:16" x14ac:dyDescent="0.25">
      <c r="A284">
        <v>312484</v>
      </c>
      <c r="B284" t="s">
        <v>263</v>
      </c>
      <c r="C284" t="s">
        <v>118</v>
      </c>
      <c r="D284" t="s">
        <v>480</v>
      </c>
      <c r="E284" t="s">
        <v>1236</v>
      </c>
      <c r="F284" t="s">
        <v>1237</v>
      </c>
      <c r="G284" t="s">
        <v>317</v>
      </c>
      <c r="H284" t="s">
        <v>321</v>
      </c>
      <c r="I284" t="s">
        <v>351</v>
      </c>
      <c r="J284" t="s">
        <v>532</v>
      </c>
      <c r="K284" t="s">
        <v>333</v>
      </c>
      <c r="L284" t="s">
        <v>4751</v>
      </c>
      <c r="M284" t="s">
        <v>4752</v>
      </c>
      <c r="N284" t="s">
        <v>4753</v>
      </c>
      <c r="O284" t="s">
        <v>187</v>
      </c>
      <c r="P284" t="s">
        <v>178</v>
      </c>
    </row>
    <row r="285" spans="1:16" x14ac:dyDescent="0.25">
      <c r="A285">
        <v>277085</v>
      </c>
      <c r="B285" t="s">
        <v>263</v>
      </c>
      <c r="C285" t="s">
        <v>76</v>
      </c>
      <c r="D285" t="s">
        <v>491</v>
      </c>
      <c r="E285" t="s">
        <v>940</v>
      </c>
      <c r="F285" t="s">
        <v>941</v>
      </c>
      <c r="G285" t="s">
        <v>319</v>
      </c>
      <c r="H285" t="s">
        <v>323</v>
      </c>
      <c r="I285" t="s">
        <v>344</v>
      </c>
      <c r="J285" t="s">
        <v>344</v>
      </c>
      <c r="K285" t="s">
        <v>329</v>
      </c>
      <c r="L285" t="s">
        <v>4517</v>
      </c>
      <c r="M285" t="s">
        <v>4518</v>
      </c>
      <c r="N285" t="s">
        <v>4519</v>
      </c>
      <c r="O285" t="s">
        <v>186</v>
      </c>
      <c r="P285" t="s">
        <v>178</v>
      </c>
    </row>
    <row r="286" spans="1:16" x14ac:dyDescent="0.25">
      <c r="A286">
        <v>129622</v>
      </c>
      <c r="B286" t="s">
        <v>263</v>
      </c>
      <c r="C286" t="s">
        <v>76</v>
      </c>
      <c r="D286" t="s">
        <v>503</v>
      </c>
      <c r="E286" t="s">
        <v>2223</v>
      </c>
      <c r="F286" t="s">
        <v>2224</v>
      </c>
      <c r="G286" t="s">
        <v>319</v>
      </c>
      <c r="H286" t="s">
        <v>321</v>
      </c>
      <c r="I286" t="s">
        <v>344</v>
      </c>
      <c r="J286" t="s">
        <v>344</v>
      </c>
      <c r="K286" t="s">
        <v>329</v>
      </c>
      <c r="L286" t="s">
        <v>4381</v>
      </c>
      <c r="M286" t="s">
        <v>4382</v>
      </c>
      <c r="N286" t="s">
        <v>4383</v>
      </c>
      <c r="O286" t="s">
        <v>180</v>
      </c>
      <c r="P286" t="s">
        <v>178</v>
      </c>
    </row>
    <row r="287" spans="1:16" x14ac:dyDescent="0.25">
      <c r="A287">
        <v>335792</v>
      </c>
      <c r="B287" t="s">
        <v>263</v>
      </c>
      <c r="C287" t="s">
        <v>2247</v>
      </c>
      <c r="D287" t="s">
        <v>483</v>
      </c>
      <c r="E287" t="s">
        <v>2248</v>
      </c>
      <c r="F287" t="s">
        <v>2249</v>
      </c>
      <c r="G287" t="s">
        <v>160</v>
      </c>
      <c r="H287" t="s">
        <v>160</v>
      </c>
      <c r="I287" t="s">
        <v>160</v>
      </c>
      <c r="J287" t="s">
        <v>160</v>
      </c>
      <c r="K287" t="s">
        <v>160</v>
      </c>
      <c r="L287" t="s">
        <v>495</v>
      </c>
      <c r="M287" t="s">
        <v>495</v>
      </c>
      <c r="N287" t="s">
        <v>160</v>
      </c>
      <c r="O287" t="s">
        <v>1464</v>
      </c>
      <c r="P287" t="s">
        <v>178</v>
      </c>
    </row>
    <row r="288" spans="1:16" x14ac:dyDescent="0.25">
      <c r="A288">
        <v>383452</v>
      </c>
      <c r="B288" t="s">
        <v>263</v>
      </c>
      <c r="C288" t="s">
        <v>256</v>
      </c>
      <c r="D288" t="s">
        <v>508</v>
      </c>
      <c r="E288" t="s">
        <v>942</v>
      </c>
      <c r="F288" t="s">
        <v>943</v>
      </c>
      <c r="G288" t="s">
        <v>319</v>
      </c>
      <c r="H288" t="s">
        <v>321</v>
      </c>
      <c r="I288" t="s">
        <v>344</v>
      </c>
      <c r="J288" t="s">
        <v>344</v>
      </c>
      <c r="K288" t="s">
        <v>331</v>
      </c>
      <c r="L288" t="s">
        <v>1941</v>
      </c>
      <c r="M288" t="s">
        <v>5225</v>
      </c>
      <c r="N288" t="s">
        <v>5226</v>
      </c>
      <c r="O288" t="s">
        <v>259</v>
      </c>
      <c r="P288" t="s">
        <v>178</v>
      </c>
    </row>
    <row r="289" spans="1:16" x14ac:dyDescent="0.25">
      <c r="A289">
        <v>96848</v>
      </c>
      <c r="B289" t="s">
        <v>263</v>
      </c>
      <c r="C289" t="s">
        <v>69</v>
      </c>
      <c r="D289" t="s">
        <v>518</v>
      </c>
      <c r="E289" t="s">
        <v>944</v>
      </c>
      <c r="F289" t="s">
        <v>945</v>
      </c>
      <c r="G289" t="s">
        <v>317</v>
      </c>
      <c r="H289" t="s">
        <v>321</v>
      </c>
      <c r="I289" t="s">
        <v>372</v>
      </c>
      <c r="J289" t="s">
        <v>547</v>
      </c>
      <c r="K289" t="s">
        <v>336</v>
      </c>
      <c r="L289" t="s">
        <v>4200</v>
      </c>
      <c r="M289" t="s">
        <v>4201</v>
      </c>
      <c r="N289" t="s">
        <v>360</v>
      </c>
      <c r="O289" t="s">
        <v>281</v>
      </c>
      <c r="P289" t="s">
        <v>184</v>
      </c>
    </row>
    <row r="290" spans="1:16" x14ac:dyDescent="0.25">
      <c r="A290">
        <v>209778</v>
      </c>
      <c r="B290" t="s">
        <v>263</v>
      </c>
      <c r="C290" t="s">
        <v>126</v>
      </c>
      <c r="D290" t="s">
        <v>507</v>
      </c>
      <c r="E290" t="s">
        <v>1238</v>
      </c>
      <c r="F290" t="s">
        <v>1239</v>
      </c>
      <c r="G290" t="s">
        <v>317</v>
      </c>
      <c r="H290" t="s">
        <v>326</v>
      </c>
      <c r="I290" t="s">
        <v>337</v>
      </c>
      <c r="J290" t="s">
        <v>337</v>
      </c>
      <c r="K290" t="s">
        <v>326</v>
      </c>
      <c r="L290" t="s">
        <v>4754</v>
      </c>
      <c r="M290" t="s">
        <v>4755</v>
      </c>
      <c r="N290" t="s">
        <v>4756</v>
      </c>
      <c r="O290" t="s">
        <v>180</v>
      </c>
      <c r="P290" t="s">
        <v>184</v>
      </c>
    </row>
    <row r="291" spans="1:16" x14ac:dyDescent="0.25">
      <c r="A291">
        <v>167698</v>
      </c>
      <c r="B291" t="s">
        <v>263</v>
      </c>
      <c r="C291" t="s">
        <v>3966</v>
      </c>
      <c r="D291" t="s">
        <v>486</v>
      </c>
      <c r="E291" t="s">
        <v>4053</v>
      </c>
      <c r="F291" t="s">
        <v>3969</v>
      </c>
      <c r="G291" t="s">
        <v>319</v>
      </c>
      <c r="H291" t="s">
        <v>322</v>
      </c>
      <c r="I291" t="s">
        <v>372</v>
      </c>
      <c r="J291" t="s">
        <v>372</v>
      </c>
      <c r="K291" t="s">
        <v>329</v>
      </c>
      <c r="L291" t="s">
        <v>4054</v>
      </c>
      <c r="M291" t="s">
        <v>4055</v>
      </c>
      <c r="N291" t="s">
        <v>4056</v>
      </c>
      <c r="O291" t="s">
        <v>193</v>
      </c>
      <c r="P291" t="s">
        <v>178</v>
      </c>
    </row>
    <row r="292" spans="1:16" x14ac:dyDescent="0.25">
      <c r="A292">
        <v>264241</v>
      </c>
      <c r="B292" t="s">
        <v>263</v>
      </c>
      <c r="C292" t="s">
        <v>369</v>
      </c>
      <c r="D292" t="s">
        <v>491</v>
      </c>
      <c r="E292" t="s">
        <v>1240</v>
      </c>
      <c r="F292" t="s">
        <v>1241</v>
      </c>
      <c r="G292" t="s">
        <v>319</v>
      </c>
      <c r="H292" t="s">
        <v>319</v>
      </c>
      <c r="I292" t="s">
        <v>344</v>
      </c>
      <c r="J292" t="s">
        <v>344</v>
      </c>
      <c r="K292" t="s">
        <v>329</v>
      </c>
      <c r="L292" t="s">
        <v>667</v>
      </c>
      <c r="M292" t="s">
        <v>4757</v>
      </c>
      <c r="N292" t="s">
        <v>750</v>
      </c>
      <c r="O292" t="s">
        <v>177</v>
      </c>
      <c r="P292" t="s">
        <v>178</v>
      </c>
    </row>
    <row r="293" spans="1:16" x14ac:dyDescent="0.25">
      <c r="A293">
        <v>152471</v>
      </c>
      <c r="B293" t="s">
        <v>263</v>
      </c>
      <c r="C293" t="s">
        <v>89</v>
      </c>
      <c r="D293" t="s">
        <v>497</v>
      </c>
      <c r="E293" t="s">
        <v>946</v>
      </c>
      <c r="F293" t="s">
        <v>947</v>
      </c>
      <c r="G293" t="s">
        <v>319</v>
      </c>
      <c r="H293" t="s">
        <v>322</v>
      </c>
      <c r="I293" t="s">
        <v>363</v>
      </c>
      <c r="J293" t="s">
        <v>402</v>
      </c>
      <c r="K293" t="s">
        <v>335</v>
      </c>
      <c r="L293" t="s">
        <v>509</v>
      </c>
      <c r="M293" t="s">
        <v>4520</v>
      </c>
      <c r="N293" t="s">
        <v>4521</v>
      </c>
      <c r="O293" t="s">
        <v>187</v>
      </c>
      <c r="P293" t="s">
        <v>178</v>
      </c>
    </row>
    <row r="294" spans="1:16" x14ac:dyDescent="0.25">
      <c r="A294">
        <v>205059</v>
      </c>
      <c r="B294" t="s">
        <v>263</v>
      </c>
      <c r="C294" t="s">
        <v>23</v>
      </c>
      <c r="D294" t="s">
        <v>538</v>
      </c>
      <c r="E294" t="s">
        <v>948</v>
      </c>
      <c r="F294" t="s">
        <v>949</v>
      </c>
      <c r="G294" t="s">
        <v>317</v>
      </c>
      <c r="H294" t="s">
        <v>322</v>
      </c>
      <c r="I294" t="s">
        <v>532</v>
      </c>
      <c r="J294" t="s">
        <v>540</v>
      </c>
      <c r="K294" t="s">
        <v>336</v>
      </c>
      <c r="L294" t="s">
        <v>4522</v>
      </c>
      <c r="M294" t="s">
        <v>4523</v>
      </c>
      <c r="N294" t="s">
        <v>1964</v>
      </c>
      <c r="O294" t="s">
        <v>193</v>
      </c>
      <c r="P294" t="s">
        <v>184</v>
      </c>
    </row>
    <row r="295" spans="1:16" x14ac:dyDescent="0.25">
      <c r="A295">
        <v>283948</v>
      </c>
      <c r="B295" t="s">
        <v>263</v>
      </c>
      <c r="C295" t="s">
        <v>2383</v>
      </c>
      <c r="D295" t="s">
        <v>491</v>
      </c>
      <c r="E295" t="s">
        <v>2384</v>
      </c>
      <c r="F295" t="s">
        <v>2385</v>
      </c>
      <c r="G295" t="s">
        <v>319</v>
      </c>
      <c r="H295" t="s">
        <v>321</v>
      </c>
      <c r="I295" t="s">
        <v>372</v>
      </c>
      <c r="J295" t="s">
        <v>532</v>
      </c>
      <c r="K295" t="s">
        <v>333</v>
      </c>
      <c r="L295" t="s">
        <v>5200</v>
      </c>
      <c r="M295" t="s">
        <v>5201</v>
      </c>
      <c r="N295" t="s">
        <v>5202</v>
      </c>
      <c r="O295" t="s">
        <v>187</v>
      </c>
      <c r="P295" t="s">
        <v>178</v>
      </c>
    </row>
    <row r="296" spans="1:16" x14ac:dyDescent="0.25">
      <c r="A296">
        <v>298047</v>
      </c>
      <c r="B296" t="s">
        <v>263</v>
      </c>
      <c r="C296" t="s">
        <v>2229</v>
      </c>
      <c r="D296" t="s">
        <v>480</v>
      </c>
      <c r="E296" t="s">
        <v>2230</v>
      </c>
      <c r="F296" t="s">
        <v>2231</v>
      </c>
      <c r="G296" t="s">
        <v>317</v>
      </c>
      <c r="H296" t="s">
        <v>321</v>
      </c>
      <c r="I296" t="s">
        <v>360</v>
      </c>
      <c r="J296" t="s">
        <v>360</v>
      </c>
      <c r="K296" t="s">
        <v>336</v>
      </c>
      <c r="L296" t="s">
        <v>5137</v>
      </c>
      <c r="M296" t="s">
        <v>5138</v>
      </c>
      <c r="N296" t="s">
        <v>2232</v>
      </c>
      <c r="O296" t="s">
        <v>180</v>
      </c>
      <c r="P296" t="s">
        <v>184</v>
      </c>
    </row>
    <row r="297" spans="1:16" x14ac:dyDescent="0.25">
      <c r="A297">
        <v>314491</v>
      </c>
      <c r="B297" t="s">
        <v>263</v>
      </c>
      <c r="C297" t="s">
        <v>626</v>
      </c>
      <c r="D297" t="s">
        <v>483</v>
      </c>
      <c r="E297" t="s">
        <v>1242</v>
      </c>
      <c r="F297" t="s">
        <v>1243</v>
      </c>
      <c r="G297" t="s">
        <v>317</v>
      </c>
      <c r="H297" t="s">
        <v>321</v>
      </c>
      <c r="I297" t="s">
        <v>372</v>
      </c>
      <c r="J297" t="s">
        <v>402</v>
      </c>
      <c r="K297" t="s">
        <v>329</v>
      </c>
      <c r="L297" t="s">
        <v>4758</v>
      </c>
      <c r="M297" t="s">
        <v>4759</v>
      </c>
      <c r="N297" t="s">
        <v>671</v>
      </c>
      <c r="O297" t="s">
        <v>310</v>
      </c>
      <c r="P297" t="s">
        <v>178</v>
      </c>
    </row>
    <row r="298" spans="1:16" x14ac:dyDescent="0.25">
      <c r="A298">
        <v>323055</v>
      </c>
      <c r="B298" t="s">
        <v>263</v>
      </c>
      <c r="C298" t="s">
        <v>2210</v>
      </c>
      <c r="D298" t="s">
        <v>160</v>
      </c>
      <c r="E298" t="s">
        <v>2211</v>
      </c>
      <c r="F298" t="s">
        <v>2212</v>
      </c>
      <c r="G298" t="s">
        <v>160</v>
      </c>
      <c r="H298" t="s">
        <v>160</v>
      </c>
      <c r="I298" t="s">
        <v>160</v>
      </c>
      <c r="J298" t="s">
        <v>160</v>
      </c>
      <c r="K298" t="s">
        <v>160</v>
      </c>
      <c r="L298" t="s">
        <v>495</v>
      </c>
      <c r="M298" t="s">
        <v>495</v>
      </c>
      <c r="N298" t="s">
        <v>160</v>
      </c>
      <c r="O298" t="s">
        <v>1601</v>
      </c>
      <c r="P298" t="s">
        <v>178</v>
      </c>
    </row>
    <row r="299" spans="1:16" x14ac:dyDescent="0.25">
      <c r="A299">
        <v>242529</v>
      </c>
      <c r="B299" t="s">
        <v>263</v>
      </c>
      <c r="C299" t="s">
        <v>610</v>
      </c>
      <c r="D299" t="s">
        <v>491</v>
      </c>
      <c r="E299" t="s">
        <v>1244</v>
      </c>
      <c r="F299" t="s">
        <v>1245</v>
      </c>
      <c r="G299" t="s">
        <v>319</v>
      </c>
      <c r="H299" t="s">
        <v>326</v>
      </c>
      <c r="I299" t="s">
        <v>351</v>
      </c>
      <c r="J299" t="s">
        <v>363</v>
      </c>
      <c r="K299" t="s">
        <v>336</v>
      </c>
      <c r="L299" t="s">
        <v>672</v>
      </c>
      <c r="M299" t="s">
        <v>4760</v>
      </c>
      <c r="N299" t="s">
        <v>4761</v>
      </c>
      <c r="O299" t="s">
        <v>179</v>
      </c>
      <c r="P299" t="s">
        <v>178</v>
      </c>
    </row>
    <row r="300" spans="1:16" x14ac:dyDescent="0.25">
      <c r="A300">
        <v>193214</v>
      </c>
      <c r="B300" t="s">
        <v>263</v>
      </c>
      <c r="C300" t="s">
        <v>211</v>
      </c>
      <c r="D300" t="s">
        <v>507</v>
      </c>
      <c r="E300" t="s">
        <v>1246</v>
      </c>
      <c r="F300" t="s">
        <v>1247</v>
      </c>
      <c r="G300" t="s">
        <v>319</v>
      </c>
      <c r="H300" t="s">
        <v>322</v>
      </c>
      <c r="I300" t="s">
        <v>363</v>
      </c>
      <c r="J300" t="s">
        <v>363</v>
      </c>
      <c r="K300" t="s">
        <v>326</v>
      </c>
      <c r="L300" t="s">
        <v>4762</v>
      </c>
      <c r="M300" t="s">
        <v>4763</v>
      </c>
      <c r="N300" t="s">
        <v>4764</v>
      </c>
      <c r="O300" t="s">
        <v>180</v>
      </c>
      <c r="P300" t="s">
        <v>178</v>
      </c>
    </row>
    <row r="301" spans="1:16" x14ac:dyDescent="0.25">
      <c r="A301">
        <v>261114</v>
      </c>
      <c r="B301" t="s">
        <v>263</v>
      </c>
      <c r="C301" t="s">
        <v>2405</v>
      </c>
      <c r="D301" t="s">
        <v>482</v>
      </c>
      <c r="E301" t="s">
        <v>2406</v>
      </c>
      <c r="F301" t="s">
        <v>2407</v>
      </c>
      <c r="G301" t="s">
        <v>319</v>
      </c>
      <c r="H301" t="s">
        <v>322</v>
      </c>
      <c r="I301" t="s">
        <v>351</v>
      </c>
      <c r="J301" t="s">
        <v>363</v>
      </c>
      <c r="K301" t="s">
        <v>326</v>
      </c>
      <c r="L301" t="s">
        <v>2408</v>
      </c>
      <c r="M301" t="s">
        <v>5213</v>
      </c>
      <c r="N301" t="s">
        <v>5214</v>
      </c>
      <c r="O301" t="s">
        <v>180</v>
      </c>
      <c r="P301" t="s">
        <v>178</v>
      </c>
    </row>
    <row r="302" spans="1:16" x14ac:dyDescent="0.25">
      <c r="A302">
        <v>433728</v>
      </c>
      <c r="B302" t="s">
        <v>263</v>
      </c>
      <c r="C302" t="s">
        <v>1505</v>
      </c>
      <c r="D302" t="s">
        <v>160</v>
      </c>
      <c r="E302" t="s">
        <v>1506</v>
      </c>
      <c r="F302" t="s">
        <v>1507</v>
      </c>
      <c r="G302" t="s">
        <v>317</v>
      </c>
      <c r="H302" t="s">
        <v>317</v>
      </c>
      <c r="I302" t="s">
        <v>160</v>
      </c>
      <c r="J302" t="s">
        <v>160</v>
      </c>
      <c r="K302" t="s">
        <v>160</v>
      </c>
      <c r="L302" t="s">
        <v>495</v>
      </c>
      <c r="M302" t="s">
        <v>495</v>
      </c>
      <c r="N302" t="s">
        <v>160</v>
      </c>
      <c r="O302" t="s">
        <v>1436</v>
      </c>
      <c r="P302" t="s">
        <v>178</v>
      </c>
    </row>
    <row r="303" spans="1:16" x14ac:dyDescent="0.25">
      <c r="A303">
        <v>94486</v>
      </c>
      <c r="B303" t="s">
        <v>263</v>
      </c>
      <c r="C303" t="s">
        <v>70</v>
      </c>
      <c r="D303" t="s">
        <v>518</v>
      </c>
      <c r="E303" t="s">
        <v>950</v>
      </c>
      <c r="F303" t="s">
        <v>951</v>
      </c>
      <c r="G303" t="s">
        <v>319</v>
      </c>
      <c r="H303" t="s">
        <v>323</v>
      </c>
      <c r="I303" t="s">
        <v>337</v>
      </c>
      <c r="J303" t="s">
        <v>337</v>
      </c>
      <c r="K303" t="s">
        <v>322</v>
      </c>
      <c r="L303" t="s">
        <v>317</v>
      </c>
      <c r="M303" t="s">
        <v>548</v>
      </c>
      <c r="N303" t="s">
        <v>4202</v>
      </c>
      <c r="O303" t="s">
        <v>180</v>
      </c>
      <c r="P303" t="s">
        <v>184</v>
      </c>
    </row>
    <row r="304" spans="1:16" x14ac:dyDescent="0.25">
      <c r="A304">
        <v>318977</v>
      </c>
      <c r="B304" t="s">
        <v>263</v>
      </c>
      <c r="C304" t="s">
        <v>218</v>
      </c>
      <c r="D304" t="s">
        <v>480</v>
      </c>
      <c r="E304" t="s">
        <v>1248</v>
      </c>
      <c r="F304" t="s">
        <v>1249</v>
      </c>
      <c r="G304" t="s">
        <v>317</v>
      </c>
      <c r="H304" t="s">
        <v>321</v>
      </c>
      <c r="I304" t="s">
        <v>337</v>
      </c>
      <c r="J304" t="s">
        <v>363</v>
      </c>
      <c r="K304" t="s">
        <v>333</v>
      </c>
      <c r="L304" t="s">
        <v>4250</v>
      </c>
      <c r="M304" t="s">
        <v>4765</v>
      </c>
      <c r="N304" t="s">
        <v>769</v>
      </c>
      <c r="O304" t="s">
        <v>180</v>
      </c>
      <c r="P304" t="s">
        <v>184</v>
      </c>
    </row>
    <row r="305" spans="1:16" x14ac:dyDescent="0.25">
      <c r="A305">
        <v>364766</v>
      </c>
      <c r="B305" t="s">
        <v>263</v>
      </c>
      <c r="C305" t="s">
        <v>1830</v>
      </c>
      <c r="D305" t="s">
        <v>478</v>
      </c>
      <c r="E305" t="s">
        <v>4987</v>
      </c>
      <c r="F305" t="s">
        <v>4988</v>
      </c>
      <c r="G305" t="s">
        <v>317</v>
      </c>
      <c r="H305" t="s">
        <v>321</v>
      </c>
      <c r="I305" t="s">
        <v>337</v>
      </c>
      <c r="J305" t="s">
        <v>363</v>
      </c>
      <c r="K305" t="s">
        <v>333</v>
      </c>
      <c r="L305" t="s">
        <v>4743</v>
      </c>
      <c r="M305" t="s">
        <v>4989</v>
      </c>
      <c r="N305" t="s">
        <v>4990</v>
      </c>
      <c r="O305" t="s">
        <v>189</v>
      </c>
      <c r="P305" t="s">
        <v>184</v>
      </c>
    </row>
    <row r="306" spans="1:16" x14ac:dyDescent="0.25">
      <c r="A306">
        <v>338834</v>
      </c>
      <c r="B306" t="s">
        <v>263</v>
      </c>
      <c r="C306" t="s">
        <v>1827</v>
      </c>
      <c r="D306" t="s">
        <v>483</v>
      </c>
      <c r="E306" t="s">
        <v>1828</v>
      </c>
      <c r="F306" t="s">
        <v>1829</v>
      </c>
      <c r="G306" t="s">
        <v>317</v>
      </c>
      <c r="H306" t="s">
        <v>321</v>
      </c>
      <c r="I306" t="s">
        <v>337</v>
      </c>
      <c r="J306" t="s">
        <v>363</v>
      </c>
      <c r="K306" t="s">
        <v>329</v>
      </c>
      <c r="L306" t="s">
        <v>4984</v>
      </c>
      <c r="M306" t="s">
        <v>4985</v>
      </c>
      <c r="N306" t="s">
        <v>4986</v>
      </c>
      <c r="O306" t="s">
        <v>180</v>
      </c>
      <c r="P306" t="s">
        <v>184</v>
      </c>
    </row>
    <row r="307" spans="1:16" x14ac:dyDescent="0.25">
      <c r="A307">
        <v>284653</v>
      </c>
      <c r="B307" t="s">
        <v>263</v>
      </c>
      <c r="C307" t="s">
        <v>644</v>
      </c>
      <c r="D307" t="s">
        <v>483</v>
      </c>
      <c r="E307" t="s">
        <v>1250</v>
      </c>
      <c r="F307" t="s">
        <v>1251</v>
      </c>
      <c r="G307" t="s">
        <v>317</v>
      </c>
      <c r="H307" t="s">
        <v>322</v>
      </c>
      <c r="I307" t="s">
        <v>372</v>
      </c>
      <c r="J307" t="s">
        <v>372</v>
      </c>
      <c r="K307" t="s">
        <v>335</v>
      </c>
      <c r="L307" t="s">
        <v>4766</v>
      </c>
      <c r="M307" t="s">
        <v>4767</v>
      </c>
      <c r="N307" t="s">
        <v>4768</v>
      </c>
      <c r="O307" t="s">
        <v>187</v>
      </c>
      <c r="P307" t="s">
        <v>184</v>
      </c>
    </row>
    <row r="308" spans="1:16" x14ac:dyDescent="0.25">
      <c r="A308">
        <v>345584</v>
      </c>
      <c r="B308" t="s">
        <v>263</v>
      </c>
      <c r="C308" t="s">
        <v>2077</v>
      </c>
      <c r="D308" t="s">
        <v>478</v>
      </c>
      <c r="E308" t="s">
        <v>2078</v>
      </c>
      <c r="F308" t="s">
        <v>2079</v>
      </c>
      <c r="G308" t="s">
        <v>319</v>
      </c>
      <c r="H308" t="s">
        <v>319</v>
      </c>
      <c r="I308" t="s">
        <v>337</v>
      </c>
      <c r="J308" t="s">
        <v>348</v>
      </c>
      <c r="K308" t="s">
        <v>326</v>
      </c>
      <c r="L308" t="s">
        <v>5079</v>
      </c>
      <c r="M308" t="s">
        <v>5080</v>
      </c>
      <c r="N308" t="s">
        <v>754</v>
      </c>
      <c r="O308" t="s">
        <v>310</v>
      </c>
      <c r="P308" t="s">
        <v>178</v>
      </c>
    </row>
    <row r="309" spans="1:16" x14ac:dyDescent="0.25">
      <c r="A309">
        <v>269603</v>
      </c>
      <c r="B309" t="s">
        <v>263</v>
      </c>
      <c r="C309" t="s">
        <v>63</v>
      </c>
      <c r="D309" t="s">
        <v>491</v>
      </c>
      <c r="E309" t="s">
        <v>952</v>
      </c>
      <c r="F309" t="s">
        <v>953</v>
      </c>
      <c r="G309" t="s">
        <v>319</v>
      </c>
      <c r="H309" t="s">
        <v>321</v>
      </c>
      <c r="I309" t="s">
        <v>351</v>
      </c>
      <c r="J309" t="s">
        <v>372</v>
      </c>
      <c r="K309" t="s">
        <v>329</v>
      </c>
      <c r="L309" t="s">
        <v>4524</v>
      </c>
      <c r="M309" t="s">
        <v>4525</v>
      </c>
      <c r="N309" t="s">
        <v>4526</v>
      </c>
      <c r="O309" t="s">
        <v>180</v>
      </c>
      <c r="P309" t="s">
        <v>178</v>
      </c>
    </row>
    <row r="310" spans="1:16" x14ac:dyDescent="0.25">
      <c r="A310">
        <v>118</v>
      </c>
      <c r="B310" t="s">
        <v>263</v>
      </c>
      <c r="C310" t="s">
        <v>51</v>
      </c>
      <c r="D310" t="s">
        <v>549</v>
      </c>
      <c r="E310" t="s">
        <v>954</v>
      </c>
      <c r="F310" t="s">
        <v>955</v>
      </c>
      <c r="G310" t="s">
        <v>320</v>
      </c>
      <c r="H310" t="s">
        <v>322</v>
      </c>
      <c r="I310" t="s">
        <v>363</v>
      </c>
      <c r="J310" t="s">
        <v>363</v>
      </c>
      <c r="K310" t="s">
        <v>329</v>
      </c>
      <c r="L310" t="s">
        <v>4203</v>
      </c>
      <c r="M310" t="s">
        <v>4204</v>
      </c>
      <c r="N310" t="s">
        <v>1725</v>
      </c>
      <c r="O310" t="s">
        <v>187</v>
      </c>
      <c r="P310" t="s">
        <v>178</v>
      </c>
    </row>
    <row r="311" spans="1:16" x14ac:dyDescent="0.25">
      <c r="A311">
        <v>156546</v>
      </c>
      <c r="B311" t="s">
        <v>263</v>
      </c>
      <c r="C311" t="s">
        <v>200</v>
      </c>
      <c r="D311" t="s">
        <v>486</v>
      </c>
      <c r="E311" t="s">
        <v>4769</v>
      </c>
      <c r="F311" t="s">
        <v>4770</v>
      </c>
      <c r="G311" t="s">
        <v>321</v>
      </c>
      <c r="H311" t="s">
        <v>338</v>
      </c>
      <c r="I311" t="s">
        <v>351</v>
      </c>
      <c r="J311" t="s">
        <v>372</v>
      </c>
      <c r="K311" t="s">
        <v>340</v>
      </c>
      <c r="L311" t="s">
        <v>4771</v>
      </c>
      <c r="M311" t="s">
        <v>4772</v>
      </c>
      <c r="N311" t="s">
        <v>2096</v>
      </c>
      <c r="O311" t="s">
        <v>179</v>
      </c>
      <c r="P311" t="s">
        <v>178</v>
      </c>
    </row>
    <row r="312" spans="1:16" x14ac:dyDescent="0.25">
      <c r="A312">
        <v>283152</v>
      </c>
      <c r="B312" t="s">
        <v>263</v>
      </c>
      <c r="C312" t="s">
        <v>645</v>
      </c>
      <c r="D312" t="s">
        <v>491</v>
      </c>
      <c r="E312" t="s">
        <v>1252</v>
      </c>
      <c r="F312" t="s">
        <v>1253</v>
      </c>
      <c r="G312" t="s">
        <v>321</v>
      </c>
      <c r="H312" t="s">
        <v>344</v>
      </c>
      <c r="I312" t="s">
        <v>372</v>
      </c>
      <c r="J312" t="s">
        <v>372</v>
      </c>
      <c r="K312" t="s">
        <v>341</v>
      </c>
      <c r="L312" t="s">
        <v>317</v>
      </c>
      <c r="M312" t="s">
        <v>4773</v>
      </c>
      <c r="N312" t="s">
        <v>4774</v>
      </c>
      <c r="O312" t="s">
        <v>179</v>
      </c>
      <c r="P312" t="s">
        <v>178</v>
      </c>
    </row>
    <row r="313" spans="1:16" x14ac:dyDescent="0.25">
      <c r="A313">
        <v>423270</v>
      </c>
      <c r="B313" t="s">
        <v>263</v>
      </c>
      <c r="C313" t="s">
        <v>1938</v>
      </c>
      <c r="D313" t="s">
        <v>508</v>
      </c>
      <c r="E313" t="s">
        <v>1939</v>
      </c>
      <c r="F313" t="s">
        <v>1940</v>
      </c>
      <c r="G313" t="s">
        <v>317</v>
      </c>
      <c r="H313" t="s">
        <v>323</v>
      </c>
      <c r="I313" t="s">
        <v>337</v>
      </c>
      <c r="J313" t="s">
        <v>351</v>
      </c>
      <c r="K313" t="s">
        <v>326</v>
      </c>
      <c r="L313" t="s">
        <v>319</v>
      </c>
      <c r="M313" t="s">
        <v>5287</v>
      </c>
      <c r="N313" t="s">
        <v>1597</v>
      </c>
      <c r="O313" t="s">
        <v>188</v>
      </c>
      <c r="P313" t="s">
        <v>178</v>
      </c>
    </row>
    <row r="314" spans="1:16" x14ac:dyDescent="0.25">
      <c r="A314">
        <v>163413</v>
      </c>
      <c r="B314" t="s">
        <v>263</v>
      </c>
      <c r="C314" t="s">
        <v>14</v>
      </c>
      <c r="D314" t="s">
        <v>497</v>
      </c>
      <c r="E314" t="s">
        <v>956</v>
      </c>
      <c r="F314" t="s">
        <v>957</v>
      </c>
      <c r="G314" t="s">
        <v>319</v>
      </c>
      <c r="H314" t="s">
        <v>321</v>
      </c>
      <c r="I314" t="s">
        <v>372</v>
      </c>
      <c r="J314" t="s">
        <v>388</v>
      </c>
      <c r="K314" t="s">
        <v>329</v>
      </c>
      <c r="L314" t="s">
        <v>550</v>
      </c>
      <c r="M314" t="s">
        <v>4527</v>
      </c>
      <c r="N314" t="s">
        <v>767</v>
      </c>
      <c r="O314" t="s">
        <v>187</v>
      </c>
      <c r="P314" t="s">
        <v>178</v>
      </c>
    </row>
    <row r="315" spans="1:16" x14ac:dyDescent="0.25">
      <c r="A315">
        <v>40862</v>
      </c>
      <c r="B315" t="s">
        <v>263</v>
      </c>
      <c r="C315" t="s">
        <v>2020</v>
      </c>
      <c r="D315" t="s">
        <v>676</v>
      </c>
      <c r="E315" t="s">
        <v>2021</v>
      </c>
      <c r="F315" t="s">
        <v>2022</v>
      </c>
      <c r="G315" t="s">
        <v>319</v>
      </c>
      <c r="H315" t="s">
        <v>323</v>
      </c>
      <c r="I315" t="s">
        <v>372</v>
      </c>
      <c r="J315" t="s">
        <v>372</v>
      </c>
      <c r="K315" t="s">
        <v>495</v>
      </c>
      <c r="L315" t="s">
        <v>495</v>
      </c>
      <c r="M315" t="s">
        <v>322</v>
      </c>
      <c r="N315" t="s">
        <v>160</v>
      </c>
      <c r="O315" t="s">
        <v>2023</v>
      </c>
      <c r="P315" t="s">
        <v>178</v>
      </c>
    </row>
    <row r="316" spans="1:16" x14ac:dyDescent="0.25">
      <c r="A316">
        <v>295486</v>
      </c>
      <c r="B316" t="s">
        <v>263</v>
      </c>
      <c r="C316" t="s">
        <v>396</v>
      </c>
      <c r="D316" t="s">
        <v>480</v>
      </c>
      <c r="E316" t="s">
        <v>1254</v>
      </c>
      <c r="F316" t="s">
        <v>1255</v>
      </c>
      <c r="G316" t="s">
        <v>319</v>
      </c>
      <c r="H316" t="s">
        <v>321</v>
      </c>
      <c r="I316" t="s">
        <v>351</v>
      </c>
      <c r="J316" t="s">
        <v>351</v>
      </c>
      <c r="K316" t="s">
        <v>329</v>
      </c>
      <c r="L316" t="s">
        <v>4775</v>
      </c>
      <c r="M316" t="s">
        <v>4776</v>
      </c>
      <c r="N316" t="s">
        <v>4777</v>
      </c>
      <c r="O316" t="s">
        <v>310</v>
      </c>
      <c r="P316" t="s">
        <v>178</v>
      </c>
    </row>
    <row r="317" spans="1:16" x14ac:dyDescent="0.25">
      <c r="A317">
        <v>171419</v>
      </c>
      <c r="B317" t="s">
        <v>263</v>
      </c>
      <c r="C317" t="s">
        <v>62</v>
      </c>
      <c r="D317" t="s">
        <v>486</v>
      </c>
      <c r="E317" t="s">
        <v>958</v>
      </c>
      <c r="F317" t="s">
        <v>959</v>
      </c>
      <c r="G317" t="s">
        <v>320</v>
      </c>
      <c r="H317" t="s">
        <v>322</v>
      </c>
      <c r="I317" t="s">
        <v>351</v>
      </c>
      <c r="J317" t="s">
        <v>351</v>
      </c>
      <c r="K317" t="s">
        <v>321</v>
      </c>
      <c r="L317" t="s">
        <v>551</v>
      </c>
      <c r="M317" t="s">
        <v>4528</v>
      </c>
      <c r="N317" t="s">
        <v>4529</v>
      </c>
      <c r="O317" t="s">
        <v>283</v>
      </c>
      <c r="P317" t="s">
        <v>178</v>
      </c>
    </row>
    <row r="318" spans="1:16" x14ac:dyDescent="0.25">
      <c r="A318">
        <v>267314</v>
      </c>
      <c r="B318" t="s">
        <v>263</v>
      </c>
      <c r="C318" t="s">
        <v>15</v>
      </c>
      <c r="D318" t="s">
        <v>491</v>
      </c>
      <c r="E318" t="s">
        <v>960</v>
      </c>
      <c r="F318" t="s">
        <v>961</v>
      </c>
      <c r="G318" t="s">
        <v>317</v>
      </c>
      <c r="H318" t="s">
        <v>321</v>
      </c>
      <c r="I318" t="s">
        <v>344</v>
      </c>
      <c r="J318" t="s">
        <v>344</v>
      </c>
      <c r="K318" t="s">
        <v>321</v>
      </c>
      <c r="L318" t="s">
        <v>552</v>
      </c>
      <c r="M318" t="s">
        <v>4530</v>
      </c>
      <c r="N318" t="s">
        <v>4531</v>
      </c>
      <c r="O318" t="s">
        <v>191</v>
      </c>
      <c r="P318" t="s">
        <v>184</v>
      </c>
    </row>
    <row r="319" spans="1:16" x14ac:dyDescent="0.25">
      <c r="A319">
        <v>191004</v>
      </c>
      <c r="B319" t="s">
        <v>263</v>
      </c>
      <c r="C319" t="s">
        <v>64</v>
      </c>
      <c r="D319" t="s">
        <v>538</v>
      </c>
      <c r="E319" t="s">
        <v>962</v>
      </c>
      <c r="F319" t="s">
        <v>963</v>
      </c>
      <c r="G319" t="s">
        <v>319</v>
      </c>
      <c r="H319" t="s">
        <v>321</v>
      </c>
      <c r="I319" t="s">
        <v>337</v>
      </c>
      <c r="J319" t="s">
        <v>337</v>
      </c>
      <c r="K319" t="s">
        <v>322</v>
      </c>
      <c r="L319" t="s">
        <v>4532</v>
      </c>
      <c r="M319" t="s">
        <v>4533</v>
      </c>
      <c r="N319" t="s">
        <v>4534</v>
      </c>
      <c r="O319" t="s">
        <v>191</v>
      </c>
      <c r="P319" t="s">
        <v>178</v>
      </c>
    </row>
    <row r="320" spans="1:16" x14ac:dyDescent="0.25">
      <c r="A320">
        <v>226320</v>
      </c>
      <c r="B320" t="s">
        <v>263</v>
      </c>
      <c r="C320" t="s">
        <v>2362</v>
      </c>
      <c r="D320" t="s">
        <v>482</v>
      </c>
      <c r="E320" t="s">
        <v>2363</v>
      </c>
      <c r="F320" t="s">
        <v>2364</v>
      </c>
      <c r="G320" t="s">
        <v>317</v>
      </c>
      <c r="H320" t="s">
        <v>323</v>
      </c>
      <c r="I320" t="s">
        <v>363</v>
      </c>
      <c r="J320" t="s">
        <v>372</v>
      </c>
      <c r="K320" t="s">
        <v>326</v>
      </c>
      <c r="L320" t="s">
        <v>5185</v>
      </c>
      <c r="M320" t="s">
        <v>5186</v>
      </c>
      <c r="N320" t="s">
        <v>5187</v>
      </c>
      <c r="O320" t="s">
        <v>180</v>
      </c>
      <c r="P320" t="s">
        <v>178</v>
      </c>
    </row>
    <row r="321" spans="1:16" x14ac:dyDescent="0.25">
      <c r="A321">
        <v>181304</v>
      </c>
      <c r="B321" t="s">
        <v>263</v>
      </c>
      <c r="C321" t="s">
        <v>2206</v>
      </c>
      <c r="D321" t="s">
        <v>486</v>
      </c>
      <c r="E321" t="s">
        <v>2207</v>
      </c>
      <c r="F321" t="s">
        <v>2208</v>
      </c>
      <c r="G321" t="s">
        <v>319</v>
      </c>
      <c r="H321" t="s">
        <v>325</v>
      </c>
      <c r="I321" t="s">
        <v>776</v>
      </c>
      <c r="J321" t="s">
        <v>776</v>
      </c>
      <c r="K321" t="s">
        <v>329</v>
      </c>
      <c r="L321" t="s">
        <v>5126</v>
      </c>
      <c r="M321" t="s">
        <v>5127</v>
      </c>
      <c r="N321" t="s">
        <v>5128</v>
      </c>
      <c r="O321" t="s">
        <v>309</v>
      </c>
      <c r="P321" t="s">
        <v>184</v>
      </c>
    </row>
    <row r="322" spans="1:16" x14ac:dyDescent="0.25">
      <c r="A322">
        <v>301767</v>
      </c>
      <c r="B322" t="s">
        <v>263</v>
      </c>
      <c r="C322" t="s">
        <v>67</v>
      </c>
      <c r="D322" t="s">
        <v>480</v>
      </c>
      <c r="E322" t="s">
        <v>964</v>
      </c>
      <c r="F322" t="s">
        <v>965</v>
      </c>
      <c r="G322" t="s">
        <v>319</v>
      </c>
      <c r="H322" t="s">
        <v>323</v>
      </c>
      <c r="I322" t="s">
        <v>351</v>
      </c>
      <c r="J322" t="s">
        <v>363</v>
      </c>
      <c r="K322" t="s">
        <v>329</v>
      </c>
      <c r="L322" t="s">
        <v>4535</v>
      </c>
      <c r="M322" t="s">
        <v>4536</v>
      </c>
      <c r="N322" t="s">
        <v>4537</v>
      </c>
      <c r="O322" t="s">
        <v>189</v>
      </c>
      <c r="P322" t="s">
        <v>184</v>
      </c>
    </row>
    <row r="323" spans="1:16" x14ac:dyDescent="0.25">
      <c r="A323">
        <v>204402</v>
      </c>
      <c r="B323" t="s">
        <v>263</v>
      </c>
      <c r="C323" t="s">
        <v>2119</v>
      </c>
      <c r="D323" t="s">
        <v>486</v>
      </c>
      <c r="E323" t="s">
        <v>2120</v>
      </c>
      <c r="F323" t="s">
        <v>2121</v>
      </c>
      <c r="G323" t="s">
        <v>317</v>
      </c>
      <c r="H323" t="s">
        <v>322</v>
      </c>
      <c r="I323" t="s">
        <v>532</v>
      </c>
      <c r="J323" t="s">
        <v>532</v>
      </c>
      <c r="K323" t="s">
        <v>333</v>
      </c>
      <c r="L323" t="s">
        <v>495</v>
      </c>
      <c r="M323" t="s">
        <v>2122</v>
      </c>
      <c r="N323" t="s">
        <v>160</v>
      </c>
      <c r="O323" t="s">
        <v>183</v>
      </c>
      <c r="P323" t="s">
        <v>184</v>
      </c>
    </row>
    <row r="324" spans="1:16" x14ac:dyDescent="0.25">
      <c r="A324">
        <v>167355</v>
      </c>
      <c r="B324" t="s">
        <v>263</v>
      </c>
      <c r="C324" t="s">
        <v>293</v>
      </c>
      <c r="D324" t="s">
        <v>482</v>
      </c>
      <c r="E324" t="s">
        <v>966</v>
      </c>
      <c r="F324" t="s">
        <v>967</v>
      </c>
      <c r="G324" t="s">
        <v>317</v>
      </c>
      <c r="H324" t="s">
        <v>322</v>
      </c>
      <c r="I324" t="s">
        <v>402</v>
      </c>
      <c r="J324" t="s">
        <v>540</v>
      </c>
      <c r="K324" t="s">
        <v>333</v>
      </c>
      <c r="L324" t="s">
        <v>4538</v>
      </c>
      <c r="M324" t="s">
        <v>4539</v>
      </c>
      <c r="N324" t="s">
        <v>346</v>
      </c>
      <c r="O324" t="s">
        <v>193</v>
      </c>
      <c r="P324" t="s">
        <v>184</v>
      </c>
    </row>
    <row r="325" spans="1:16" x14ac:dyDescent="0.25">
      <c r="A325">
        <v>353545</v>
      </c>
      <c r="B325" t="s">
        <v>263</v>
      </c>
      <c r="C325" t="s">
        <v>1501</v>
      </c>
      <c r="D325" t="s">
        <v>478</v>
      </c>
      <c r="E325" t="s">
        <v>1502</v>
      </c>
      <c r="F325" t="s">
        <v>1503</v>
      </c>
      <c r="G325" t="s">
        <v>317</v>
      </c>
      <c r="H325" t="s">
        <v>321</v>
      </c>
      <c r="I325" t="s">
        <v>348</v>
      </c>
      <c r="J325" t="s">
        <v>351</v>
      </c>
      <c r="K325" t="s">
        <v>326</v>
      </c>
      <c r="L325" t="s">
        <v>4907</v>
      </c>
      <c r="M325" t="s">
        <v>4908</v>
      </c>
      <c r="N325" t="s">
        <v>4909</v>
      </c>
      <c r="O325" t="s">
        <v>180</v>
      </c>
      <c r="P325" t="s">
        <v>178</v>
      </c>
    </row>
    <row r="326" spans="1:16" x14ac:dyDescent="0.25">
      <c r="A326">
        <v>380165</v>
      </c>
      <c r="B326" t="s">
        <v>263</v>
      </c>
      <c r="C326" t="s">
        <v>1983</v>
      </c>
      <c r="D326" t="s">
        <v>493</v>
      </c>
      <c r="E326" t="s">
        <v>1984</v>
      </c>
      <c r="F326" t="s">
        <v>1985</v>
      </c>
      <c r="G326" t="s">
        <v>317</v>
      </c>
      <c r="H326" t="s">
        <v>321</v>
      </c>
      <c r="I326" t="s">
        <v>348</v>
      </c>
      <c r="J326" t="s">
        <v>351</v>
      </c>
      <c r="K326" t="s">
        <v>326</v>
      </c>
      <c r="L326" t="s">
        <v>5291</v>
      </c>
      <c r="M326" t="s">
        <v>5292</v>
      </c>
      <c r="N326" t="s">
        <v>753</v>
      </c>
      <c r="O326" t="s">
        <v>180</v>
      </c>
      <c r="P326" t="s">
        <v>178</v>
      </c>
    </row>
    <row r="327" spans="1:16" x14ac:dyDescent="0.25">
      <c r="A327">
        <v>285125</v>
      </c>
      <c r="B327" t="s">
        <v>263</v>
      </c>
      <c r="C327" t="s">
        <v>288</v>
      </c>
      <c r="D327" t="s">
        <v>491</v>
      </c>
      <c r="E327" t="s">
        <v>968</v>
      </c>
      <c r="F327" t="s">
        <v>969</v>
      </c>
      <c r="G327" t="s">
        <v>317</v>
      </c>
      <c r="H327" t="s">
        <v>321</v>
      </c>
      <c r="I327" t="s">
        <v>351</v>
      </c>
      <c r="J327" t="s">
        <v>351</v>
      </c>
      <c r="K327" t="s">
        <v>336</v>
      </c>
      <c r="L327" t="s">
        <v>525</v>
      </c>
      <c r="M327" t="s">
        <v>4540</v>
      </c>
      <c r="N327" t="s">
        <v>4541</v>
      </c>
      <c r="O327" t="s">
        <v>183</v>
      </c>
      <c r="P327" t="s">
        <v>184</v>
      </c>
    </row>
    <row r="328" spans="1:16" x14ac:dyDescent="0.25">
      <c r="A328">
        <v>299574</v>
      </c>
      <c r="B328" t="s">
        <v>263</v>
      </c>
      <c r="C328" t="s">
        <v>71</v>
      </c>
      <c r="D328" t="s">
        <v>480</v>
      </c>
      <c r="E328" t="s">
        <v>970</v>
      </c>
      <c r="F328" t="s">
        <v>971</v>
      </c>
      <c r="G328" t="s">
        <v>317</v>
      </c>
      <c r="H328" t="s">
        <v>323</v>
      </c>
      <c r="I328" t="s">
        <v>344</v>
      </c>
      <c r="J328" t="s">
        <v>495</v>
      </c>
      <c r="K328" t="s">
        <v>321</v>
      </c>
      <c r="L328" t="s">
        <v>317</v>
      </c>
      <c r="M328" t="s">
        <v>4542</v>
      </c>
      <c r="N328" t="s">
        <v>4543</v>
      </c>
      <c r="O328" t="s">
        <v>179</v>
      </c>
      <c r="P328" t="s">
        <v>184</v>
      </c>
    </row>
    <row r="329" spans="1:16" x14ac:dyDescent="0.25">
      <c r="A329">
        <v>12942</v>
      </c>
      <c r="B329" t="s">
        <v>263</v>
      </c>
      <c r="C329" t="s">
        <v>127</v>
      </c>
      <c r="D329" t="s">
        <v>517</v>
      </c>
      <c r="E329" t="s">
        <v>972</v>
      </c>
      <c r="F329" t="s">
        <v>973</v>
      </c>
      <c r="G329" t="s">
        <v>320</v>
      </c>
      <c r="H329" t="s">
        <v>325</v>
      </c>
      <c r="I329" t="s">
        <v>344</v>
      </c>
      <c r="J329" t="s">
        <v>344</v>
      </c>
      <c r="K329" t="s">
        <v>326</v>
      </c>
      <c r="L329" t="s">
        <v>4205</v>
      </c>
      <c r="M329" t="s">
        <v>4206</v>
      </c>
      <c r="N329" t="s">
        <v>4207</v>
      </c>
      <c r="O329" t="s">
        <v>180</v>
      </c>
      <c r="P329" t="s">
        <v>178</v>
      </c>
    </row>
    <row r="330" spans="1:16" x14ac:dyDescent="0.25">
      <c r="A330">
        <v>284435</v>
      </c>
      <c r="B330" t="s">
        <v>263</v>
      </c>
      <c r="C330" t="s">
        <v>366</v>
      </c>
      <c r="D330" t="s">
        <v>491</v>
      </c>
      <c r="E330" t="s">
        <v>1256</v>
      </c>
      <c r="F330" t="s">
        <v>1257</v>
      </c>
      <c r="G330" t="s">
        <v>317</v>
      </c>
      <c r="H330" t="s">
        <v>321</v>
      </c>
      <c r="I330" t="s">
        <v>351</v>
      </c>
      <c r="J330" t="s">
        <v>372</v>
      </c>
      <c r="K330" t="s">
        <v>326</v>
      </c>
      <c r="L330" t="s">
        <v>4778</v>
      </c>
      <c r="M330" t="s">
        <v>4779</v>
      </c>
      <c r="N330" t="s">
        <v>4780</v>
      </c>
      <c r="O330" t="s">
        <v>177</v>
      </c>
      <c r="P330" t="s">
        <v>178</v>
      </c>
    </row>
    <row r="331" spans="1:16" x14ac:dyDescent="0.25">
      <c r="A331">
        <v>396790</v>
      </c>
      <c r="B331" t="s">
        <v>263</v>
      </c>
      <c r="C331" t="s">
        <v>1525</v>
      </c>
      <c r="D331" t="s">
        <v>493</v>
      </c>
      <c r="E331" t="s">
        <v>1526</v>
      </c>
      <c r="F331" t="s">
        <v>1527</v>
      </c>
      <c r="G331" t="s">
        <v>317</v>
      </c>
      <c r="H331" t="s">
        <v>321</v>
      </c>
      <c r="I331" t="s">
        <v>372</v>
      </c>
      <c r="J331" t="s">
        <v>519</v>
      </c>
      <c r="K331" t="s">
        <v>336</v>
      </c>
      <c r="L331" t="s">
        <v>5257</v>
      </c>
      <c r="M331" t="s">
        <v>5258</v>
      </c>
      <c r="N331" t="s">
        <v>519</v>
      </c>
      <c r="O331" t="s">
        <v>187</v>
      </c>
      <c r="P331" t="s">
        <v>178</v>
      </c>
    </row>
    <row r="332" spans="1:16" x14ac:dyDescent="0.25">
      <c r="A332">
        <v>383158</v>
      </c>
      <c r="B332" t="s">
        <v>263</v>
      </c>
      <c r="C332" t="s">
        <v>210</v>
      </c>
      <c r="D332" t="s">
        <v>493</v>
      </c>
      <c r="E332" t="s">
        <v>974</v>
      </c>
      <c r="F332" t="s">
        <v>975</v>
      </c>
      <c r="G332" t="s">
        <v>319</v>
      </c>
      <c r="H332" t="s">
        <v>321</v>
      </c>
      <c r="I332" t="s">
        <v>351</v>
      </c>
      <c r="J332" t="s">
        <v>363</v>
      </c>
      <c r="K332" t="s">
        <v>329</v>
      </c>
      <c r="L332" t="s">
        <v>319</v>
      </c>
      <c r="M332" t="s">
        <v>5227</v>
      </c>
      <c r="N332" t="s">
        <v>5228</v>
      </c>
      <c r="O332" t="s">
        <v>180</v>
      </c>
      <c r="P332" t="s">
        <v>178</v>
      </c>
    </row>
    <row r="333" spans="1:16" x14ac:dyDescent="0.25">
      <c r="A333">
        <v>291572</v>
      </c>
      <c r="B333" t="s">
        <v>263</v>
      </c>
      <c r="C333" t="s">
        <v>592</v>
      </c>
      <c r="D333" t="s">
        <v>483</v>
      </c>
      <c r="E333" t="s">
        <v>1258</v>
      </c>
      <c r="F333" t="s">
        <v>1259</v>
      </c>
      <c r="G333" t="s">
        <v>317</v>
      </c>
      <c r="H333" t="s">
        <v>323</v>
      </c>
      <c r="I333" t="s">
        <v>363</v>
      </c>
      <c r="J333" t="s">
        <v>519</v>
      </c>
      <c r="K333" t="s">
        <v>329</v>
      </c>
      <c r="L333" t="s">
        <v>4781</v>
      </c>
      <c r="M333" t="s">
        <v>4782</v>
      </c>
      <c r="N333" t="s">
        <v>4783</v>
      </c>
      <c r="O333" t="s">
        <v>281</v>
      </c>
      <c r="P333" t="s">
        <v>178</v>
      </c>
    </row>
    <row r="334" spans="1:16" x14ac:dyDescent="0.25">
      <c r="A334">
        <v>147241</v>
      </c>
      <c r="B334" t="s">
        <v>263</v>
      </c>
      <c r="C334" t="s">
        <v>91</v>
      </c>
      <c r="D334" t="s">
        <v>482</v>
      </c>
      <c r="E334" t="s">
        <v>976</v>
      </c>
      <c r="F334" t="s">
        <v>977</v>
      </c>
      <c r="G334" t="s">
        <v>317</v>
      </c>
      <c r="H334" t="s">
        <v>321</v>
      </c>
      <c r="I334" t="s">
        <v>344</v>
      </c>
      <c r="J334" t="s">
        <v>360</v>
      </c>
      <c r="K334" t="s">
        <v>329</v>
      </c>
      <c r="L334" t="s">
        <v>510</v>
      </c>
      <c r="M334" t="s">
        <v>4544</v>
      </c>
      <c r="N334" t="s">
        <v>4545</v>
      </c>
      <c r="O334" t="s">
        <v>187</v>
      </c>
      <c r="P334" t="s">
        <v>178</v>
      </c>
    </row>
    <row r="335" spans="1:16" x14ac:dyDescent="0.25">
      <c r="A335">
        <v>273477</v>
      </c>
      <c r="B335" t="s">
        <v>263</v>
      </c>
      <c r="C335" t="s">
        <v>617</v>
      </c>
      <c r="D335" t="s">
        <v>491</v>
      </c>
      <c r="E335" t="s">
        <v>1260</v>
      </c>
      <c r="F335" t="s">
        <v>1261</v>
      </c>
      <c r="G335" t="s">
        <v>319</v>
      </c>
      <c r="H335" t="s">
        <v>326</v>
      </c>
      <c r="I335" t="s">
        <v>360</v>
      </c>
      <c r="J335" t="s">
        <v>360</v>
      </c>
      <c r="K335" t="s">
        <v>329</v>
      </c>
      <c r="L335" t="s">
        <v>673</v>
      </c>
      <c r="M335" t="s">
        <v>4784</v>
      </c>
      <c r="N335" t="s">
        <v>4785</v>
      </c>
      <c r="O335" t="s">
        <v>180</v>
      </c>
      <c r="P335" t="s">
        <v>184</v>
      </c>
    </row>
    <row r="336" spans="1:16" x14ac:dyDescent="0.25">
      <c r="A336">
        <v>184267</v>
      </c>
      <c r="B336" t="s">
        <v>263</v>
      </c>
      <c r="C336" t="s">
        <v>1726</v>
      </c>
      <c r="D336" t="s">
        <v>480</v>
      </c>
      <c r="E336" t="s">
        <v>1727</v>
      </c>
      <c r="F336" t="s">
        <v>1728</v>
      </c>
      <c r="G336" t="s">
        <v>317</v>
      </c>
      <c r="H336" t="s">
        <v>321</v>
      </c>
      <c r="I336" t="s">
        <v>402</v>
      </c>
      <c r="J336" t="s">
        <v>519</v>
      </c>
      <c r="K336" t="s">
        <v>336</v>
      </c>
      <c r="L336" t="s">
        <v>4947</v>
      </c>
      <c r="M336" t="s">
        <v>4948</v>
      </c>
      <c r="N336" t="s">
        <v>1729</v>
      </c>
      <c r="O336" t="s">
        <v>187</v>
      </c>
      <c r="P336" t="s">
        <v>178</v>
      </c>
    </row>
    <row r="337" spans="1:16" x14ac:dyDescent="0.25">
      <c r="A337">
        <v>251412</v>
      </c>
      <c r="B337" t="s">
        <v>263</v>
      </c>
      <c r="C337" t="s">
        <v>2370</v>
      </c>
      <c r="D337" t="s">
        <v>491</v>
      </c>
      <c r="E337" t="s">
        <v>2371</v>
      </c>
      <c r="F337" t="s">
        <v>2372</v>
      </c>
      <c r="G337" t="s">
        <v>317</v>
      </c>
      <c r="H337" t="s">
        <v>326</v>
      </c>
      <c r="I337" t="s">
        <v>344</v>
      </c>
      <c r="J337" t="s">
        <v>344</v>
      </c>
      <c r="K337" t="s">
        <v>325</v>
      </c>
      <c r="L337" t="s">
        <v>5190</v>
      </c>
      <c r="M337" t="s">
        <v>5191</v>
      </c>
      <c r="N337" t="s">
        <v>5192</v>
      </c>
      <c r="O337" t="s">
        <v>180</v>
      </c>
      <c r="P337" t="s">
        <v>178</v>
      </c>
    </row>
    <row r="338" spans="1:16" x14ac:dyDescent="0.25">
      <c r="A338">
        <v>147949</v>
      </c>
      <c r="B338" t="s">
        <v>263</v>
      </c>
      <c r="C338" t="s">
        <v>1496</v>
      </c>
      <c r="D338" t="s">
        <v>497</v>
      </c>
      <c r="E338" t="s">
        <v>1497</v>
      </c>
      <c r="F338" t="s">
        <v>1498</v>
      </c>
      <c r="G338" t="s">
        <v>320</v>
      </c>
      <c r="H338" t="s">
        <v>329</v>
      </c>
      <c r="I338" t="s">
        <v>329</v>
      </c>
      <c r="J338" t="s">
        <v>329</v>
      </c>
      <c r="K338" t="s">
        <v>326</v>
      </c>
      <c r="L338" t="s">
        <v>4904</v>
      </c>
      <c r="M338" t="s">
        <v>4905</v>
      </c>
      <c r="N338" t="s">
        <v>4906</v>
      </c>
      <c r="O338" t="s">
        <v>179</v>
      </c>
      <c r="P338" t="s">
        <v>178</v>
      </c>
    </row>
    <row r="339" spans="1:16" x14ac:dyDescent="0.25">
      <c r="A339">
        <v>160477</v>
      </c>
      <c r="B339" t="s">
        <v>263</v>
      </c>
      <c r="C339" t="s">
        <v>613</v>
      </c>
      <c r="D339" t="s">
        <v>497</v>
      </c>
      <c r="E339" t="s">
        <v>1262</v>
      </c>
      <c r="F339" t="s">
        <v>1263</v>
      </c>
      <c r="G339" t="s">
        <v>319</v>
      </c>
      <c r="H339" t="s">
        <v>319</v>
      </c>
      <c r="I339" t="s">
        <v>337</v>
      </c>
      <c r="J339" t="s">
        <v>344</v>
      </c>
      <c r="K339" t="s">
        <v>329</v>
      </c>
      <c r="L339" t="s">
        <v>4786</v>
      </c>
      <c r="M339" t="s">
        <v>4787</v>
      </c>
      <c r="N339" t="s">
        <v>4788</v>
      </c>
      <c r="O339" t="s">
        <v>192</v>
      </c>
      <c r="P339" t="s">
        <v>178</v>
      </c>
    </row>
    <row r="340" spans="1:16" x14ac:dyDescent="0.25">
      <c r="A340">
        <v>382095</v>
      </c>
      <c r="B340" t="s">
        <v>263</v>
      </c>
      <c r="C340" t="s">
        <v>1493</v>
      </c>
      <c r="D340" t="s">
        <v>493</v>
      </c>
      <c r="E340" t="s">
        <v>1494</v>
      </c>
      <c r="F340" t="s">
        <v>1495</v>
      </c>
      <c r="G340" t="s">
        <v>160</v>
      </c>
      <c r="H340" t="s">
        <v>160</v>
      </c>
      <c r="I340" t="s">
        <v>160</v>
      </c>
      <c r="J340" t="s">
        <v>160</v>
      </c>
      <c r="K340" t="s">
        <v>160</v>
      </c>
      <c r="L340" t="s">
        <v>495</v>
      </c>
      <c r="M340" t="s">
        <v>495</v>
      </c>
      <c r="N340" t="s">
        <v>160</v>
      </c>
      <c r="O340" t="s">
        <v>1464</v>
      </c>
      <c r="P340" t="s">
        <v>178</v>
      </c>
    </row>
    <row r="341" spans="1:16" x14ac:dyDescent="0.25">
      <c r="A341">
        <v>164928</v>
      </c>
      <c r="B341" t="s">
        <v>263</v>
      </c>
      <c r="C341" t="s">
        <v>1742</v>
      </c>
      <c r="D341" t="s">
        <v>497</v>
      </c>
      <c r="E341" t="s">
        <v>1743</v>
      </c>
      <c r="F341" t="s">
        <v>1744</v>
      </c>
      <c r="G341" t="s">
        <v>319</v>
      </c>
      <c r="H341" t="s">
        <v>322</v>
      </c>
      <c r="I341" t="s">
        <v>402</v>
      </c>
      <c r="J341" t="s">
        <v>402</v>
      </c>
      <c r="K341" t="s">
        <v>333</v>
      </c>
      <c r="L341" t="s">
        <v>1745</v>
      </c>
      <c r="M341" t="s">
        <v>4953</v>
      </c>
      <c r="N341" t="s">
        <v>358</v>
      </c>
      <c r="O341" t="s">
        <v>187</v>
      </c>
      <c r="P341" t="s">
        <v>178</v>
      </c>
    </row>
    <row r="342" spans="1:16" x14ac:dyDescent="0.25">
      <c r="A342">
        <v>391214</v>
      </c>
      <c r="B342" t="s">
        <v>263</v>
      </c>
      <c r="C342" t="s">
        <v>1486</v>
      </c>
      <c r="D342" t="s">
        <v>493</v>
      </c>
      <c r="E342" t="s">
        <v>1487</v>
      </c>
      <c r="F342" t="s">
        <v>1488</v>
      </c>
      <c r="G342" t="s">
        <v>317</v>
      </c>
      <c r="H342" t="s">
        <v>321</v>
      </c>
      <c r="I342" t="s">
        <v>337</v>
      </c>
      <c r="J342" t="s">
        <v>337</v>
      </c>
      <c r="K342" t="s">
        <v>326</v>
      </c>
      <c r="L342" t="s">
        <v>1489</v>
      </c>
      <c r="M342" t="s">
        <v>5255</v>
      </c>
      <c r="N342" t="s">
        <v>5256</v>
      </c>
      <c r="O342" t="s">
        <v>182</v>
      </c>
      <c r="P342" t="s">
        <v>178</v>
      </c>
    </row>
    <row r="343" spans="1:16" x14ac:dyDescent="0.25">
      <c r="A343">
        <v>172931</v>
      </c>
      <c r="B343" t="s">
        <v>263</v>
      </c>
      <c r="C343" t="s">
        <v>197</v>
      </c>
      <c r="D343" t="s">
        <v>497</v>
      </c>
      <c r="E343" t="s">
        <v>978</v>
      </c>
      <c r="F343" t="s">
        <v>979</v>
      </c>
      <c r="G343" t="s">
        <v>319</v>
      </c>
      <c r="H343" t="s">
        <v>321</v>
      </c>
      <c r="I343" t="s">
        <v>344</v>
      </c>
      <c r="J343" t="s">
        <v>344</v>
      </c>
      <c r="K343" t="s">
        <v>322</v>
      </c>
      <c r="L343" t="s">
        <v>4546</v>
      </c>
      <c r="M343" t="s">
        <v>4547</v>
      </c>
      <c r="N343" t="s">
        <v>786</v>
      </c>
      <c r="O343" t="s">
        <v>191</v>
      </c>
      <c r="P343" t="s">
        <v>184</v>
      </c>
    </row>
    <row r="344" spans="1:16" x14ac:dyDescent="0.25">
      <c r="A344">
        <v>326264</v>
      </c>
      <c r="B344" t="s">
        <v>263</v>
      </c>
      <c r="C344" t="s">
        <v>90</v>
      </c>
      <c r="D344" t="s">
        <v>508</v>
      </c>
      <c r="E344" t="s">
        <v>980</v>
      </c>
      <c r="F344" t="s">
        <v>981</v>
      </c>
      <c r="G344" t="s">
        <v>317</v>
      </c>
      <c r="H344" t="s">
        <v>321</v>
      </c>
      <c r="I344" t="s">
        <v>360</v>
      </c>
      <c r="J344" t="s">
        <v>372</v>
      </c>
      <c r="K344" t="s">
        <v>329</v>
      </c>
      <c r="L344" t="s">
        <v>511</v>
      </c>
      <c r="M344" t="s">
        <v>4548</v>
      </c>
      <c r="N344" t="s">
        <v>4549</v>
      </c>
      <c r="O344" t="s">
        <v>188</v>
      </c>
      <c r="P344" t="s">
        <v>178</v>
      </c>
    </row>
    <row r="345" spans="1:16" x14ac:dyDescent="0.25">
      <c r="A345">
        <v>266810</v>
      </c>
      <c r="B345" t="s">
        <v>263</v>
      </c>
      <c r="C345" t="s">
        <v>18</v>
      </c>
      <c r="D345" t="s">
        <v>491</v>
      </c>
      <c r="E345" t="s">
        <v>982</v>
      </c>
      <c r="F345" t="s">
        <v>983</v>
      </c>
      <c r="G345" t="s">
        <v>317</v>
      </c>
      <c r="H345" t="s">
        <v>321</v>
      </c>
      <c r="I345" t="s">
        <v>402</v>
      </c>
      <c r="J345" t="s">
        <v>532</v>
      </c>
      <c r="K345" t="s">
        <v>333</v>
      </c>
      <c r="L345" t="s">
        <v>4550</v>
      </c>
      <c r="M345" t="s">
        <v>4551</v>
      </c>
      <c r="N345" t="s">
        <v>390</v>
      </c>
      <c r="O345" t="s">
        <v>187</v>
      </c>
      <c r="P345" t="s">
        <v>178</v>
      </c>
    </row>
    <row r="346" spans="1:16" x14ac:dyDescent="0.25">
      <c r="A346">
        <v>300531</v>
      </c>
      <c r="B346" t="s">
        <v>263</v>
      </c>
      <c r="C346" t="s">
        <v>2038</v>
      </c>
      <c r="D346" t="s">
        <v>480</v>
      </c>
      <c r="E346" t="s">
        <v>2039</v>
      </c>
      <c r="F346" t="s">
        <v>2040</v>
      </c>
      <c r="G346" t="s">
        <v>319</v>
      </c>
      <c r="H346" t="s">
        <v>321</v>
      </c>
      <c r="I346" t="s">
        <v>363</v>
      </c>
      <c r="J346" t="s">
        <v>372</v>
      </c>
      <c r="K346" t="s">
        <v>329</v>
      </c>
      <c r="L346" t="s">
        <v>5053</v>
      </c>
      <c r="M346" t="s">
        <v>5054</v>
      </c>
      <c r="N346" t="s">
        <v>569</v>
      </c>
      <c r="O346" t="s">
        <v>281</v>
      </c>
      <c r="P346" t="s">
        <v>184</v>
      </c>
    </row>
    <row r="347" spans="1:16" x14ac:dyDescent="0.25">
      <c r="A347">
        <v>30549</v>
      </c>
      <c r="B347" t="s">
        <v>263</v>
      </c>
      <c r="C347" t="s">
        <v>98</v>
      </c>
      <c r="D347" t="s">
        <v>484</v>
      </c>
      <c r="E347" t="s">
        <v>984</v>
      </c>
      <c r="F347" t="s">
        <v>985</v>
      </c>
      <c r="G347" t="s">
        <v>319</v>
      </c>
      <c r="H347" t="s">
        <v>321</v>
      </c>
      <c r="I347" t="s">
        <v>363</v>
      </c>
      <c r="J347" t="s">
        <v>363</v>
      </c>
      <c r="K347" t="s">
        <v>326</v>
      </c>
      <c r="L347" t="s">
        <v>4208</v>
      </c>
      <c r="M347" t="s">
        <v>4209</v>
      </c>
      <c r="N347" t="s">
        <v>512</v>
      </c>
      <c r="O347" t="s">
        <v>310</v>
      </c>
      <c r="P347" t="s">
        <v>184</v>
      </c>
    </row>
    <row r="348" spans="1:16" x14ac:dyDescent="0.25">
      <c r="A348">
        <v>161936</v>
      </c>
      <c r="B348" t="s">
        <v>263</v>
      </c>
      <c r="C348" t="s">
        <v>1640</v>
      </c>
      <c r="D348" t="s">
        <v>486</v>
      </c>
      <c r="E348" t="s">
        <v>1641</v>
      </c>
      <c r="F348" t="s">
        <v>1642</v>
      </c>
      <c r="G348" t="s">
        <v>319</v>
      </c>
      <c r="H348" t="s">
        <v>321</v>
      </c>
      <c r="I348" t="s">
        <v>372</v>
      </c>
      <c r="J348" t="s">
        <v>372</v>
      </c>
      <c r="K348" t="s">
        <v>335</v>
      </c>
      <c r="L348" t="s">
        <v>4920</v>
      </c>
      <c r="M348" t="s">
        <v>4921</v>
      </c>
      <c r="N348" t="s">
        <v>319</v>
      </c>
      <c r="O348" t="s">
        <v>281</v>
      </c>
      <c r="P348" t="s">
        <v>184</v>
      </c>
    </row>
    <row r="349" spans="1:16" x14ac:dyDescent="0.25">
      <c r="A349">
        <v>141572</v>
      </c>
      <c r="B349" t="s">
        <v>263</v>
      </c>
      <c r="C349" t="s">
        <v>403</v>
      </c>
      <c r="D349" t="s">
        <v>497</v>
      </c>
      <c r="E349" t="s">
        <v>1264</v>
      </c>
      <c r="F349" t="s">
        <v>1265</v>
      </c>
      <c r="G349" t="s">
        <v>319</v>
      </c>
      <c r="H349" t="s">
        <v>322</v>
      </c>
      <c r="I349" t="s">
        <v>363</v>
      </c>
      <c r="J349" t="s">
        <v>363</v>
      </c>
      <c r="K349" t="s">
        <v>326</v>
      </c>
      <c r="L349" t="s">
        <v>4789</v>
      </c>
      <c r="M349" t="s">
        <v>4790</v>
      </c>
      <c r="N349" t="s">
        <v>4791</v>
      </c>
      <c r="O349" t="s">
        <v>310</v>
      </c>
      <c r="P349" t="s">
        <v>184</v>
      </c>
    </row>
    <row r="350" spans="1:16" x14ac:dyDescent="0.25">
      <c r="A350">
        <v>276498</v>
      </c>
      <c r="B350" t="s">
        <v>263</v>
      </c>
      <c r="C350" t="s">
        <v>2236</v>
      </c>
      <c r="D350" t="s">
        <v>491</v>
      </c>
      <c r="E350" t="s">
        <v>2237</v>
      </c>
      <c r="F350" t="s">
        <v>2238</v>
      </c>
      <c r="G350" t="s">
        <v>319</v>
      </c>
      <c r="H350" t="s">
        <v>319</v>
      </c>
      <c r="I350" t="s">
        <v>351</v>
      </c>
      <c r="J350" t="s">
        <v>351</v>
      </c>
      <c r="K350" t="s">
        <v>326</v>
      </c>
      <c r="L350" t="s">
        <v>2239</v>
      </c>
      <c r="M350" t="s">
        <v>5142</v>
      </c>
      <c r="N350" t="s">
        <v>1903</v>
      </c>
      <c r="O350" t="s">
        <v>280</v>
      </c>
      <c r="P350" t="s">
        <v>178</v>
      </c>
    </row>
    <row r="351" spans="1:16" x14ac:dyDescent="0.25">
      <c r="A351">
        <v>437306</v>
      </c>
      <c r="B351" t="s">
        <v>263</v>
      </c>
      <c r="C351" t="s">
        <v>594</v>
      </c>
      <c r="D351" t="s">
        <v>494</v>
      </c>
      <c r="E351" t="s">
        <v>1266</v>
      </c>
      <c r="F351" t="s">
        <v>1267</v>
      </c>
      <c r="G351" t="s">
        <v>317</v>
      </c>
      <c r="H351" t="s">
        <v>322</v>
      </c>
      <c r="I351" t="s">
        <v>351</v>
      </c>
      <c r="J351" t="s">
        <v>372</v>
      </c>
      <c r="K351" t="s">
        <v>329</v>
      </c>
      <c r="L351" t="s">
        <v>5250</v>
      </c>
      <c r="M351" t="s">
        <v>5251</v>
      </c>
      <c r="N351" t="s">
        <v>5252</v>
      </c>
      <c r="O351" t="s">
        <v>290</v>
      </c>
      <c r="P351" t="s">
        <v>178</v>
      </c>
    </row>
    <row r="352" spans="1:16" x14ac:dyDescent="0.25">
      <c r="A352">
        <v>298729</v>
      </c>
      <c r="B352" t="s">
        <v>263</v>
      </c>
      <c r="C352" t="s">
        <v>2154</v>
      </c>
      <c r="D352" t="s">
        <v>483</v>
      </c>
      <c r="E352" t="s">
        <v>2155</v>
      </c>
      <c r="F352" t="s">
        <v>2156</v>
      </c>
      <c r="G352" t="s">
        <v>317</v>
      </c>
      <c r="H352" t="s">
        <v>322</v>
      </c>
      <c r="I352" t="s">
        <v>360</v>
      </c>
      <c r="J352" t="s">
        <v>382</v>
      </c>
      <c r="K352" t="s">
        <v>329</v>
      </c>
      <c r="L352" t="s">
        <v>5102</v>
      </c>
      <c r="M352" t="s">
        <v>5103</v>
      </c>
      <c r="N352" t="s">
        <v>160</v>
      </c>
      <c r="O352" t="s">
        <v>2157</v>
      </c>
      <c r="P352" t="s">
        <v>178</v>
      </c>
    </row>
    <row r="353" spans="1:16" x14ac:dyDescent="0.25">
      <c r="A353">
        <v>163412</v>
      </c>
      <c r="B353" t="s">
        <v>263</v>
      </c>
      <c r="C353" t="s">
        <v>10</v>
      </c>
      <c r="D353" t="s">
        <v>497</v>
      </c>
      <c r="E353" t="s">
        <v>986</v>
      </c>
      <c r="F353" t="s">
        <v>987</v>
      </c>
      <c r="G353" t="s">
        <v>319</v>
      </c>
      <c r="H353" t="s">
        <v>319</v>
      </c>
      <c r="I353" t="s">
        <v>337</v>
      </c>
      <c r="J353" t="s">
        <v>351</v>
      </c>
      <c r="K353" t="s">
        <v>326</v>
      </c>
      <c r="L353" t="s">
        <v>4552</v>
      </c>
      <c r="M353" t="s">
        <v>4553</v>
      </c>
      <c r="N353" t="s">
        <v>1709</v>
      </c>
      <c r="O353" t="s">
        <v>177</v>
      </c>
      <c r="P353" t="s">
        <v>178</v>
      </c>
    </row>
    <row r="354" spans="1:16" x14ac:dyDescent="0.25">
      <c r="A354">
        <v>256960</v>
      </c>
      <c r="B354" t="s">
        <v>263</v>
      </c>
      <c r="C354" t="s">
        <v>1730</v>
      </c>
      <c r="D354" t="s">
        <v>491</v>
      </c>
      <c r="E354" t="s">
        <v>1731</v>
      </c>
      <c r="F354" t="s">
        <v>1732</v>
      </c>
      <c r="G354" t="s">
        <v>317</v>
      </c>
      <c r="H354" t="s">
        <v>322</v>
      </c>
      <c r="I354" t="s">
        <v>363</v>
      </c>
      <c r="J354" t="s">
        <v>532</v>
      </c>
      <c r="K354" t="s">
        <v>335</v>
      </c>
      <c r="L354" t="s">
        <v>4949</v>
      </c>
      <c r="M354" t="s">
        <v>4950</v>
      </c>
      <c r="N354" t="s">
        <v>1733</v>
      </c>
      <c r="O354" t="s">
        <v>187</v>
      </c>
      <c r="P354" t="s">
        <v>178</v>
      </c>
    </row>
    <row r="355" spans="1:16" x14ac:dyDescent="0.25">
      <c r="A355">
        <v>424573</v>
      </c>
      <c r="B355" t="s">
        <v>263</v>
      </c>
      <c r="C355" t="s">
        <v>1935</v>
      </c>
      <c r="D355" t="s">
        <v>494</v>
      </c>
      <c r="E355" t="s">
        <v>1936</v>
      </c>
      <c r="F355" t="s">
        <v>1937</v>
      </c>
      <c r="G355" t="s">
        <v>317</v>
      </c>
      <c r="H355" t="s">
        <v>321</v>
      </c>
      <c r="I355" t="s">
        <v>363</v>
      </c>
      <c r="J355" t="s">
        <v>372</v>
      </c>
      <c r="K355" t="s">
        <v>329</v>
      </c>
      <c r="L355" t="s">
        <v>5284</v>
      </c>
      <c r="M355" t="s">
        <v>5285</v>
      </c>
      <c r="N355" t="s">
        <v>5286</v>
      </c>
      <c r="O355" t="s">
        <v>180</v>
      </c>
      <c r="P355" t="s">
        <v>178</v>
      </c>
    </row>
    <row r="356" spans="1:16" x14ac:dyDescent="0.25">
      <c r="A356">
        <v>381825</v>
      </c>
      <c r="B356" t="s">
        <v>263</v>
      </c>
      <c r="C356" t="s">
        <v>2105</v>
      </c>
      <c r="D356" t="s">
        <v>493</v>
      </c>
      <c r="E356" t="s">
        <v>2106</v>
      </c>
      <c r="F356" t="s">
        <v>2107</v>
      </c>
      <c r="G356" t="s">
        <v>319</v>
      </c>
      <c r="H356" t="s">
        <v>321</v>
      </c>
      <c r="I356" t="s">
        <v>351</v>
      </c>
      <c r="J356" t="s">
        <v>351</v>
      </c>
      <c r="K356" t="s">
        <v>326</v>
      </c>
      <c r="L356" t="s">
        <v>1489</v>
      </c>
      <c r="M356" t="s">
        <v>5296</v>
      </c>
      <c r="N356" t="s">
        <v>5297</v>
      </c>
      <c r="O356" t="s">
        <v>180</v>
      </c>
      <c r="P356" t="s">
        <v>178</v>
      </c>
    </row>
    <row r="357" spans="1:16" x14ac:dyDescent="0.25">
      <c r="A357">
        <v>381827</v>
      </c>
      <c r="B357" t="s">
        <v>263</v>
      </c>
      <c r="C357" t="s">
        <v>2102</v>
      </c>
      <c r="D357" t="s">
        <v>493</v>
      </c>
      <c r="E357" t="s">
        <v>2103</v>
      </c>
      <c r="F357" t="s">
        <v>2104</v>
      </c>
      <c r="G357" t="s">
        <v>319</v>
      </c>
      <c r="H357" t="s">
        <v>321</v>
      </c>
      <c r="I357" t="s">
        <v>351</v>
      </c>
      <c r="J357" t="s">
        <v>351</v>
      </c>
      <c r="K357" t="s">
        <v>326</v>
      </c>
      <c r="L357" t="s">
        <v>634</v>
      </c>
      <c r="M357" t="s">
        <v>5294</v>
      </c>
      <c r="N357" t="s">
        <v>5295</v>
      </c>
      <c r="O357" t="s">
        <v>180</v>
      </c>
      <c r="P357" t="s">
        <v>178</v>
      </c>
    </row>
    <row r="358" spans="1:16" x14ac:dyDescent="0.25">
      <c r="A358">
        <v>272889</v>
      </c>
      <c r="B358" t="s">
        <v>263</v>
      </c>
      <c r="C358" t="s">
        <v>371</v>
      </c>
      <c r="D358" t="s">
        <v>491</v>
      </c>
      <c r="E358" t="s">
        <v>1268</v>
      </c>
      <c r="F358" t="s">
        <v>1269</v>
      </c>
      <c r="G358" t="s">
        <v>320</v>
      </c>
      <c r="H358" t="s">
        <v>333</v>
      </c>
      <c r="I358" t="s">
        <v>337</v>
      </c>
      <c r="J358" t="s">
        <v>372</v>
      </c>
      <c r="K358" t="s">
        <v>329</v>
      </c>
      <c r="L358" t="s">
        <v>317</v>
      </c>
      <c r="M358" t="s">
        <v>4792</v>
      </c>
      <c r="N358" t="s">
        <v>4793</v>
      </c>
      <c r="O358" t="s">
        <v>179</v>
      </c>
      <c r="P358" t="s">
        <v>184</v>
      </c>
    </row>
    <row r="359" spans="1:16" x14ac:dyDescent="0.25">
      <c r="A359">
        <v>252526</v>
      </c>
      <c r="B359" t="s">
        <v>263</v>
      </c>
      <c r="C359" t="s">
        <v>646</v>
      </c>
      <c r="D359" t="s">
        <v>482</v>
      </c>
      <c r="E359" t="s">
        <v>1270</v>
      </c>
      <c r="F359" t="s">
        <v>1271</v>
      </c>
      <c r="G359" t="s">
        <v>320</v>
      </c>
      <c r="H359" t="s">
        <v>323</v>
      </c>
      <c r="I359" t="s">
        <v>344</v>
      </c>
      <c r="J359" t="s">
        <v>360</v>
      </c>
      <c r="K359" t="s">
        <v>326</v>
      </c>
      <c r="L359" t="s">
        <v>4794</v>
      </c>
      <c r="M359" t="s">
        <v>4795</v>
      </c>
      <c r="N359" t="s">
        <v>2369</v>
      </c>
      <c r="O359" t="s">
        <v>179</v>
      </c>
      <c r="P359" t="s">
        <v>178</v>
      </c>
    </row>
    <row r="360" spans="1:16" x14ac:dyDescent="0.25">
      <c r="A360">
        <v>284108</v>
      </c>
      <c r="B360" t="s">
        <v>263</v>
      </c>
      <c r="C360" t="s">
        <v>1786</v>
      </c>
      <c r="D360" t="s">
        <v>491</v>
      </c>
      <c r="E360" t="s">
        <v>1787</v>
      </c>
      <c r="F360" t="s">
        <v>1788</v>
      </c>
      <c r="G360" t="s">
        <v>320</v>
      </c>
      <c r="H360" t="s">
        <v>322</v>
      </c>
      <c r="I360" t="s">
        <v>344</v>
      </c>
      <c r="J360" t="s">
        <v>351</v>
      </c>
      <c r="K360" t="s">
        <v>326</v>
      </c>
      <c r="L360" t="s">
        <v>4967</v>
      </c>
      <c r="M360" t="s">
        <v>4968</v>
      </c>
      <c r="N360" t="s">
        <v>4969</v>
      </c>
      <c r="O360" t="s">
        <v>186</v>
      </c>
      <c r="P360" t="s">
        <v>178</v>
      </c>
    </row>
    <row r="361" spans="1:16" x14ac:dyDescent="0.25">
      <c r="A361">
        <v>150</v>
      </c>
      <c r="B361" t="s">
        <v>263</v>
      </c>
      <c r="C361" t="s">
        <v>212</v>
      </c>
      <c r="D361" t="s">
        <v>531</v>
      </c>
      <c r="E361" t="s">
        <v>1272</v>
      </c>
      <c r="F361" t="s">
        <v>1273</v>
      </c>
      <c r="G361" t="s">
        <v>319</v>
      </c>
      <c r="H361" t="s">
        <v>326</v>
      </c>
      <c r="I361" t="s">
        <v>351</v>
      </c>
      <c r="J361" t="s">
        <v>351</v>
      </c>
      <c r="K361" t="s">
        <v>323</v>
      </c>
      <c r="L361" t="s">
        <v>4278</v>
      </c>
      <c r="M361" t="s">
        <v>4279</v>
      </c>
      <c r="N361" t="s">
        <v>4280</v>
      </c>
      <c r="O361" t="s">
        <v>186</v>
      </c>
      <c r="P361" t="s">
        <v>178</v>
      </c>
    </row>
    <row r="362" spans="1:16" x14ac:dyDescent="0.25">
      <c r="A362">
        <v>258779</v>
      </c>
      <c r="B362" t="s">
        <v>263</v>
      </c>
      <c r="C362" t="s">
        <v>1953</v>
      </c>
      <c r="D362" t="s">
        <v>478</v>
      </c>
      <c r="E362" t="s">
        <v>1954</v>
      </c>
      <c r="F362" t="s">
        <v>1955</v>
      </c>
      <c r="G362" t="s">
        <v>317</v>
      </c>
      <c r="H362" t="s">
        <v>323</v>
      </c>
      <c r="I362" t="s">
        <v>372</v>
      </c>
      <c r="J362" t="s">
        <v>393</v>
      </c>
      <c r="K362" t="s">
        <v>329</v>
      </c>
      <c r="L362" t="s">
        <v>5016</v>
      </c>
      <c r="M362" t="s">
        <v>5017</v>
      </c>
      <c r="N362" t="s">
        <v>1956</v>
      </c>
      <c r="O362" t="s">
        <v>310</v>
      </c>
      <c r="P362" t="s">
        <v>178</v>
      </c>
    </row>
    <row r="363" spans="1:16" x14ac:dyDescent="0.25">
      <c r="A363">
        <v>365104</v>
      </c>
      <c r="B363" t="s">
        <v>263</v>
      </c>
      <c r="C363" t="s">
        <v>196</v>
      </c>
      <c r="D363" t="s">
        <v>478</v>
      </c>
      <c r="E363" t="s">
        <v>988</v>
      </c>
      <c r="F363" t="s">
        <v>989</v>
      </c>
      <c r="G363" t="s">
        <v>319</v>
      </c>
      <c r="H363" t="s">
        <v>322</v>
      </c>
      <c r="I363" t="s">
        <v>344</v>
      </c>
      <c r="J363" t="s">
        <v>351</v>
      </c>
      <c r="K363" t="s">
        <v>329</v>
      </c>
      <c r="L363" t="s">
        <v>4554</v>
      </c>
      <c r="M363" t="s">
        <v>4555</v>
      </c>
      <c r="N363" t="s">
        <v>4556</v>
      </c>
      <c r="O363" t="s">
        <v>180</v>
      </c>
      <c r="P363" t="s">
        <v>178</v>
      </c>
    </row>
    <row r="364" spans="1:16" x14ac:dyDescent="0.25">
      <c r="A364">
        <v>312786</v>
      </c>
      <c r="B364" t="s">
        <v>263</v>
      </c>
      <c r="C364" t="s">
        <v>2373</v>
      </c>
      <c r="D364" t="s">
        <v>480</v>
      </c>
      <c r="E364" t="s">
        <v>2374</v>
      </c>
      <c r="F364" t="s">
        <v>2375</v>
      </c>
      <c r="G364" t="s">
        <v>319</v>
      </c>
      <c r="H364" t="s">
        <v>333</v>
      </c>
      <c r="I364" t="s">
        <v>337</v>
      </c>
      <c r="J364" t="s">
        <v>337</v>
      </c>
      <c r="K364" t="s">
        <v>325</v>
      </c>
      <c r="L364" t="s">
        <v>4363</v>
      </c>
      <c r="M364" t="s">
        <v>5193</v>
      </c>
      <c r="N364" t="s">
        <v>5194</v>
      </c>
      <c r="O364" t="s">
        <v>179</v>
      </c>
      <c r="P364" t="s">
        <v>178</v>
      </c>
    </row>
    <row r="365" spans="1:16" x14ac:dyDescent="0.25">
      <c r="A365">
        <v>274960</v>
      </c>
      <c r="B365" t="s">
        <v>263</v>
      </c>
      <c r="C365" t="s">
        <v>105</v>
      </c>
      <c r="D365" t="s">
        <v>491</v>
      </c>
      <c r="E365" t="s">
        <v>990</v>
      </c>
      <c r="F365" t="s">
        <v>991</v>
      </c>
      <c r="G365" t="s">
        <v>319</v>
      </c>
      <c r="H365" t="s">
        <v>323</v>
      </c>
      <c r="I365" t="s">
        <v>337</v>
      </c>
      <c r="J365" t="s">
        <v>351</v>
      </c>
      <c r="K365" t="s">
        <v>329</v>
      </c>
      <c r="L365" t="s">
        <v>4557</v>
      </c>
      <c r="M365" t="s">
        <v>4558</v>
      </c>
      <c r="N365" t="s">
        <v>4559</v>
      </c>
      <c r="O365" t="s">
        <v>180</v>
      </c>
      <c r="P365" t="s">
        <v>178</v>
      </c>
    </row>
    <row r="366" spans="1:16" x14ac:dyDescent="0.25">
      <c r="A366">
        <v>2651</v>
      </c>
      <c r="B366" t="s">
        <v>263</v>
      </c>
      <c r="C366" t="s">
        <v>36</v>
      </c>
      <c r="D366" t="s">
        <v>517</v>
      </c>
      <c r="E366" t="s">
        <v>992</v>
      </c>
      <c r="F366" t="s">
        <v>993</v>
      </c>
      <c r="G366" t="s">
        <v>319</v>
      </c>
      <c r="H366" t="s">
        <v>323</v>
      </c>
      <c r="I366" t="s">
        <v>532</v>
      </c>
      <c r="J366" t="s">
        <v>532</v>
      </c>
      <c r="K366" t="s">
        <v>333</v>
      </c>
      <c r="L366" t="s">
        <v>4210</v>
      </c>
      <c r="M366" t="s">
        <v>4211</v>
      </c>
      <c r="N366" t="s">
        <v>384</v>
      </c>
      <c r="O366" t="s">
        <v>187</v>
      </c>
      <c r="P366" t="s">
        <v>178</v>
      </c>
    </row>
    <row r="367" spans="1:16" x14ac:dyDescent="0.25">
      <c r="A367">
        <v>386954</v>
      </c>
      <c r="B367" t="s">
        <v>263</v>
      </c>
      <c r="C367" t="s">
        <v>1543</v>
      </c>
      <c r="D367" t="s">
        <v>493</v>
      </c>
      <c r="E367" t="s">
        <v>1544</v>
      </c>
      <c r="F367" t="s">
        <v>1545</v>
      </c>
      <c r="G367" t="s">
        <v>319</v>
      </c>
      <c r="H367" t="s">
        <v>323</v>
      </c>
      <c r="I367" t="s">
        <v>363</v>
      </c>
      <c r="J367" t="s">
        <v>363</v>
      </c>
      <c r="K367" t="s">
        <v>326</v>
      </c>
      <c r="L367" t="s">
        <v>495</v>
      </c>
      <c r="M367" t="s">
        <v>1546</v>
      </c>
      <c r="N367" t="s">
        <v>160</v>
      </c>
      <c r="O367" t="s">
        <v>187</v>
      </c>
      <c r="P367" t="s">
        <v>178</v>
      </c>
    </row>
    <row r="368" spans="1:16" x14ac:dyDescent="0.25">
      <c r="A368">
        <v>308765</v>
      </c>
      <c r="B368" t="s">
        <v>263</v>
      </c>
      <c r="C368" t="s">
        <v>2386</v>
      </c>
      <c r="D368" t="s">
        <v>480</v>
      </c>
      <c r="E368" t="s">
        <v>2387</v>
      </c>
      <c r="F368" t="s">
        <v>2388</v>
      </c>
      <c r="G368" t="s">
        <v>317</v>
      </c>
      <c r="H368" t="s">
        <v>321</v>
      </c>
      <c r="I368" t="s">
        <v>363</v>
      </c>
      <c r="J368" t="s">
        <v>519</v>
      </c>
      <c r="K368" t="s">
        <v>336</v>
      </c>
      <c r="L368" t="s">
        <v>5203</v>
      </c>
      <c r="M368" t="s">
        <v>5204</v>
      </c>
      <c r="N368" t="s">
        <v>2389</v>
      </c>
      <c r="O368" t="s">
        <v>187</v>
      </c>
      <c r="P368" t="s">
        <v>178</v>
      </c>
    </row>
    <row r="369" spans="1:16" x14ac:dyDescent="0.25">
      <c r="A369">
        <v>260180</v>
      </c>
      <c r="B369" t="s">
        <v>263</v>
      </c>
      <c r="C369" t="s">
        <v>618</v>
      </c>
      <c r="D369" t="s">
        <v>480</v>
      </c>
      <c r="E369" t="s">
        <v>1274</v>
      </c>
      <c r="F369" t="s">
        <v>1275</v>
      </c>
      <c r="G369" t="s">
        <v>317</v>
      </c>
      <c r="H369" t="s">
        <v>321</v>
      </c>
      <c r="I369" t="s">
        <v>344</v>
      </c>
      <c r="J369" t="s">
        <v>360</v>
      </c>
      <c r="K369" t="s">
        <v>326</v>
      </c>
      <c r="L369" t="s">
        <v>4796</v>
      </c>
      <c r="M369" t="s">
        <v>4797</v>
      </c>
      <c r="N369" t="s">
        <v>4798</v>
      </c>
      <c r="O369" t="s">
        <v>177</v>
      </c>
      <c r="P369" t="s">
        <v>178</v>
      </c>
    </row>
    <row r="370" spans="1:16" x14ac:dyDescent="0.25">
      <c r="A370">
        <v>318985</v>
      </c>
      <c r="B370" t="s">
        <v>263</v>
      </c>
      <c r="C370" t="s">
        <v>1691</v>
      </c>
      <c r="D370" t="s">
        <v>480</v>
      </c>
      <c r="E370" t="s">
        <v>1692</v>
      </c>
      <c r="F370" t="s">
        <v>1693</v>
      </c>
      <c r="G370" t="s">
        <v>319</v>
      </c>
      <c r="H370" t="s">
        <v>322</v>
      </c>
      <c r="I370" t="s">
        <v>382</v>
      </c>
      <c r="J370" t="s">
        <v>532</v>
      </c>
      <c r="K370" t="s">
        <v>333</v>
      </c>
      <c r="L370" t="s">
        <v>1694</v>
      </c>
      <c r="M370" t="s">
        <v>4937</v>
      </c>
      <c r="N370" t="s">
        <v>160</v>
      </c>
      <c r="O370" t="s">
        <v>1695</v>
      </c>
      <c r="P370" t="s">
        <v>178</v>
      </c>
    </row>
    <row r="371" spans="1:16" x14ac:dyDescent="0.25">
      <c r="A371">
        <v>1419</v>
      </c>
      <c r="B371" t="s">
        <v>263</v>
      </c>
      <c r="C371" t="s">
        <v>258</v>
      </c>
      <c r="D371" t="s">
        <v>513</v>
      </c>
      <c r="E371" t="s">
        <v>994</v>
      </c>
      <c r="F371" t="s">
        <v>995</v>
      </c>
      <c r="G371" t="s">
        <v>319</v>
      </c>
      <c r="H371" t="s">
        <v>319</v>
      </c>
      <c r="I371" t="s">
        <v>329</v>
      </c>
      <c r="J371" t="s">
        <v>329</v>
      </c>
      <c r="K371" t="s">
        <v>326</v>
      </c>
      <c r="L371" t="s">
        <v>514</v>
      </c>
      <c r="M371" t="s">
        <v>4212</v>
      </c>
      <c r="N371" t="s">
        <v>4213</v>
      </c>
      <c r="O371" t="s">
        <v>192</v>
      </c>
      <c r="P371" t="s">
        <v>178</v>
      </c>
    </row>
    <row r="372" spans="1:16" x14ac:dyDescent="0.25">
      <c r="A372">
        <v>266830</v>
      </c>
      <c r="B372" t="s">
        <v>263</v>
      </c>
      <c r="C372" t="s">
        <v>385</v>
      </c>
      <c r="D372" t="s">
        <v>491</v>
      </c>
      <c r="E372" t="s">
        <v>1276</v>
      </c>
      <c r="F372" t="s">
        <v>1277</v>
      </c>
      <c r="G372" t="s">
        <v>320</v>
      </c>
      <c r="H372" t="s">
        <v>322</v>
      </c>
      <c r="I372" t="s">
        <v>363</v>
      </c>
      <c r="J372" t="s">
        <v>363</v>
      </c>
      <c r="K372" t="s">
        <v>326</v>
      </c>
      <c r="L372" t="s">
        <v>4799</v>
      </c>
      <c r="M372" t="s">
        <v>4800</v>
      </c>
      <c r="N372" t="s">
        <v>4801</v>
      </c>
      <c r="O372" t="s">
        <v>310</v>
      </c>
      <c r="P372" t="s">
        <v>178</v>
      </c>
    </row>
    <row r="373" spans="1:16" x14ac:dyDescent="0.25">
      <c r="A373">
        <v>244521</v>
      </c>
      <c r="B373" t="s">
        <v>263</v>
      </c>
      <c r="C373" t="s">
        <v>596</v>
      </c>
      <c r="D373" t="s">
        <v>482</v>
      </c>
      <c r="E373" t="s">
        <v>1278</v>
      </c>
      <c r="F373" t="s">
        <v>1279</v>
      </c>
      <c r="G373" t="s">
        <v>319</v>
      </c>
      <c r="H373" t="s">
        <v>321</v>
      </c>
      <c r="I373" t="s">
        <v>363</v>
      </c>
      <c r="J373" t="s">
        <v>363</v>
      </c>
      <c r="K373" t="s">
        <v>329</v>
      </c>
      <c r="L373" t="s">
        <v>4802</v>
      </c>
      <c r="M373" t="s">
        <v>4803</v>
      </c>
      <c r="N373" t="s">
        <v>387</v>
      </c>
      <c r="O373" t="s">
        <v>180</v>
      </c>
      <c r="P373" t="s">
        <v>178</v>
      </c>
    </row>
    <row r="374" spans="1:16" x14ac:dyDescent="0.25">
      <c r="A374">
        <v>232043</v>
      </c>
      <c r="B374" t="s">
        <v>263</v>
      </c>
      <c r="C374" t="s">
        <v>2001</v>
      </c>
      <c r="D374" t="s">
        <v>507</v>
      </c>
      <c r="E374" t="s">
        <v>2002</v>
      </c>
      <c r="F374" t="s">
        <v>2003</v>
      </c>
      <c r="G374" t="s">
        <v>319</v>
      </c>
      <c r="H374" t="s">
        <v>321</v>
      </c>
      <c r="I374" t="s">
        <v>348</v>
      </c>
      <c r="J374" t="s">
        <v>348</v>
      </c>
      <c r="K374" t="s">
        <v>326</v>
      </c>
      <c r="L374" t="s">
        <v>5037</v>
      </c>
      <c r="M374" t="s">
        <v>5038</v>
      </c>
      <c r="N374" t="s">
        <v>5039</v>
      </c>
      <c r="O374" t="s">
        <v>180</v>
      </c>
      <c r="P374" t="s">
        <v>178</v>
      </c>
    </row>
    <row r="375" spans="1:16" x14ac:dyDescent="0.25">
      <c r="A375">
        <v>25669</v>
      </c>
      <c r="B375" t="s">
        <v>263</v>
      </c>
      <c r="C375" t="s">
        <v>620</v>
      </c>
      <c r="D375" t="s">
        <v>546</v>
      </c>
      <c r="E375" t="s">
        <v>1280</v>
      </c>
      <c r="F375" t="s">
        <v>1281</v>
      </c>
      <c r="G375" t="s">
        <v>319</v>
      </c>
      <c r="H375" t="s">
        <v>321</v>
      </c>
      <c r="I375" t="s">
        <v>363</v>
      </c>
      <c r="J375" t="s">
        <v>363</v>
      </c>
      <c r="K375" t="s">
        <v>323</v>
      </c>
      <c r="L375" t="s">
        <v>4281</v>
      </c>
      <c r="M375" t="s">
        <v>4282</v>
      </c>
      <c r="N375" t="s">
        <v>4283</v>
      </c>
      <c r="O375" t="s">
        <v>177</v>
      </c>
      <c r="P375" t="s">
        <v>178</v>
      </c>
    </row>
    <row r="376" spans="1:16" x14ac:dyDescent="0.25">
      <c r="A376">
        <v>131260</v>
      </c>
      <c r="B376" t="s">
        <v>263</v>
      </c>
      <c r="C376" t="s">
        <v>2080</v>
      </c>
      <c r="D376" t="s">
        <v>503</v>
      </c>
      <c r="E376" t="s">
        <v>2081</v>
      </c>
      <c r="F376" t="s">
        <v>2082</v>
      </c>
      <c r="G376" t="s">
        <v>319</v>
      </c>
      <c r="H376" t="s">
        <v>322</v>
      </c>
      <c r="I376" t="s">
        <v>337</v>
      </c>
      <c r="J376" t="s">
        <v>337</v>
      </c>
      <c r="K376" t="s">
        <v>326</v>
      </c>
      <c r="L376" t="s">
        <v>4373</v>
      </c>
      <c r="M376" t="s">
        <v>4374</v>
      </c>
      <c r="N376" t="s">
        <v>2083</v>
      </c>
      <c r="O376" t="s">
        <v>180</v>
      </c>
      <c r="P376" t="s">
        <v>178</v>
      </c>
    </row>
    <row r="377" spans="1:16" x14ac:dyDescent="0.25">
      <c r="A377">
        <v>254386</v>
      </c>
      <c r="B377" t="s">
        <v>263</v>
      </c>
      <c r="C377" t="s">
        <v>2</v>
      </c>
      <c r="D377" t="s">
        <v>482</v>
      </c>
      <c r="E377" t="s">
        <v>996</v>
      </c>
      <c r="F377" t="s">
        <v>997</v>
      </c>
      <c r="G377" t="s">
        <v>319</v>
      </c>
      <c r="H377" t="s">
        <v>322</v>
      </c>
      <c r="I377" t="s">
        <v>372</v>
      </c>
      <c r="J377" t="s">
        <v>402</v>
      </c>
      <c r="K377" t="s">
        <v>326</v>
      </c>
      <c r="L377" t="s">
        <v>4560</v>
      </c>
      <c r="M377" t="s">
        <v>4561</v>
      </c>
      <c r="N377" t="s">
        <v>4562</v>
      </c>
      <c r="O377" t="s">
        <v>310</v>
      </c>
      <c r="P377" t="s">
        <v>178</v>
      </c>
    </row>
    <row r="378" spans="1:16" x14ac:dyDescent="0.25">
      <c r="A378">
        <v>28143</v>
      </c>
      <c r="B378" t="s">
        <v>263</v>
      </c>
      <c r="C378" t="s">
        <v>273</v>
      </c>
      <c r="D378" t="s">
        <v>522</v>
      </c>
      <c r="E378" t="s">
        <v>998</v>
      </c>
      <c r="F378" t="s">
        <v>999</v>
      </c>
      <c r="G378" t="s">
        <v>319</v>
      </c>
      <c r="H378" t="s">
        <v>321</v>
      </c>
      <c r="I378" t="s">
        <v>351</v>
      </c>
      <c r="J378" t="s">
        <v>372</v>
      </c>
      <c r="K378" t="s">
        <v>333</v>
      </c>
      <c r="L378" t="s">
        <v>4214</v>
      </c>
      <c r="M378" t="s">
        <v>4215</v>
      </c>
      <c r="N378" t="s">
        <v>401</v>
      </c>
      <c r="O378" t="s">
        <v>187</v>
      </c>
      <c r="P378" t="s">
        <v>178</v>
      </c>
    </row>
    <row r="379" spans="1:16" x14ac:dyDescent="0.25">
      <c r="A379">
        <v>34499</v>
      </c>
      <c r="B379" t="s">
        <v>263</v>
      </c>
      <c r="C379" t="s">
        <v>1676</v>
      </c>
      <c r="D379" t="s">
        <v>484</v>
      </c>
      <c r="E379" t="s">
        <v>1677</v>
      </c>
      <c r="F379" t="s">
        <v>1678</v>
      </c>
      <c r="G379" t="s">
        <v>317</v>
      </c>
      <c r="H379" t="s">
        <v>322</v>
      </c>
      <c r="I379" t="s">
        <v>372</v>
      </c>
      <c r="J379" t="s">
        <v>372</v>
      </c>
      <c r="K379" t="s">
        <v>333</v>
      </c>
      <c r="L379" t="s">
        <v>4337</v>
      </c>
      <c r="M379" t="s">
        <v>4338</v>
      </c>
      <c r="N379" t="s">
        <v>160</v>
      </c>
      <c r="O379" t="s">
        <v>1636</v>
      </c>
      <c r="P379" t="s">
        <v>178</v>
      </c>
    </row>
    <row r="380" spans="1:16" x14ac:dyDescent="0.25">
      <c r="A380">
        <v>329082</v>
      </c>
      <c r="B380" t="s">
        <v>263</v>
      </c>
      <c r="C380" t="s">
        <v>224</v>
      </c>
      <c r="D380" t="s">
        <v>483</v>
      </c>
      <c r="E380" t="s">
        <v>1282</v>
      </c>
      <c r="F380" t="s">
        <v>1283</v>
      </c>
      <c r="G380" t="s">
        <v>319</v>
      </c>
      <c r="H380" t="s">
        <v>319</v>
      </c>
      <c r="I380" t="s">
        <v>344</v>
      </c>
      <c r="J380" t="s">
        <v>360</v>
      </c>
      <c r="K380" t="s">
        <v>336</v>
      </c>
      <c r="L380" t="s">
        <v>4804</v>
      </c>
      <c r="M380" t="s">
        <v>4805</v>
      </c>
      <c r="N380" t="s">
        <v>602</v>
      </c>
      <c r="O380" t="s">
        <v>187</v>
      </c>
      <c r="P380" t="s">
        <v>178</v>
      </c>
    </row>
    <row r="381" spans="1:16" x14ac:dyDescent="0.25">
      <c r="A381">
        <v>124918</v>
      </c>
      <c r="B381" t="s">
        <v>263</v>
      </c>
      <c r="C381" t="s">
        <v>82</v>
      </c>
      <c r="D381" t="s">
        <v>503</v>
      </c>
      <c r="E381" t="s">
        <v>1000</v>
      </c>
      <c r="F381" t="s">
        <v>1001</v>
      </c>
      <c r="G381" t="s">
        <v>319</v>
      </c>
      <c r="H381" t="s">
        <v>321</v>
      </c>
      <c r="I381" t="s">
        <v>351</v>
      </c>
      <c r="J381" t="s">
        <v>351</v>
      </c>
      <c r="K381" t="s">
        <v>326</v>
      </c>
      <c r="L381" t="s">
        <v>515</v>
      </c>
      <c r="M381" t="s">
        <v>516</v>
      </c>
      <c r="N381" t="s">
        <v>4216</v>
      </c>
      <c r="O381" t="s">
        <v>180</v>
      </c>
      <c r="P381" t="s">
        <v>178</v>
      </c>
    </row>
    <row r="382" spans="1:16" x14ac:dyDescent="0.25">
      <c r="A382">
        <v>306881</v>
      </c>
      <c r="B382" t="s">
        <v>263</v>
      </c>
      <c r="C382" t="s">
        <v>648</v>
      </c>
      <c r="D382" t="s">
        <v>483</v>
      </c>
      <c r="E382" t="s">
        <v>1284</v>
      </c>
      <c r="F382" t="s">
        <v>1285</v>
      </c>
      <c r="G382" t="s">
        <v>317</v>
      </c>
      <c r="H382" t="s">
        <v>321</v>
      </c>
      <c r="I382" t="s">
        <v>337</v>
      </c>
      <c r="J382" t="s">
        <v>351</v>
      </c>
      <c r="K382" t="s">
        <v>326</v>
      </c>
      <c r="L382" t="s">
        <v>4806</v>
      </c>
      <c r="M382" t="s">
        <v>4807</v>
      </c>
      <c r="N382" t="s">
        <v>1392</v>
      </c>
      <c r="O382" t="s">
        <v>180</v>
      </c>
      <c r="P382" t="s">
        <v>178</v>
      </c>
    </row>
    <row r="383" spans="1:16" x14ac:dyDescent="0.25">
      <c r="A383">
        <v>306882</v>
      </c>
      <c r="B383" t="s">
        <v>263</v>
      </c>
      <c r="C383" t="s">
        <v>2084</v>
      </c>
      <c r="D383" t="s">
        <v>483</v>
      </c>
      <c r="E383" t="s">
        <v>2085</v>
      </c>
      <c r="F383" t="s">
        <v>2086</v>
      </c>
      <c r="G383" t="s">
        <v>317</v>
      </c>
      <c r="H383" t="s">
        <v>321</v>
      </c>
      <c r="I383" t="s">
        <v>337</v>
      </c>
      <c r="J383" t="s">
        <v>351</v>
      </c>
      <c r="K383" t="s">
        <v>326</v>
      </c>
      <c r="L383" t="s">
        <v>319</v>
      </c>
      <c r="M383" t="s">
        <v>5081</v>
      </c>
      <c r="N383" t="s">
        <v>5082</v>
      </c>
      <c r="O383" t="s">
        <v>180</v>
      </c>
      <c r="P383" t="s">
        <v>178</v>
      </c>
    </row>
    <row r="384" spans="1:16" x14ac:dyDescent="0.25">
      <c r="A384">
        <v>245654</v>
      </c>
      <c r="B384" t="s">
        <v>263</v>
      </c>
      <c r="C384" t="s">
        <v>586</v>
      </c>
      <c r="D384" t="s">
        <v>482</v>
      </c>
      <c r="E384" t="s">
        <v>1286</v>
      </c>
      <c r="F384" t="s">
        <v>1287</v>
      </c>
      <c r="G384" t="s">
        <v>317</v>
      </c>
      <c r="H384" t="s">
        <v>323</v>
      </c>
      <c r="I384" t="s">
        <v>344</v>
      </c>
      <c r="J384" t="s">
        <v>351</v>
      </c>
      <c r="K384" t="s">
        <v>326</v>
      </c>
      <c r="L384" t="s">
        <v>4808</v>
      </c>
      <c r="M384" t="s">
        <v>4809</v>
      </c>
      <c r="N384" t="s">
        <v>4810</v>
      </c>
      <c r="O384" t="s">
        <v>180</v>
      </c>
      <c r="P384" t="s">
        <v>178</v>
      </c>
    </row>
    <row r="385" spans="1:16" x14ac:dyDescent="0.25">
      <c r="A385">
        <v>278814</v>
      </c>
      <c r="B385" t="s">
        <v>263</v>
      </c>
      <c r="C385" t="s">
        <v>1602</v>
      </c>
      <c r="D385" t="s">
        <v>491</v>
      </c>
      <c r="E385" t="s">
        <v>1603</v>
      </c>
      <c r="F385" t="s">
        <v>1604</v>
      </c>
      <c r="G385" t="s">
        <v>319</v>
      </c>
      <c r="H385" t="s">
        <v>321</v>
      </c>
      <c r="I385" t="s">
        <v>363</v>
      </c>
      <c r="J385" t="s">
        <v>388</v>
      </c>
      <c r="K385" t="s">
        <v>333</v>
      </c>
      <c r="L385" t="s">
        <v>495</v>
      </c>
      <c r="M385" t="s">
        <v>1605</v>
      </c>
      <c r="N385" t="s">
        <v>160</v>
      </c>
      <c r="O385" t="s">
        <v>1606</v>
      </c>
      <c r="P385" t="s">
        <v>178</v>
      </c>
    </row>
    <row r="386" spans="1:16" x14ac:dyDescent="0.25">
      <c r="A386">
        <v>351040</v>
      </c>
      <c r="B386" t="s">
        <v>263</v>
      </c>
      <c r="C386" t="s">
        <v>56</v>
      </c>
      <c r="D386" t="s">
        <v>478</v>
      </c>
      <c r="E386" t="s">
        <v>1002</v>
      </c>
      <c r="F386" t="s">
        <v>1003</v>
      </c>
      <c r="G386" t="s">
        <v>319</v>
      </c>
      <c r="H386" t="s">
        <v>328</v>
      </c>
      <c r="I386" t="s">
        <v>363</v>
      </c>
      <c r="J386" t="s">
        <v>372</v>
      </c>
      <c r="K386" t="s">
        <v>329</v>
      </c>
      <c r="L386" t="s">
        <v>4563</v>
      </c>
      <c r="M386" t="s">
        <v>4564</v>
      </c>
      <c r="N386" t="s">
        <v>768</v>
      </c>
      <c r="O386" t="s">
        <v>179</v>
      </c>
      <c r="P386" t="s">
        <v>178</v>
      </c>
    </row>
    <row r="387" spans="1:16" x14ac:dyDescent="0.25">
      <c r="A387">
        <v>329465</v>
      </c>
      <c r="B387" t="s">
        <v>263</v>
      </c>
      <c r="C387" t="s">
        <v>1568</v>
      </c>
      <c r="D387" t="s">
        <v>483</v>
      </c>
      <c r="E387" t="s">
        <v>1569</v>
      </c>
      <c r="F387" t="s">
        <v>1570</v>
      </c>
      <c r="G387" t="s">
        <v>317</v>
      </c>
      <c r="H387" t="s">
        <v>323</v>
      </c>
      <c r="I387" t="s">
        <v>363</v>
      </c>
      <c r="J387" t="s">
        <v>372</v>
      </c>
      <c r="K387" t="s">
        <v>336</v>
      </c>
      <c r="L387" t="s">
        <v>4913</v>
      </c>
      <c r="M387" t="s">
        <v>4914</v>
      </c>
      <c r="N387" t="s">
        <v>4915</v>
      </c>
      <c r="O387" t="s">
        <v>187</v>
      </c>
      <c r="P387" t="s">
        <v>178</v>
      </c>
    </row>
    <row r="388" spans="1:16" x14ac:dyDescent="0.25">
      <c r="A388">
        <v>244228</v>
      </c>
      <c r="B388" t="s">
        <v>263</v>
      </c>
      <c r="C388" t="s">
        <v>368</v>
      </c>
      <c r="D388" t="s">
        <v>482</v>
      </c>
      <c r="E388" t="s">
        <v>1288</v>
      </c>
      <c r="F388" t="s">
        <v>1289</v>
      </c>
      <c r="G388" t="s">
        <v>319</v>
      </c>
      <c r="H388" t="s">
        <v>321</v>
      </c>
      <c r="I388" t="s">
        <v>351</v>
      </c>
      <c r="J388" t="s">
        <v>363</v>
      </c>
      <c r="K388" t="s">
        <v>326</v>
      </c>
      <c r="L388" t="s">
        <v>4811</v>
      </c>
      <c r="M388" t="s">
        <v>4812</v>
      </c>
      <c r="N388" t="s">
        <v>2240</v>
      </c>
      <c r="O388" t="s">
        <v>180</v>
      </c>
      <c r="P388" t="s">
        <v>178</v>
      </c>
    </row>
    <row r="389" spans="1:16" x14ac:dyDescent="0.25">
      <c r="A389">
        <v>307002</v>
      </c>
      <c r="B389" t="s">
        <v>263</v>
      </c>
      <c r="C389" t="s">
        <v>477</v>
      </c>
      <c r="D389" t="s">
        <v>480</v>
      </c>
      <c r="E389" t="s">
        <v>1102</v>
      </c>
      <c r="F389" t="s">
        <v>1103</v>
      </c>
      <c r="G389" t="s">
        <v>317</v>
      </c>
      <c r="H389" t="s">
        <v>321</v>
      </c>
      <c r="I389" t="s">
        <v>329</v>
      </c>
      <c r="J389" t="s">
        <v>351</v>
      </c>
      <c r="K389" t="s">
        <v>329</v>
      </c>
      <c r="L389" t="s">
        <v>4628</v>
      </c>
      <c r="M389" t="s">
        <v>4629</v>
      </c>
      <c r="N389" t="s">
        <v>1990</v>
      </c>
      <c r="O389" t="s">
        <v>310</v>
      </c>
      <c r="P389" t="s">
        <v>184</v>
      </c>
    </row>
    <row r="390" spans="1:16" x14ac:dyDescent="0.25">
      <c r="A390">
        <v>332772</v>
      </c>
      <c r="B390" t="s">
        <v>263</v>
      </c>
      <c r="C390" t="s">
        <v>2326</v>
      </c>
      <c r="D390" t="s">
        <v>478</v>
      </c>
      <c r="E390" t="s">
        <v>2327</v>
      </c>
      <c r="F390" t="s">
        <v>2328</v>
      </c>
      <c r="G390" t="s">
        <v>317</v>
      </c>
      <c r="H390" t="s">
        <v>321</v>
      </c>
      <c r="I390" t="s">
        <v>402</v>
      </c>
      <c r="J390" t="s">
        <v>532</v>
      </c>
      <c r="K390" t="s">
        <v>336</v>
      </c>
      <c r="L390" t="s">
        <v>5164</v>
      </c>
      <c r="M390" t="s">
        <v>5165</v>
      </c>
      <c r="N390" t="s">
        <v>402</v>
      </c>
      <c r="O390" t="s">
        <v>187</v>
      </c>
      <c r="P390" t="s">
        <v>178</v>
      </c>
    </row>
    <row r="391" spans="1:16" x14ac:dyDescent="0.25">
      <c r="A391">
        <v>91514</v>
      </c>
      <c r="B391" t="s">
        <v>263</v>
      </c>
      <c r="C391" t="s">
        <v>61</v>
      </c>
      <c r="D391" t="s">
        <v>518</v>
      </c>
      <c r="E391" t="s">
        <v>1004</v>
      </c>
      <c r="F391" t="s">
        <v>1005</v>
      </c>
      <c r="G391" t="s">
        <v>319</v>
      </c>
      <c r="H391" t="s">
        <v>322</v>
      </c>
      <c r="I391" t="s">
        <v>322</v>
      </c>
      <c r="J391" t="s">
        <v>337</v>
      </c>
      <c r="K391" t="s">
        <v>322</v>
      </c>
      <c r="L391" t="s">
        <v>553</v>
      </c>
      <c r="M391" t="s">
        <v>4217</v>
      </c>
      <c r="N391" t="s">
        <v>4218</v>
      </c>
      <c r="O391" t="s">
        <v>283</v>
      </c>
      <c r="P391" t="s">
        <v>178</v>
      </c>
    </row>
    <row r="392" spans="1:16" x14ac:dyDescent="0.25">
      <c r="A392">
        <v>218333</v>
      </c>
      <c r="B392" t="s">
        <v>263</v>
      </c>
      <c r="C392" t="s">
        <v>2111</v>
      </c>
      <c r="D392" t="s">
        <v>507</v>
      </c>
      <c r="E392" t="s">
        <v>2112</v>
      </c>
      <c r="F392" t="s">
        <v>2113</v>
      </c>
      <c r="G392" t="s">
        <v>319</v>
      </c>
      <c r="H392" t="s">
        <v>321</v>
      </c>
      <c r="I392" t="s">
        <v>329</v>
      </c>
      <c r="J392" t="s">
        <v>344</v>
      </c>
      <c r="K392" t="s">
        <v>322</v>
      </c>
      <c r="L392" t="s">
        <v>660</v>
      </c>
      <c r="M392" t="s">
        <v>5091</v>
      </c>
      <c r="N392" t="s">
        <v>5092</v>
      </c>
      <c r="O392" t="s">
        <v>283</v>
      </c>
      <c r="P392" t="s">
        <v>178</v>
      </c>
    </row>
    <row r="393" spans="1:16" x14ac:dyDescent="0.25">
      <c r="A393">
        <v>342155</v>
      </c>
      <c r="B393" t="s">
        <v>263</v>
      </c>
      <c r="C393" t="s">
        <v>2118</v>
      </c>
      <c r="D393" t="s">
        <v>495</v>
      </c>
      <c r="E393" t="s">
        <v>160</v>
      </c>
      <c r="F393" t="s">
        <v>160</v>
      </c>
      <c r="G393" t="s">
        <v>160</v>
      </c>
      <c r="H393" t="s">
        <v>160</v>
      </c>
      <c r="I393" t="s">
        <v>160</v>
      </c>
      <c r="J393" t="s">
        <v>160</v>
      </c>
      <c r="K393" t="s">
        <v>160</v>
      </c>
      <c r="L393" t="s">
        <v>495</v>
      </c>
      <c r="M393" t="s">
        <v>495</v>
      </c>
      <c r="N393" t="s">
        <v>160</v>
      </c>
      <c r="O393" t="s">
        <v>1464</v>
      </c>
      <c r="P393" t="s">
        <v>178</v>
      </c>
    </row>
    <row r="394" spans="1:16" x14ac:dyDescent="0.25">
      <c r="A394">
        <v>205896</v>
      </c>
      <c r="B394" t="s">
        <v>263</v>
      </c>
      <c r="C394" t="s">
        <v>1622</v>
      </c>
      <c r="D394" t="s">
        <v>482</v>
      </c>
      <c r="E394" t="s">
        <v>1623</v>
      </c>
      <c r="F394" t="s">
        <v>1624</v>
      </c>
      <c r="G394" t="s">
        <v>320</v>
      </c>
      <c r="H394" t="s">
        <v>322</v>
      </c>
      <c r="I394" t="s">
        <v>402</v>
      </c>
      <c r="J394" t="s">
        <v>532</v>
      </c>
      <c r="K394" t="s">
        <v>336</v>
      </c>
      <c r="L394" t="s">
        <v>4917</v>
      </c>
      <c r="M394" t="s">
        <v>4918</v>
      </c>
      <c r="N394" t="s">
        <v>4919</v>
      </c>
      <c r="O394" t="s">
        <v>187</v>
      </c>
      <c r="P394" t="s">
        <v>178</v>
      </c>
    </row>
    <row r="395" spans="1:16" x14ac:dyDescent="0.25">
      <c r="A395">
        <v>66056</v>
      </c>
      <c r="B395" t="s">
        <v>263</v>
      </c>
      <c r="C395" t="s">
        <v>41</v>
      </c>
      <c r="D395" t="s">
        <v>479</v>
      </c>
      <c r="E395" t="s">
        <v>1006</v>
      </c>
      <c r="F395" t="s">
        <v>1007</v>
      </c>
      <c r="G395" t="s">
        <v>319</v>
      </c>
      <c r="H395" t="s">
        <v>319</v>
      </c>
      <c r="I395" t="s">
        <v>363</v>
      </c>
      <c r="J395" t="s">
        <v>372</v>
      </c>
      <c r="K395" t="s">
        <v>329</v>
      </c>
      <c r="L395" t="s">
        <v>554</v>
      </c>
      <c r="M395" t="s">
        <v>4219</v>
      </c>
      <c r="N395" t="s">
        <v>4220</v>
      </c>
      <c r="O395" t="s">
        <v>187</v>
      </c>
      <c r="P395" t="s">
        <v>178</v>
      </c>
    </row>
    <row r="396" spans="1:16" x14ac:dyDescent="0.25">
      <c r="A396">
        <v>634</v>
      </c>
      <c r="B396" t="s">
        <v>263</v>
      </c>
      <c r="C396" t="s">
        <v>13</v>
      </c>
      <c r="D396" t="s">
        <v>530</v>
      </c>
      <c r="E396" t="s">
        <v>1008</v>
      </c>
      <c r="F396" t="s">
        <v>1009</v>
      </c>
      <c r="G396" t="s">
        <v>319</v>
      </c>
      <c r="H396" t="s">
        <v>323</v>
      </c>
      <c r="I396" t="s">
        <v>351</v>
      </c>
      <c r="J396" t="s">
        <v>351</v>
      </c>
      <c r="K396" t="s">
        <v>326</v>
      </c>
      <c r="L396" t="s">
        <v>4221</v>
      </c>
      <c r="M396" t="s">
        <v>4222</v>
      </c>
      <c r="N396" t="s">
        <v>4223</v>
      </c>
      <c r="O396" t="s">
        <v>180</v>
      </c>
      <c r="P396" t="s">
        <v>178</v>
      </c>
    </row>
    <row r="397" spans="1:16" x14ac:dyDescent="0.25">
      <c r="A397">
        <v>18</v>
      </c>
      <c r="B397" t="s">
        <v>263</v>
      </c>
      <c r="C397" t="s">
        <v>37</v>
      </c>
      <c r="D397" t="s">
        <v>533</v>
      </c>
      <c r="E397" t="s">
        <v>1010</v>
      </c>
      <c r="F397" t="s">
        <v>1011</v>
      </c>
      <c r="G397" t="s">
        <v>319</v>
      </c>
      <c r="H397" t="s">
        <v>326</v>
      </c>
      <c r="I397" t="s">
        <v>363</v>
      </c>
      <c r="J397" t="s">
        <v>532</v>
      </c>
      <c r="K397" t="s">
        <v>333</v>
      </c>
      <c r="L397" t="s">
        <v>555</v>
      </c>
      <c r="M397" t="s">
        <v>4224</v>
      </c>
      <c r="N397" t="s">
        <v>4225</v>
      </c>
      <c r="O397" t="s">
        <v>281</v>
      </c>
      <c r="P397" t="s">
        <v>178</v>
      </c>
    </row>
    <row r="398" spans="1:16" x14ac:dyDescent="0.25">
      <c r="A398">
        <v>379644</v>
      </c>
      <c r="B398" t="s">
        <v>263</v>
      </c>
      <c r="C398" t="s">
        <v>274</v>
      </c>
      <c r="D398" t="s">
        <v>493</v>
      </c>
      <c r="E398" t="s">
        <v>1012</v>
      </c>
      <c r="F398" t="s">
        <v>1013</v>
      </c>
      <c r="G398" t="s">
        <v>319</v>
      </c>
      <c r="H398" t="s">
        <v>321</v>
      </c>
      <c r="I398" t="s">
        <v>337</v>
      </c>
      <c r="J398" t="s">
        <v>351</v>
      </c>
      <c r="K398" t="s">
        <v>326</v>
      </c>
      <c r="L398" t="s">
        <v>524</v>
      </c>
      <c r="M398" t="s">
        <v>5229</v>
      </c>
      <c r="N398" t="s">
        <v>5230</v>
      </c>
      <c r="O398" t="s">
        <v>182</v>
      </c>
      <c r="P398" t="s">
        <v>178</v>
      </c>
    </row>
    <row r="399" spans="1:16" x14ac:dyDescent="0.25">
      <c r="A399">
        <v>305682</v>
      </c>
      <c r="B399" t="s">
        <v>263</v>
      </c>
      <c r="C399" t="s">
        <v>2365</v>
      </c>
      <c r="D399" t="s">
        <v>483</v>
      </c>
      <c r="E399" t="s">
        <v>2366</v>
      </c>
      <c r="F399" t="s">
        <v>2367</v>
      </c>
      <c r="G399" t="s">
        <v>317</v>
      </c>
      <c r="H399" t="s">
        <v>323</v>
      </c>
      <c r="I399" t="s">
        <v>351</v>
      </c>
      <c r="J399" t="s">
        <v>351</v>
      </c>
      <c r="K399" t="s">
        <v>336</v>
      </c>
      <c r="L399" t="s">
        <v>2368</v>
      </c>
      <c r="M399" t="s">
        <v>5188</v>
      </c>
      <c r="N399" t="s">
        <v>5189</v>
      </c>
      <c r="O399" t="s">
        <v>180</v>
      </c>
      <c r="P399" t="s">
        <v>178</v>
      </c>
    </row>
    <row r="400" spans="1:16" x14ac:dyDescent="0.25">
      <c r="A400">
        <v>237182</v>
      </c>
      <c r="B400" t="s">
        <v>263</v>
      </c>
      <c r="C400" t="s">
        <v>681</v>
      </c>
      <c r="D400" t="s">
        <v>482</v>
      </c>
      <c r="E400" t="s">
        <v>1290</v>
      </c>
      <c r="F400" t="s">
        <v>1291</v>
      </c>
      <c r="G400" t="s">
        <v>319</v>
      </c>
      <c r="H400" t="s">
        <v>321</v>
      </c>
      <c r="I400" t="s">
        <v>372</v>
      </c>
      <c r="J400" t="s">
        <v>402</v>
      </c>
      <c r="K400" t="s">
        <v>336</v>
      </c>
      <c r="L400" t="s">
        <v>4813</v>
      </c>
      <c r="M400" t="s">
        <v>4814</v>
      </c>
      <c r="N400" t="s">
        <v>771</v>
      </c>
      <c r="O400" t="s">
        <v>284</v>
      </c>
      <c r="P400" t="s">
        <v>178</v>
      </c>
    </row>
    <row r="401" spans="1:16" x14ac:dyDescent="0.25">
      <c r="A401">
        <v>241386</v>
      </c>
      <c r="B401" t="s">
        <v>263</v>
      </c>
      <c r="C401" t="s">
        <v>1661</v>
      </c>
      <c r="D401" t="s">
        <v>482</v>
      </c>
      <c r="E401" t="s">
        <v>1662</v>
      </c>
      <c r="F401" t="s">
        <v>1663</v>
      </c>
      <c r="G401" t="s">
        <v>317</v>
      </c>
      <c r="H401" t="s">
        <v>323</v>
      </c>
      <c r="I401" t="s">
        <v>372</v>
      </c>
      <c r="J401" t="s">
        <v>402</v>
      </c>
      <c r="K401" t="s">
        <v>329</v>
      </c>
      <c r="L401" t="s">
        <v>4926</v>
      </c>
      <c r="M401" t="s">
        <v>4927</v>
      </c>
      <c r="N401" t="s">
        <v>160</v>
      </c>
      <c r="O401" t="s">
        <v>1664</v>
      </c>
      <c r="P401" t="s">
        <v>184</v>
      </c>
    </row>
    <row r="402" spans="1:16" x14ac:dyDescent="0.25">
      <c r="A402">
        <v>811</v>
      </c>
      <c r="B402" t="s">
        <v>263</v>
      </c>
      <c r="C402" t="s">
        <v>53</v>
      </c>
      <c r="D402" t="s">
        <v>556</v>
      </c>
      <c r="E402" t="s">
        <v>1014</v>
      </c>
      <c r="F402" t="s">
        <v>1015</v>
      </c>
      <c r="G402" t="s">
        <v>319</v>
      </c>
      <c r="H402" t="s">
        <v>321</v>
      </c>
      <c r="I402" t="s">
        <v>372</v>
      </c>
      <c r="J402" t="s">
        <v>372</v>
      </c>
      <c r="K402" t="s">
        <v>326</v>
      </c>
      <c r="L402" t="s">
        <v>2143</v>
      </c>
      <c r="M402" t="s">
        <v>4226</v>
      </c>
      <c r="N402" t="s">
        <v>4227</v>
      </c>
      <c r="O402" t="s">
        <v>180</v>
      </c>
      <c r="P402" t="s">
        <v>178</v>
      </c>
    </row>
    <row r="403" spans="1:16" x14ac:dyDescent="0.25">
      <c r="A403">
        <v>9220</v>
      </c>
      <c r="B403" t="s">
        <v>263</v>
      </c>
      <c r="C403" t="s">
        <v>253</v>
      </c>
      <c r="D403" t="s">
        <v>517</v>
      </c>
      <c r="E403" t="s">
        <v>1016</v>
      </c>
      <c r="F403" t="s">
        <v>1017</v>
      </c>
      <c r="G403" t="s">
        <v>320</v>
      </c>
      <c r="H403" t="s">
        <v>329</v>
      </c>
      <c r="I403" t="s">
        <v>351</v>
      </c>
      <c r="J403" t="s">
        <v>351</v>
      </c>
      <c r="K403" t="s">
        <v>326</v>
      </c>
      <c r="L403" t="s">
        <v>4228</v>
      </c>
      <c r="M403" t="s">
        <v>4229</v>
      </c>
      <c r="N403" t="s">
        <v>4230</v>
      </c>
      <c r="O403" t="s">
        <v>186</v>
      </c>
      <c r="P403" t="s">
        <v>178</v>
      </c>
    </row>
    <row r="404" spans="1:16" x14ac:dyDescent="0.25">
      <c r="A404">
        <v>239500</v>
      </c>
      <c r="B404" t="s">
        <v>263</v>
      </c>
      <c r="C404" t="s">
        <v>1942</v>
      </c>
      <c r="D404" t="s">
        <v>507</v>
      </c>
      <c r="E404" t="s">
        <v>1943</v>
      </c>
      <c r="F404" t="s">
        <v>1944</v>
      </c>
      <c r="G404" t="s">
        <v>160</v>
      </c>
      <c r="H404" t="s">
        <v>160</v>
      </c>
      <c r="I404" t="s">
        <v>160</v>
      </c>
      <c r="J404" t="s">
        <v>160</v>
      </c>
      <c r="K404" t="s">
        <v>160</v>
      </c>
      <c r="L404" t="s">
        <v>320</v>
      </c>
      <c r="M404" t="s">
        <v>328</v>
      </c>
      <c r="N404" t="s">
        <v>160</v>
      </c>
      <c r="O404" t="s">
        <v>1464</v>
      </c>
      <c r="P404" t="s">
        <v>178</v>
      </c>
    </row>
    <row r="405" spans="1:16" x14ac:dyDescent="0.25">
      <c r="A405">
        <v>194655</v>
      </c>
      <c r="B405" t="s">
        <v>263</v>
      </c>
      <c r="C405" t="s">
        <v>614</v>
      </c>
      <c r="D405" t="s">
        <v>538</v>
      </c>
      <c r="E405" t="s">
        <v>1292</v>
      </c>
      <c r="F405" t="s">
        <v>1293</v>
      </c>
      <c r="G405" t="s">
        <v>319</v>
      </c>
      <c r="H405" t="s">
        <v>321</v>
      </c>
      <c r="I405" t="s">
        <v>344</v>
      </c>
      <c r="J405" t="s">
        <v>344</v>
      </c>
      <c r="K405" t="s">
        <v>326</v>
      </c>
      <c r="L405" t="s">
        <v>4815</v>
      </c>
      <c r="M405" t="s">
        <v>4816</v>
      </c>
      <c r="N405" t="s">
        <v>2336</v>
      </c>
      <c r="O405" t="s">
        <v>192</v>
      </c>
      <c r="P405" t="s">
        <v>178</v>
      </c>
    </row>
    <row r="406" spans="1:16" x14ac:dyDescent="0.25">
      <c r="A406">
        <v>339484</v>
      </c>
      <c r="B406" t="s">
        <v>263</v>
      </c>
      <c r="C406" t="s">
        <v>627</v>
      </c>
      <c r="D406" t="s">
        <v>483</v>
      </c>
      <c r="E406" t="s">
        <v>1294</v>
      </c>
      <c r="F406" t="s">
        <v>1295</v>
      </c>
      <c r="G406" t="s">
        <v>317</v>
      </c>
      <c r="H406" t="s">
        <v>321</v>
      </c>
      <c r="I406" t="s">
        <v>344</v>
      </c>
      <c r="J406" t="s">
        <v>360</v>
      </c>
      <c r="K406" t="s">
        <v>326</v>
      </c>
      <c r="L406" t="s">
        <v>675</v>
      </c>
      <c r="M406" t="s">
        <v>4817</v>
      </c>
      <c r="N406" t="s">
        <v>4818</v>
      </c>
      <c r="O406" t="s">
        <v>180</v>
      </c>
      <c r="P406" t="s">
        <v>178</v>
      </c>
    </row>
    <row r="407" spans="1:16" x14ac:dyDescent="0.25">
      <c r="A407">
        <v>33604</v>
      </c>
      <c r="B407" t="s">
        <v>263</v>
      </c>
      <c r="C407" t="s">
        <v>342</v>
      </c>
      <c r="D407" t="s">
        <v>484</v>
      </c>
      <c r="E407" t="s">
        <v>1296</v>
      </c>
      <c r="F407" t="s">
        <v>1297</v>
      </c>
      <c r="G407" t="s">
        <v>320</v>
      </c>
      <c r="H407" t="s">
        <v>326</v>
      </c>
      <c r="I407" t="s">
        <v>351</v>
      </c>
      <c r="J407" t="s">
        <v>351</v>
      </c>
      <c r="K407" t="s">
        <v>335</v>
      </c>
      <c r="L407" t="s">
        <v>4050</v>
      </c>
      <c r="M407" t="s">
        <v>4284</v>
      </c>
      <c r="N407" t="s">
        <v>4285</v>
      </c>
      <c r="O407" t="s">
        <v>179</v>
      </c>
      <c r="P407" t="s">
        <v>178</v>
      </c>
    </row>
    <row r="408" spans="1:16" x14ac:dyDescent="0.25">
      <c r="A408">
        <v>140795</v>
      </c>
      <c r="B408" t="s">
        <v>263</v>
      </c>
      <c r="C408" t="s">
        <v>379</v>
      </c>
      <c r="D408" t="s">
        <v>503</v>
      </c>
      <c r="E408" t="s">
        <v>1298</v>
      </c>
      <c r="F408" t="s">
        <v>1299</v>
      </c>
      <c r="G408" t="s">
        <v>320</v>
      </c>
      <c r="H408" t="s">
        <v>326</v>
      </c>
      <c r="I408" t="s">
        <v>363</v>
      </c>
      <c r="J408" t="s">
        <v>363</v>
      </c>
      <c r="K408" t="s">
        <v>336</v>
      </c>
      <c r="L408" t="s">
        <v>649</v>
      </c>
      <c r="M408" t="s">
        <v>4286</v>
      </c>
      <c r="N408" t="s">
        <v>4287</v>
      </c>
      <c r="O408" t="s">
        <v>193</v>
      </c>
      <c r="P408" t="s">
        <v>184</v>
      </c>
    </row>
    <row r="409" spans="1:16" x14ac:dyDescent="0.25">
      <c r="A409">
        <v>372</v>
      </c>
      <c r="B409" t="s">
        <v>263</v>
      </c>
      <c r="C409" t="s">
        <v>616</v>
      </c>
      <c r="D409" t="s">
        <v>676</v>
      </c>
      <c r="E409" t="s">
        <v>1300</v>
      </c>
      <c r="F409" t="s">
        <v>1301</v>
      </c>
      <c r="G409" t="s">
        <v>319</v>
      </c>
      <c r="H409" t="s">
        <v>319</v>
      </c>
      <c r="I409" t="s">
        <v>344</v>
      </c>
      <c r="J409" t="s">
        <v>344</v>
      </c>
      <c r="K409" t="s">
        <v>326</v>
      </c>
      <c r="L409" t="s">
        <v>4288</v>
      </c>
      <c r="M409" t="s">
        <v>4289</v>
      </c>
      <c r="N409" t="s">
        <v>4290</v>
      </c>
      <c r="O409" t="s">
        <v>180</v>
      </c>
      <c r="P409" t="s">
        <v>178</v>
      </c>
    </row>
    <row r="410" spans="1:16" x14ac:dyDescent="0.25">
      <c r="A410">
        <v>300930</v>
      </c>
      <c r="B410" t="s">
        <v>263</v>
      </c>
      <c r="C410" t="s">
        <v>2054</v>
      </c>
      <c r="D410" t="s">
        <v>480</v>
      </c>
      <c r="E410" t="s">
        <v>2055</v>
      </c>
      <c r="F410" t="s">
        <v>2056</v>
      </c>
      <c r="G410" t="s">
        <v>319</v>
      </c>
      <c r="H410" t="s">
        <v>319</v>
      </c>
      <c r="I410" t="s">
        <v>344</v>
      </c>
      <c r="J410" t="s">
        <v>344</v>
      </c>
      <c r="K410" t="s">
        <v>326</v>
      </c>
      <c r="L410" t="s">
        <v>2057</v>
      </c>
      <c r="M410" t="s">
        <v>5061</v>
      </c>
      <c r="N410" t="s">
        <v>5062</v>
      </c>
      <c r="O410" t="s">
        <v>187</v>
      </c>
      <c r="P410" t="s">
        <v>178</v>
      </c>
    </row>
    <row r="411" spans="1:16" x14ac:dyDescent="0.25">
      <c r="A411">
        <v>291453</v>
      </c>
      <c r="B411" t="s">
        <v>263</v>
      </c>
      <c r="C411" t="s">
        <v>650</v>
      </c>
      <c r="D411" t="s">
        <v>491</v>
      </c>
      <c r="E411" t="s">
        <v>1302</v>
      </c>
      <c r="F411" t="s">
        <v>1303</v>
      </c>
      <c r="G411" t="s">
        <v>319</v>
      </c>
      <c r="H411" t="s">
        <v>322</v>
      </c>
      <c r="I411" t="s">
        <v>344</v>
      </c>
      <c r="J411" t="s">
        <v>344</v>
      </c>
      <c r="K411" t="s">
        <v>328</v>
      </c>
      <c r="L411" t="s">
        <v>4819</v>
      </c>
      <c r="M411" t="s">
        <v>4820</v>
      </c>
      <c r="N411" t="s">
        <v>2277</v>
      </c>
      <c r="O411" t="s">
        <v>180</v>
      </c>
      <c r="P411" t="s">
        <v>178</v>
      </c>
    </row>
    <row r="412" spans="1:16" x14ac:dyDescent="0.25">
      <c r="A412">
        <v>169786</v>
      </c>
      <c r="B412" t="s">
        <v>263</v>
      </c>
      <c r="C412" t="s">
        <v>7</v>
      </c>
      <c r="D412" t="s">
        <v>538</v>
      </c>
      <c r="E412" t="s">
        <v>1018</v>
      </c>
      <c r="F412" t="s">
        <v>1019</v>
      </c>
      <c r="G412" t="s">
        <v>317</v>
      </c>
      <c r="H412" t="s">
        <v>322</v>
      </c>
      <c r="I412" t="s">
        <v>488</v>
      </c>
      <c r="J412" t="s">
        <v>488</v>
      </c>
      <c r="K412" t="s">
        <v>336</v>
      </c>
      <c r="L412" t="s">
        <v>4565</v>
      </c>
      <c r="M412" t="s">
        <v>4566</v>
      </c>
      <c r="N412" t="s">
        <v>4567</v>
      </c>
      <c r="O412" t="s">
        <v>187</v>
      </c>
      <c r="P412" t="s">
        <v>178</v>
      </c>
    </row>
    <row r="413" spans="1:16" x14ac:dyDescent="0.25">
      <c r="A413">
        <v>199727</v>
      </c>
      <c r="B413" t="s">
        <v>263</v>
      </c>
      <c r="C413" t="s">
        <v>1656</v>
      </c>
      <c r="D413" t="s">
        <v>538</v>
      </c>
      <c r="E413" t="s">
        <v>1657</v>
      </c>
      <c r="F413" t="s">
        <v>1658</v>
      </c>
      <c r="G413" t="s">
        <v>317</v>
      </c>
      <c r="H413" t="s">
        <v>325</v>
      </c>
      <c r="I413" t="s">
        <v>402</v>
      </c>
      <c r="J413" t="s">
        <v>1659</v>
      </c>
      <c r="K413" t="s">
        <v>336</v>
      </c>
      <c r="L413" t="s">
        <v>4924</v>
      </c>
      <c r="M413" t="s">
        <v>4925</v>
      </c>
      <c r="N413" t="s">
        <v>160</v>
      </c>
      <c r="O413" t="s">
        <v>1660</v>
      </c>
      <c r="P413" t="s">
        <v>178</v>
      </c>
    </row>
    <row r="414" spans="1:16" x14ac:dyDescent="0.25">
      <c r="A414">
        <v>420129</v>
      </c>
      <c r="B414" t="s">
        <v>263</v>
      </c>
      <c r="C414" t="s">
        <v>2101</v>
      </c>
      <c r="D414" t="s">
        <v>495</v>
      </c>
      <c r="E414" t="s">
        <v>160</v>
      </c>
      <c r="F414" t="s">
        <v>160</v>
      </c>
      <c r="G414" t="s">
        <v>160</v>
      </c>
      <c r="H414" t="s">
        <v>160</v>
      </c>
      <c r="I414" t="s">
        <v>160</v>
      </c>
      <c r="J414" t="s">
        <v>160</v>
      </c>
      <c r="K414" t="s">
        <v>160</v>
      </c>
      <c r="L414" t="s">
        <v>495</v>
      </c>
      <c r="M414" t="s">
        <v>328</v>
      </c>
      <c r="N414" t="s">
        <v>160</v>
      </c>
      <c r="O414" t="s">
        <v>1389</v>
      </c>
      <c r="P414" t="s">
        <v>178</v>
      </c>
    </row>
    <row r="415" spans="1:16" x14ac:dyDescent="0.25">
      <c r="A415">
        <v>367220</v>
      </c>
      <c r="B415" t="s">
        <v>263</v>
      </c>
      <c r="C415" t="s">
        <v>108</v>
      </c>
      <c r="D415" t="s">
        <v>478</v>
      </c>
      <c r="E415" t="s">
        <v>1020</v>
      </c>
      <c r="F415" t="s">
        <v>1021</v>
      </c>
      <c r="G415" t="s">
        <v>319</v>
      </c>
      <c r="H415" t="s">
        <v>321</v>
      </c>
      <c r="I415" t="s">
        <v>351</v>
      </c>
      <c r="J415" t="s">
        <v>363</v>
      </c>
      <c r="K415" t="s">
        <v>326</v>
      </c>
      <c r="L415" t="s">
        <v>4568</v>
      </c>
      <c r="M415" t="s">
        <v>4569</v>
      </c>
      <c r="N415" t="s">
        <v>4570</v>
      </c>
      <c r="O415" t="s">
        <v>180</v>
      </c>
      <c r="P415" t="s">
        <v>178</v>
      </c>
    </row>
    <row r="416" spans="1:16" x14ac:dyDescent="0.25">
      <c r="A416">
        <v>396545</v>
      </c>
      <c r="B416" t="s">
        <v>263</v>
      </c>
      <c r="C416" t="s">
        <v>2097</v>
      </c>
      <c r="D416" t="s">
        <v>493</v>
      </c>
      <c r="E416" t="s">
        <v>2098</v>
      </c>
      <c r="F416" t="s">
        <v>2099</v>
      </c>
      <c r="G416" t="s">
        <v>319</v>
      </c>
      <c r="H416" t="s">
        <v>321</v>
      </c>
      <c r="I416" t="s">
        <v>351</v>
      </c>
      <c r="J416" t="s">
        <v>363</v>
      </c>
      <c r="K416" t="s">
        <v>326</v>
      </c>
      <c r="L416" t="s">
        <v>2100</v>
      </c>
      <c r="M416" t="s">
        <v>5293</v>
      </c>
      <c r="N416" t="s">
        <v>160</v>
      </c>
      <c r="O416" t="s">
        <v>598</v>
      </c>
      <c r="P416" t="s">
        <v>178</v>
      </c>
    </row>
    <row r="417" spans="1:16" x14ac:dyDescent="0.25">
      <c r="A417">
        <v>188834</v>
      </c>
      <c r="B417" t="s">
        <v>263</v>
      </c>
      <c r="C417" t="s">
        <v>343</v>
      </c>
      <c r="D417" t="s">
        <v>538</v>
      </c>
      <c r="E417" t="s">
        <v>1304</v>
      </c>
      <c r="F417" t="s">
        <v>1305</v>
      </c>
      <c r="G417" t="s">
        <v>322</v>
      </c>
      <c r="H417" t="s">
        <v>329</v>
      </c>
      <c r="I417" t="s">
        <v>363</v>
      </c>
      <c r="J417" t="s">
        <v>363</v>
      </c>
      <c r="K417" t="s">
        <v>335</v>
      </c>
      <c r="L417" t="s">
        <v>1899</v>
      </c>
      <c r="M417" t="s">
        <v>4821</v>
      </c>
      <c r="N417" t="s">
        <v>481</v>
      </c>
      <c r="O417" t="s">
        <v>179</v>
      </c>
      <c r="P417" t="s">
        <v>178</v>
      </c>
    </row>
    <row r="418" spans="1:16" x14ac:dyDescent="0.25">
      <c r="A418">
        <v>2375</v>
      </c>
      <c r="B418" t="s">
        <v>263</v>
      </c>
      <c r="C418" t="s">
        <v>29</v>
      </c>
      <c r="D418" t="s">
        <v>557</v>
      </c>
      <c r="E418" t="s">
        <v>1022</v>
      </c>
      <c r="F418" t="s">
        <v>1023</v>
      </c>
      <c r="G418" t="s">
        <v>319</v>
      </c>
      <c r="H418" t="s">
        <v>333</v>
      </c>
      <c r="I418" t="s">
        <v>329</v>
      </c>
      <c r="J418" t="s">
        <v>351</v>
      </c>
      <c r="K418" t="s">
        <v>325</v>
      </c>
      <c r="L418" t="s">
        <v>4231</v>
      </c>
      <c r="M418" t="s">
        <v>4232</v>
      </c>
      <c r="N418" t="s">
        <v>4233</v>
      </c>
      <c r="O418" t="s">
        <v>180</v>
      </c>
      <c r="P418" t="s">
        <v>178</v>
      </c>
    </row>
    <row r="419" spans="1:16" x14ac:dyDescent="0.25">
      <c r="A419">
        <v>15062</v>
      </c>
      <c r="B419" t="s">
        <v>263</v>
      </c>
      <c r="C419" t="s">
        <v>2264</v>
      </c>
      <c r="D419" t="s">
        <v>528</v>
      </c>
      <c r="E419" t="s">
        <v>2265</v>
      </c>
      <c r="F419" t="s">
        <v>2266</v>
      </c>
      <c r="G419" t="s">
        <v>320</v>
      </c>
      <c r="H419" t="s">
        <v>325</v>
      </c>
      <c r="I419" t="s">
        <v>372</v>
      </c>
      <c r="J419" t="s">
        <v>402</v>
      </c>
      <c r="K419" t="s">
        <v>329</v>
      </c>
      <c r="L419" t="s">
        <v>2267</v>
      </c>
      <c r="M419" t="s">
        <v>4384</v>
      </c>
      <c r="N419" t="s">
        <v>4385</v>
      </c>
      <c r="O419" t="s">
        <v>193</v>
      </c>
      <c r="P419" t="s">
        <v>184</v>
      </c>
    </row>
    <row r="420" spans="1:16" x14ac:dyDescent="0.25">
      <c r="A420">
        <v>298638</v>
      </c>
      <c r="B420" t="s">
        <v>263</v>
      </c>
      <c r="C420" t="s">
        <v>264</v>
      </c>
      <c r="D420" t="s">
        <v>480</v>
      </c>
      <c r="E420" t="s">
        <v>1024</v>
      </c>
      <c r="F420" t="s">
        <v>1025</v>
      </c>
      <c r="G420" t="s">
        <v>320</v>
      </c>
      <c r="H420" t="s">
        <v>323</v>
      </c>
      <c r="I420" t="s">
        <v>372</v>
      </c>
      <c r="J420" t="s">
        <v>372</v>
      </c>
      <c r="K420" t="s">
        <v>336</v>
      </c>
      <c r="L420" t="s">
        <v>4571</v>
      </c>
      <c r="M420" t="s">
        <v>4572</v>
      </c>
      <c r="N420" t="s">
        <v>4573</v>
      </c>
      <c r="O420" t="s">
        <v>186</v>
      </c>
      <c r="P420" t="s">
        <v>178</v>
      </c>
    </row>
    <row r="421" spans="1:16" x14ac:dyDescent="0.25">
      <c r="A421">
        <v>2511</v>
      </c>
      <c r="B421" t="s">
        <v>263</v>
      </c>
      <c r="C421" t="s">
        <v>1448</v>
      </c>
      <c r="D421" t="s">
        <v>1449</v>
      </c>
      <c r="E421" t="s">
        <v>1450</v>
      </c>
      <c r="F421" t="s">
        <v>1451</v>
      </c>
      <c r="G421" t="s">
        <v>317</v>
      </c>
      <c r="H421" t="s">
        <v>326</v>
      </c>
      <c r="I421" t="s">
        <v>372</v>
      </c>
      <c r="J421" t="s">
        <v>532</v>
      </c>
      <c r="K421" t="s">
        <v>335</v>
      </c>
      <c r="L421" t="s">
        <v>1452</v>
      </c>
      <c r="M421" t="s">
        <v>4318</v>
      </c>
      <c r="N421" t="s">
        <v>4319</v>
      </c>
      <c r="O421" t="s">
        <v>193</v>
      </c>
      <c r="P421" t="s">
        <v>184</v>
      </c>
    </row>
    <row r="422" spans="1:16" x14ac:dyDescent="0.25">
      <c r="A422">
        <v>232830</v>
      </c>
      <c r="B422" t="s">
        <v>263</v>
      </c>
      <c r="C422" t="s">
        <v>332</v>
      </c>
      <c r="D422" t="s">
        <v>507</v>
      </c>
      <c r="E422" t="s">
        <v>1306</v>
      </c>
      <c r="F422" t="s">
        <v>1307</v>
      </c>
      <c r="G422" t="s">
        <v>321</v>
      </c>
      <c r="H422" t="s">
        <v>326</v>
      </c>
      <c r="I422" t="s">
        <v>344</v>
      </c>
      <c r="J422" t="s">
        <v>344</v>
      </c>
      <c r="K422" t="s">
        <v>328</v>
      </c>
      <c r="L422" t="s">
        <v>651</v>
      </c>
      <c r="M422" t="s">
        <v>4822</v>
      </c>
      <c r="N422" t="s">
        <v>4823</v>
      </c>
      <c r="O422" t="s">
        <v>179</v>
      </c>
      <c r="P422" t="s">
        <v>178</v>
      </c>
    </row>
    <row r="423" spans="1:16" x14ac:dyDescent="0.25">
      <c r="A423">
        <v>202426</v>
      </c>
      <c r="B423" t="s">
        <v>263</v>
      </c>
      <c r="C423" t="s">
        <v>2316</v>
      </c>
      <c r="D423" t="s">
        <v>507</v>
      </c>
      <c r="E423" t="s">
        <v>2317</v>
      </c>
      <c r="F423" t="s">
        <v>2318</v>
      </c>
      <c r="G423" t="s">
        <v>321</v>
      </c>
      <c r="H423" t="s">
        <v>328</v>
      </c>
      <c r="I423" t="s">
        <v>532</v>
      </c>
      <c r="J423" t="s">
        <v>540</v>
      </c>
      <c r="K423" t="s">
        <v>336</v>
      </c>
      <c r="L423" t="s">
        <v>5156</v>
      </c>
      <c r="M423" t="s">
        <v>5157</v>
      </c>
      <c r="N423" t="s">
        <v>5158</v>
      </c>
      <c r="O423" t="s">
        <v>187</v>
      </c>
      <c r="P423" t="s">
        <v>178</v>
      </c>
    </row>
    <row r="424" spans="1:16" x14ac:dyDescent="0.25">
      <c r="A424">
        <v>270673</v>
      </c>
      <c r="B424" t="s">
        <v>263</v>
      </c>
      <c r="C424" t="s">
        <v>347</v>
      </c>
      <c r="D424" t="s">
        <v>491</v>
      </c>
      <c r="E424" t="s">
        <v>1308</v>
      </c>
      <c r="F424" t="s">
        <v>1309</v>
      </c>
      <c r="G424" t="s">
        <v>319</v>
      </c>
      <c r="H424" t="s">
        <v>321</v>
      </c>
      <c r="I424" t="s">
        <v>344</v>
      </c>
      <c r="J424" t="s">
        <v>344</v>
      </c>
      <c r="K424" t="s">
        <v>326</v>
      </c>
      <c r="L424" t="s">
        <v>4824</v>
      </c>
      <c r="M424" t="s">
        <v>4825</v>
      </c>
      <c r="N424" t="s">
        <v>4826</v>
      </c>
      <c r="O424" t="s">
        <v>180</v>
      </c>
      <c r="P424" t="s">
        <v>178</v>
      </c>
    </row>
    <row r="425" spans="1:16" x14ac:dyDescent="0.25">
      <c r="A425">
        <v>268620</v>
      </c>
      <c r="B425" t="s">
        <v>263</v>
      </c>
      <c r="C425" t="s">
        <v>2401</v>
      </c>
      <c r="D425" t="s">
        <v>491</v>
      </c>
      <c r="E425" t="s">
        <v>2402</v>
      </c>
      <c r="F425" t="s">
        <v>2403</v>
      </c>
      <c r="G425" t="s">
        <v>319</v>
      </c>
      <c r="H425" t="s">
        <v>326</v>
      </c>
      <c r="I425" t="s">
        <v>329</v>
      </c>
      <c r="J425" t="s">
        <v>337</v>
      </c>
      <c r="K425" t="s">
        <v>325</v>
      </c>
      <c r="L425" t="s">
        <v>5210</v>
      </c>
      <c r="M425" t="s">
        <v>5211</v>
      </c>
      <c r="N425" t="s">
        <v>5212</v>
      </c>
      <c r="O425" t="s">
        <v>180</v>
      </c>
      <c r="P425" t="s">
        <v>184</v>
      </c>
    </row>
    <row r="426" spans="1:16" x14ac:dyDescent="0.25">
      <c r="A426">
        <v>395239</v>
      </c>
      <c r="B426" t="s">
        <v>263</v>
      </c>
      <c r="C426" t="s">
        <v>1479</v>
      </c>
      <c r="D426" t="s">
        <v>483</v>
      </c>
      <c r="E426" t="s">
        <v>1480</v>
      </c>
      <c r="F426" t="s">
        <v>1481</v>
      </c>
      <c r="G426" t="s">
        <v>160</v>
      </c>
      <c r="H426" t="s">
        <v>160</v>
      </c>
      <c r="I426" t="s">
        <v>160</v>
      </c>
      <c r="J426" t="s">
        <v>160</v>
      </c>
      <c r="K426" t="s">
        <v>160</v>
      </c>
      <c r="L426" t="s">
        <v>495</v>
      </c>
      <c r="M426" t="s">
        <v>495</v>
      </c>
      <c r="N426" t="s">
        <v>160</v>
      </c>
      <c r="O426" t="s">
        <v>1464</v>
      </c>
      <c r="P426" t="s">
        <v>178</v>
      </c>
    </row>
    <row r="427" spans="1:16" x14ac:dyDescent="0.25">
      <c r="A427">
        <v>92415</v>
      </c>
      <c r="B427" t="s">
        <v>263</v>
      </c>
      <c r="C427" t="s">
        <v>120</v>
      </c>
      <c r="D427" t="s">
        <v>518</v>
      </c>
      <c r="E427" t="s">
        <v>1026</v>
      </c>
      <c r="F427" t="s">
        <v>1027</v>
      </c>
      <c r="G427" t="s">
        <v>320</v>
      </c>
      <c r="H427" t="s">
        <v>323</v>
      </c>
      <c r="I427" t="s">
        <v>337</v>
      </c>
      <c r="J427" t="s">
        <v>363</v>
      </c>
      <c r="K427" t="s">
        <v>329</v>
      </c>
      <c r="L427" t="s">
        <v>4234</v>
      </c>
      <c r="M427" t="s">
        <v>4235</v>
      </c>
      <c r="N427" t="s">
        <v>2015</v>
      </c>
      <c r="O427" t="s">
        <v>179</v>
      </c>
      <c r="P427" t="s">
        <v>178</v>
      </c>
    </row>
    <row r="428" spans="1:16" x14ac:dyDescent="0.25">
      <c r="A428">
        <v>150145</v>
      </c>
      <c r="B428" t="s">
        <v>263</v>
      </c>
      <c r="C428" t="s">
        <v>2093</v>
      </c>
      <c r="D428" t="s">
        <v>536</v>
      </c>
      <c r="E428" t="s">
        <v>2094</v>
      </c>
      <c r="F428" t="s">
        <v>2095</v>
      </c>
      <c r="G428" t="s">
        <v>319</v>
      </c>
      <c r="H428" t="s">
        <v>326</v>
      </c>
      <c r="I428" t="s">
        <v>351</v>
      </c>
      <c r="J428" t="s">
        <v>351</v>
      </c>
      <c r="K428" t="s">
        <v>326</v>
      </c>
      <c r="L428" t="s">
        <v>5088</v>
      </c>
      <c r="M428" t="s">
        <v>5089</v>
      </c>
      <c r="N428" t="s">
        <v>5090</v>
      </c>
      <c r="O428" t="s">
        <v>180</v>
      </c>
      <c r="P428" t="s">
        <v>178</v>
      </c>
    </row>
    <row r="429" spans="1:16" x14ac:dyDescent="0.25">
      <c r="A429">
        <v>373106</v>
      </c>
      <c r="B429" t="s">
        <v>263</v>
      </c>
      <c r="C429" t="s">
        <v>75</v>
      </c>
      <c r="D429" t="s">
        <v>493</v>
      </c>
      <c r="E429" t="s">
        <v>1028</v>
      </c>
      <c r="F429" t="s">
        <v>1029</v>
      </c>
      <c r="G429" t="s">
        <v>319</v>
      </c>
      <c r="H429" t="s">
        <v>319</v>
      </c>
      <c r="I429" t="s">
        <v>344</v>
      </c>
      <c r="J429" t="s">
        <v>344</v>
      </c>
      <c r="K429" t="s">
        <v>329</v>
      </c>
      <c r="L429" t="s">
        <v>5231</v>
      </c>
      <c r="M429" t="s">
        <v>5232</v>
      </c>
      <c r="N429" t="s">
        <v>355</v>
      </c>
      <c r="O429" t="s">
        <v>309</v>
      </c>
      <c r="P429" t="s">
        <v>184</v>
      </c>
    </row>
    <row r="430" spans="1:16" x14ac:dyDescent="0.25">
      <c r="A430">
        <v>204135</v>
      </c>
      <c r="B430" t="s">
        <v>263</v>
      </c>
      <c r="C430" t="s">
        <v>5307</v>
      </c>
      <c r="D430" t="s">
        <v>486</v>
      </c>
      <c r="E430" t="s">
        <v>5308</v>
      </c>
      <c r="F430" t="s">
        <v>5309</v>
      </c>
      <c r="G430" t="s">
        <v>319</v>
      </c>
      <c r="H430" t="s">
        <v>326</v>
      </c>
      <c r="I430" t="s">
        <v>337</v>
      </c>
      <c r="J430" t="s">
        <v>363</v>
      </c>
      <c r="K430" t="s">
        <v>326</v>
      </c>
      <c r="L430" t="s">
        <v>5310</v>
      </c>
      <c r="M430" t="s">
        <v>5311</v>
      </c>
      <c r="N430" t="s">
        <v>5312</v>
      </c>
      <c r="O430" t="s">
        <v>180</v>
      </c>
      <c r="P430" t="s">
        <v>178</v>
      </c>
    </row>
    <row r="431" spans="1:16" x14ac:dyDescent="0.25">
      <c r="A431">
        <v>338960</v>
      </c>
      <c r="B431" t="s">
        <v>263</v>
      </c>
      <c r="C431" t="s">
        <v>78</v>
      </c>
      <c r="D431" t="s">
        <v>508</v>
      </c>
      <c r="E431" t="s">
        <v>1030</v>
      </c>
      <c r="F431" t="s">
        <v>1031</v>
      </c>
      <c r="G431" t="s">
        <v>317</v>
      </c>
      <c r="H431" t="s">
        <v>321</v>
      </c>
      <c r="I431" t="s">
        <v>351</v>
      </c>
      <c r="J431" t="s">
        <v>519</v>
      </c>
      <c r="K431" t="s">
        <v>333</v>
      </c>
      <c r="L431" t="s">
        <v>4574</v>
      </c>
      <c r="M431" t="s">
        <v>4575</v>
      </c>
      <c r="N431" t="s">
        <v>4576</v>
      </c>
      <c r="O431" t="s">
        <v>187</v>
      </c>
      <c r="P431" t="s">
        <v>184</v>
      </c>
    </row>
    <row r="432" spans="1:16" x14ac:dyDescent="0.25">
      <c r="A432">
        <v>255984</v>
      </c>
      <c r="B432" t="s">
        <v>263</v>
      </c>
      <c r="C432" t="s">
        <v>629</v>
      </c>
      <c r="D432" t="s">
        <v>483</v>
      </c>
      <c r="E432" t="s">
        <v>1310</v>
      </c>
      <c r="F432" t="s">
        <v>1311</v>
      </c>
      <c r="G432" t="s">
        <v>317</v>
      </c>
      <c r="H432" t="s">
        <v>321</v>
      </c>
      <c r="I432" t="s">
        <v>372</v>
      </c>
      <c r="J432" t="s">
        <v>532</v>
      </c>
      <c r="K432" t="s">
        <v>335</v>
      </c>
      <c r="L432" t="s">
        <v>4827</v>
      </c>
      <c r="M432" t="s">
        <v>4828</v>
      </c>
      <c r="N432" t="s">
        <v>380</v>
      </c>
      <c r="O432" t="s">
        <v>193</v>
      </c>
      <c r="P432" t="s">
        <v>184</v>
      </c>
    </row>
    <row r="433" spans="1:16" x14ac:dyDescent="0.25">
      <c r="A433">
        <v>358050</v>
      </c>
      <c r="B433" t="s">
        <v>263</v>
      </c>
      <c r="C433" t="s">
        <v>2158</v>
      </c>
      <c r="D433" t="s">
        <v>478</v>
      </c>
      <c r="E433" t="s">
        <v>2159</v>
      </c>
      <c r="F433" t="s">
        <v>2160</v>
      </c>
      <c r="G433" t="s">
        <v>319</v>
      </c>
      <c r="H433" t="s">
        <v>322</v>
      </c>
      <c r="I433" t="s">
        <v>344</v>
      </c>
      <c r="J433" t="s">
        <v>344</v>
      </c>
      <c r="K433" t="s">
        <v>326</v>
      </c>
      <c r="L433" t="s">
        <v>524</v>
      </c>
      <c r="M433" t="s">
        <v>5104</v>
      </c>
      <c r="N433" t="s">
        <v>5105</v>
      </c>
      <c r="O433" t="s">
        <v>185</v>
      </c>
      <c r="P433" t="s">
        <v>178</v>
      </c>
    </row>
    <row r="434" spans="1:16" x14ac:dyDescent="0.25">
      <c r="A434">
        <v>40692</v>
      </c>
      <c r="B434" t="s">
        <v>263</v>
      </c>
      <c r="C434" t="s">
        <v>1445</v>
      </c>
      <c r="D434" t="s">
        <v>523</v>
      </c>
      <c r="E434" t="s">
        <v>1446</v>
      </c>
      <c r="F434" t="s">
        <v>1447</v>
      </c>
      <c r="G434" t="s">
        <v>319</v>
      </c>
      <c r="H434" t="s">
        <v>322</v>
      </c>
      <c r="I434" t="s">
        <v>360</v>
      </c>
      <c r="J434" t="s">
        <v>393</v>
      </c>
      <c r="K434" t="s">
        <v>326</v>
      </c>
      <c r="L434" t="s">
        <v>4315</v>
      </c>
      <c r="M434" t="s">
        <v>4316</v>
      </c>
      <c r="N434" t="s">
        <v>4317</v>
      </c>
      <c r="O434" t="s">
        <v>310</v>
      </c>
      <c r="P434" t="s">
        <v>178</v>
      </c>
    </row>
    <row r="435" spans="1:16" x14ac:dyDescent="0.25">
      <c r="A435">
        <v>122522</v>
      </c>
      <c r="B435" t="s">
        <v>263</v>
      </c>
      <c r="C435" t="s">
        <v>2313</v>
      </c>
      <c r="D435" t="s">
        <v>503</v>
      </c>
      <c r="E435" t="s">
        <v>2314</v>
      </c>
      <c r="F435" t="s">
        <v>2315</v>
      </c>
      <c r="G435" t="s">
        <v>319</v>
      </c>
      <c r="H435" t="s">
        <v>321</v>
      </c>
      <c r="I435" t="s">
        <v>363</v>
      </c>
      <c r="J435" t="s">
        <v>363</v>
      </c>
      <c r="K435" t="s">
        <v>333</v>
      </c>
      <c r="L435" t="s">
        <v>4390</v>
      </c>
      <c r="M435" t="s">
        <v>4391</v>
      </c>
      <c r="N435" t="s">
        <v>4392</v>
      </c>
      <c r="O435" t="s">
        <v>310</v>
      </c>
      <c r="P435" t="s">
        <v>178</v>
      </c>
    </row>
    <row r="436" spans="1:16" x14ac:dyDescent="0.25">
      <c r="A436">
        <v>296612</v>
      </c>
      <c r="B436" t="s">
        <v>263</v>
      </c>
      <c r="C436" t="s">
        <v>1386</v>
      </c>
      <c r="D436" t="s">
        <v>491</v>
      </c>
      <c r="E436" t="s">
        <v>1387</v>
      </c>
      <c r="F436" t="s">
        <v>1388</v>
      </c>
      <c r="G436" t="s">
        <v>160</v>
      </c>
      <c r="H436" t="s">
        <v>160</v>
      </c>
      <c r="I436" t="s">
        <v>160</v>
      </c>
      <c r="J436" t="s">
        <v>160</v>
      </c>
      <c r="K436" t="s">
        <v>160</v>
      </c>
      <c r="L436" t="s">
        <v>495</v>
      </c>
      <c r="M436" t="s">
        <v>328</v>
      </c>
      <c r="N436" t="s">
        <v>160</v>
      </c>
      <c r="O436" t="s">
        <v>1389</v>
      </c>
      <c r="P436" t="s">
        <v>178</v>
      </c>
    </row>
    <row r="437" spans="1:16" x14ac:dyDescent="0.25">
      <c r="A437">
        <v>329839</v>
      </c>
      <c r="B437" t="s">
        <v>263</v>
      </c>
      <c r="C437" t="s">
        <v>96</v>
      </c>
      <c r="D437" t="s">
        <v>483</v>
      </c>
      <c r="E437" t="s">
        <v>1312</v>
      </c>
      <c r="F437" t="s">
        <v>1313</v>
      </c>
      <c r="G437" t="s">
        <v>320</v>
      </c>
      <c r="H437" t="s">
        <v>323</v>
      </c>
      <c r="I437" t="s">
        <v>351</v>
      </c>
      <c r="J437" t="s">
        <v>351</v>
      </c>
      <c r="K437" t="s">
        <v>329</v>
      </c>
      <c r="L437" t="s">
        <v>4829</v>
      </c>
      <c r="M437" t="s">
        <v>4830</v>
      </c>
      <c r="N437" t="s">
        <v>652</v>
      </c>
      <c r="O437" t="s">
        <v>179</v>
      </c>
      <c r="P437" t="s">
        <v>184</v>
      </c>
    </row>
    <row r="438" spans="1:16" x14ac:dyDescent="0.25">
      <c r="A438">
        <v>332944</v>
      </c>
      <c r="B438" t="s">
        <v>263</v>
      </c>
      <c r="C438" t="s">
        <v>615</v>
      </c>
      <c r="D438" t="s">
        <v>483</v>
      </c>
      <c r="E438" t="s">
        <v>1314</v>
      </c>
      <c r="F438" t="s">
        <v>1315</v>
      </c>
      <c r="G438" t="s">
        <v>319</v>
      </c>
      <c r="H438" t="s">
        <v>319</v>
      </c>
      <c r="I438" t="s">
        <v>344</v>
      </c>
      <c r="J438" t="s">
        <v>344</v>
      </c>
      <c r="K438" t="s">
        <v>329</v>
      </c>
      <c r="L438" t="s">
        <v>677</v>
      </c>
      <c r="M438" t="s">
        <v>4831</v>
      </c>
      <c r="N438" t="s">
        <v>757</v>
      </c>
      <c r="O438" t="s">
        <v>180</v>
      </c>
      <c r="P438" t="s">
        <v>178</v>
      </c>
    </row>
    <row r="439" spans="1:16" x14ac:dyDescent="0.25">
      <c r="A439">
        <v>38453</v>
      </c>
      <c r="B439" t="s">
        <v>263</v>
      </c>
      <c r="C439" t="s">
        <v>1948</v>
      </c>
      <c r="D439" t="s">
        <v>484</v>
      </c>
      <c r="E439" t="s">
        <v>1949</v>
      </c>
      <c r="F439" t="s">
        <v>1950</v>
      </c>
      <c r="G439" t="s">
        <v>317</v>
      </c>
      <c r="H439" t="s">
        <v>322</v>
      </c>
      <c r="I439" t="s">
        <v>351</v>
      </c>
      <c r="J439" t="s">
        <v>351</v>
      </c>
      <c r="K439" t="s">
        <v>333</v>
      </c>
      <c r="L439" t="s">
        <v>1951</v>
      </c>
      <c r="M439" t="s">
        <v>4365</v>
      </c>
      <c r="N439" t="s">
        <v>4366</v>
      </c>
      <c r="O439" t="s">
        <v>193</v>
      </c>
      <c r="P439" t="s">
        <v>184</v>
      </c>
    </row>
    <row r="440" spans="1:16" x14ac:dyDescent="0.25">
      <c r="A440">
        <v>242302</v>
      </c>
      <c r="B440" t="s">
        <v>263</v>
      </c>
      <c r="C440" t="s">
        <v>624</v>
      </c>
      <c r="D440" t="s">
        <v>482</v>
      </c>
      <c r="E440" t="s">
        <v>1316</v>
      </c>
      <c r="F440" t="s">
        <v>1317</v>
      </c>
      <c r="G440" t="s">
        <v>319</v>
      </c>
      <c r="H440" t="s">
        <v>322</v>
      </c>
      <c r="I440" t="s">
        <v>372</v>
      </c>
      <c r="J440" t="s">
        <v>372</v>
      </c>
      <c r="K440" t="s">
        <v>336</v>
      </c>
      <c r="L440" t="s">
        <v>4832</v>
      </c>
      <c r="M440" t="s">
        <v>4833</v>
      </c>
      <c r="N440" t="s">
        <v>4834</v>
      </c>
      <c r="O440" t="s">
        <v>180</v>
      </c>
      <c r="P440" t="s">
        <v>178</v>
      </c>
    </row>
    <row r="441" spans="1:16" x14ac:dyDescent="0.25">
      <c r="A441">
        <v>162886</v>
      </c>
      <c r="B441" t="s">
        <v>263</v>
      </c>
      <c r="C441" t="s">
        <v>100</v>
      </c>
      <c r="D441" t="s">
        <v>507</v>
      </c>
      <c r="E441" t="s">
        <v>1318</v>
      </c>
      <c r="F441" t="s">
        <v>1319</v>
      </c>
      <c r="G441" t="s">
        <v>317</v>
      </c>
      <c r="H441" t="s">
        <v>321</v>
      </c>
      <c r="I441" t="s">
        <v>402</v>
      </c>
      <c r="J441" t="s">
        <v>532</v>
      </c>
      <c r="K441" t="s">
        <v>335</v>
      </c>
      <c r="L441" t="s">
        <v>4835</v>
      </c>
      <c r="M441" t="s">
        <v>4836</v>
      </c>
      <c r="N441" t="s">
        <v>331</v>
      </c>
      <c r="O441" t="s">
        <v>187</v>
      </c>
      <c r="P441" t="s">
        <v>184</v>
      </c>
    </row>
    <row r="442" spans="1:16" x14ac:dyDescent="0.25">
      <c r="A442">
        <v>148228</v>
      </c>
      <c r="B442" t="s">
        <v>263</v>
      </c>
      <c r="C442" t="s">
        <v>104</v>
      </c>
      <c r="D442" t="s">
        <v>497</v>
      </c>
      <c r="E442" t="s">
        <v>1032</v>
      </c>
      <c r="F442" t="s">
        <v>1033</v>
      </c>
      <c r="G442" t="s">
        <v>319</v>
      </c>
      <c r="H442" t="s">
        <v>321</v>
      </c>
      <c r="I442" t="s">
        <v>351</v>
      </c>
      <c r="J442" t="s">
        <v>351</v>
      </c>
      <c r="K442" t="s">
        <v>329</v>
      </c>
      <c r="L442" t="s">
        <v>4577</v>
      </c>
      <c r="M442" t="s">
        <v>4578</v>
      </c>
      <c r="N442" t="s">
        <v>772</v>
      </c>
      <c r="O442" t="s">
        <v>180</v>
      </c>
      <c r="P442" t="s">
        <v>178</v>
      </c>
    </row>
    <row r="443" spans="1:16" x14ac:dyDescent="0.25">
      <c r="A443">
        <v>364073</v>
      </c>
      <c r="B443" t="s">
        <v>263</v>
      </c>
      <c r="C443" t="s">
        <v>1976</v>
      </c>
      <c r="D443" t="s">
        <v>478</v>
      </c>
      <c r="E443" t="s">
        <v>1977</v>
      </c>
      <c r="F443" t="s">
        <v>1978</v>
      </c>
      <c r="G443" t="s">
        <v>319</v>
      </c>
      <c r="H443" t="s">
        <v>319</v>
      </c>
      <c r="I443" t="s">
        <v>351</v>
      </c>
      <c r="J443" t="s">
        <v>351</v>
      </c>
      <c r="K443" t="s">
        <v>329</v>
      </c>
      <c r="L443" t="s">
        <v>5023</v>
      </c>
      <c r="M443" t="s">
        <v>5024</v>
      </c>
      <c r="N443" t="s">
        <v>1979</v>
      </c>
      <c r="O443" t="s">
        <v>310</v>
      </c>
      <c r="P443" t="s">
        <v>178</v>
      </c>
    </row>
    <row r="444" spans="1:16" x14ac:dyDescent="0.25">
      <c r="A444">
        <v>63268</v>
      </c>
      <c r="B444" t="s">
        <v>263</v>
      </c>
      <c r="C444" t="s">
        <v>286</v>
      </c>
      <c r="D444" t="s">
        <v>523</v>
      </c>
      <c r="E444" t="s">
        <v>1034</v>
      </c>
      <c r="F444" t="s">
        <v>1035</v>
      </c>
      <c r="G444" t="s">
        <v>319</v>
      </c>
      <c r="H444" t="s">
        <v>326</v>
      </c>
      <c r="I444" t="s">
        <v>337</v>
      </c>
      <c r="J444" t="s">
        <v>337</v>
      </c>
      <c r="K444" t="s">
        <v>323</v>
      </c>
      <c r="L444" t="s">
        <v>746</v>
      </c>
      <c r="M444" t="s">
        <v>4236</v>
      </c>
      <c r="N444" t="s">
        <v>4237</v>
      </c>
      <c r="O444" t="s">
        <v>179</v>
      </c>
      <c r="P444" t="s">
        <v>178</v>
      </c>
    </row>
    <row r="445" spans="1:16" x14ac:dyDescent="0.25">
      <c r="A445">
        <v>166384</v>
      </c>
      <c r="B445" t="s">
        <v>263</v>
      </c>
      <c r="C445" t="s">
        <v>327</v>
      </c>
      <c r="D445" t="s">
        <v>497</v>
      </c>
      <c r="E445" t="s">
        <v>1320</v>
      </c>
      <c r="F445" t="s">
        <v>1321</v>
      </c>
      <c r="G445" t="s">
        <v>320</v>
      </c>
      <c r="H445" t="s">
        <v>326</v>
      </c>
      <c r="I445" t="s">
        <v>337</v>
      </c>
      <c r="J445" t="s">
        <v>337</v>
      </c>
      <c r="K445" t="s">
        <v>335</v>
      </c>
      <c r="L445" t="s">
        <v>4837</v>
      </c>
      <c r="M445" t="s">
        <v>4838</v>
      </c>
      <c r="N445" t="s">
        <v>4839</v>
      </c>
      <c r="O445" t="s">
        <v>179</v>
      </c>
      <c r="P445" t="s">
        <v>178</v>
      </c>
    </row>
    <row r="446" spans="1:16" x14ac:dyDescent="0.25">
      <c r="A446">
        <v>230253</v>
      </c>
      <c r="B446" t="s">
        <v>263</v>
      </c>
      <c r="C446" t="s">
        <v>622</v>
      </c>
      <c r="D446" t="s">
        <v>482</v>
      </c>
      <c r="E446" t="s">
        <v>1322</v>
      </c>
      <c r="F446" t="s">
        <v>1323</v>
      </c>
      <c r="G446" t="s">
        <v>317</v>
      </c>
      <c r="H446" t="s">
        <v>321</v>
      </c>
      <c r="I446" t="s">
        <v>344</v>
      </c>
      <c r="J446" t="s">
        <v>363</v>
      </c>
      <c r="K446" t="s">
        <v>333</v>
      </c>
      <c r="L446" t="s">
        <v>4840</v>
      </c>
      <c r="M446" t="s">
        <v>4841</v>
      </c>
      <c r="N446" t="s">
        <v>4842</v>
      </c>
      <c r="O446" t="s">
        <v>187</v>
      </c>
      <c r="P446" t="s">
        <v>184</v>
      </c>
    </row>
    <row r="447" spans="1:16" x14ac:dyDescent="0.25">
      <c r="A447">
        <v>444481</v>
      </c>
      <c r="B447" t="s">
        <v>263</v>
      </c>
      <c r="C447" t="s">
        <v>1945</v>
      </c>
      <c r="D447" t="s">
        <v>494</v>
      </c>
      <c r="E447" t="s">
        <v>1946</v>
      </c>
      <c r="F447" t="s">
        <v>1947</v>
      </c>
      <c r="G447" t="s">
        <v>319</v>
      </c>
      <c r="H447" t="s">
        <v>321</v>
      </c>
      <c r="I447" t="s">
        <v>351</v>
      </c>
      <c r="J447" t="s">
        <v>351</v>
      </c>
      <c r="K447" t="s">
        <v>326</v>
      </c>
      <c r="L447" t="s">
        <v>5288</v>
      </c>
      <c r="M447" t="s">
        <v>5289</v>
      </c>
      <c r="N447" t="s">
        <v>5290</v>
      </c>
      <c r="O447" t="s">
        <v>580</v>
      </c>
      <c r="P447" t="s">
        <v>178</v>
      </c>
    </row>
    <row r="448" spans="1:16" x14ac:dyDescent="0.25">
      <c r="A448">
        <v>187645</v>
      </c>
      <c r="B448" t="s">
        <v>263</v>
      </c>
      <c r="C448" t="s">
        <v>1700</v>
      </c>
      <c r="D448" t="s">
        <v>538</v>
      </c>
      <c r="E448" t="s">
        <v>1701</v>
      </c>
      <c r="F448" t="s">
        <v>1702</v>
      </c>
      <c r="G448" t="s">
        <v>319</v>
      </c>
      <c r="H448" t="s">
        <v>321</v>
      </c>
      <c r="I448" t="s">
        <v>540</v>
      </c>
      <c r="J448" t="s">
        <v>547</v>
      </c>
      <c r="K448" t="s">
        <v>336</v>
      </c>
      <c r="L448" t="s">
        <v>4938</v>
      </c>
      <c r="M448" t="s">
        <v>4939</v>
      </c>
      <c r="N448" t="s">
        <v>329</v>
      </c>
      <c r="O448" t="s">
        <v>193</v>
      </c>
      <c r="P448" t="s">
        <v>178</v>
      </c>
    </row>
    <row r="449" spans="1:16" x14ac:dyDescent="0.25">
      <c r="A449">
        <v>370913</v>
      </c>
      <c r="B449" t="s">
        <v>263</v>
      </c>
      <c r="C449" t="s">
        <v>2161</v>
      </c>
      <c r="D449" t="s">
        <v>478</v>
      </c>
      <c r="E449" t="s">
        <v>2162</v>
      </c>
      <c r="F449" t="s">
        <v>2163</v>
      </c>
      <c r="G449" t="s">
        <v>317</v>
      </c>
      <c r="H449" t="s">
        <v>322</v>
      </c>
      <c r="I449" t="s">
        <v>372</v>
      </c>
      <c r="J449" t="s">
        <v>372</v>
      </c>
      <c r="K449" t="s">
        <v>336</v>
      </c>
      <c r="L449" t="s">
        <v>5298</v>
      </c>
      <c r="M449" t="s">
        <v>5299</v>
      </c>
      <c r="N449" t="s">
        <v>5300</v>
      </c>
      <c r="O449" t="s">
        <v>310</v>
      </c>
      <c r="P449" t="s">
        <v>184</v>
      </c>
    </row>
    <row r="450" spans="1:16" x14ac:dyDescent="0.25">
      <c r="A450">
        <v>1917</v>
      </c>
      <c r="B450" t="s">
        <v>263</v>
      </c>
      <c r="C450" t="s">
        <v>5313</v>
      </c>
      <c r="D450" t="s">
        <v>5314</v>
      </c>
      <c r="E450" t="s">
        <v>5315</v>
      </c>
      <c r="F450" t="s">
        <v>5316</v>
      </c>
      <c r="G450" t="s">
        <v>319</v>
      </c>
      <c r="H450" t="s">
        <v>319</v>
      </c>
      <c r="I450" t="s">
        <v>363</v>
      </c>
      <c r="J450" t="s">
        <v>363</v>
      </c>
      <c r="K450" t="s">
        <v>326</v>
      </c>
      <c r="L450" t="s">
        <v>5317</v>
      </c>
      <c r="M450" t="s">
        <v>5318</v>
      </c>
      <c r="N450" t="s">
        <v>5319</v>
      </c>
      <c r="O450" t="s">
        <v>177</v>
      </c>
      <c r="P450" t="s">
        <v>178</v>
      </c>
    </row>
    <row r="451" spans="1:16" x14ac:dyDescent="0.25">
      <c r="A451">
        <v>394762</v>
      </c>
      <c r="B451" t="s">
        <v>263</v>
      </c>
      <c r="C451" t="s">
        <v>1552</v>
      </c>
      <c r="D451" t="s">
        <v>160</v>
      </c>
      <c r="E451" t="s">
        <v>1553</v>
      </c>
      <c r="F451" t="s">
        <v>1554</v>
      </c>
      <c r="G451" t="s">
        <v>317</v>
      </c>
      <c r="H451" t="s">
        <v>317</v>
      </c>
      <c r="I451" t="s">
        <v>160</v>
      </c>
      <c r="J451" t="s">
        <v>160</v>
      </c>
      <c r="K451" t="s">
        <v>160</v>
      </c>
      <c r="L451" t="s">
        <v>495</v>
      </c>
      <c r="M451" t="s">
        <v>495</v>
      </c>
      <c r="N451" t="s">
        <v>160</v>
      </c>
      <c r="O451" t="s">
        <v>1436</v>
      </c>
      <c r="P451" t="s">
        <v>178</v>
      </c>
    </row>
    <row r="452" spans="1:16" x14ac:dyDescent="0.25">
      <c r="A452">
        <v>281258</v>
      </c>
      <c r="B452" t="s">
        <v>263</v>
      </c>
      <c r="C452" t="s">
        <v>2376</v>
      </c>
      <c r="D452" t="s">
        <v>493</v>
      </c>
      <c r="E452" t="s">
        <v>2377</v>
      </c>
      <c r="F452" t="s">
        <v>2378</v>
      </c>
      <c r="G452" t="s">
        <v>317</v>
      </c>
      <c r="H452" t="s">
        <v>323</v>
      </c>
      <c r="I452" t="s">
        <v>363</v>
      </c>
      <c r="J452" t="s">
        <v>388</v>
      </c>
      <c r="K452" t="s">
        <v>329</v>
      </c>
      <c r="L452" t="s">
        <v>5195</v>
      </c>
      <c r="M452" t="s">
        <v>5196</v>
      </c>
      <c r="N452" t="s">
        <v>5197</v>
      </c>
      <c r="O452" t="s">
        <v>189</v>
      </c>
      <c r="P452" t="s">
        <v>184</v>
      </c>
    </row>
    <row r="453" spans="1:16" x14ac:dyDescent="0.25">
      <c r="A453">
        <v>332800</v>
      </c>
      <c r="B453" t="s">
        <v>263</v>
      </c>
      <c r="C453" t="s">
        <v>2073</v>
      </c>
      <c r="D453" t="s">
        <v>483</v>
      </c>
      <c r="E453" t="s">
        <v>2074</v>
      </c>
      <c r="F453" t="s">
        <v>2075</v>
      </c>
      <c r="G453" t="s">
        <v>319</v>
      </c>
      <c r="H453" t="s">
        <v>319</v>
      </c>
      <c r="I453" t="s">
        <v>360</v>
      </c>
      <c r="J453" t="s">
        <v>372</v>
      </c>
      <c r="K453" t="s">
        <v>328</v>
      </c>
      <c r="L453" t="s">
        <v>5076</v>
      </c>
      <c r="M453" t="s">
        <v>5077</v>
      </c>
      <c r="N453" t="s">
        <v>5078</v>
      </c>
      <c r="O453" t="s">
        <v>2076</v>
      </c>
      <c r="P453" t="s">
        <v>178</v>
      </c>
    </row>
    <row r="454" spans="1:16" x14ac:dyDescent="0.25">
      <c r="A454">
        <v>341530</v>
      </c>
      <c r="B454" t="s">
        <v>263</v>
      </c>
      <c r="C454" t="s">
        <v>2087</v>
      </c>
      <c r="D454" t="s">
        <v>483</v>
      </c>
      <c r="E454" t="s">
        <v>2088</v>
      </c>
      <c r="F454" t="s">
        <v>2089</v>
      </c>
      <c r="G454" t="s">
        <v>317</v>
      </c>
      <c r="H454" t="s">
        <v>323</v>
      </c>
      <c r="I454" t="s">
        <v>344</v>
      </c>
      <c r="J454" t="s">
        <v>344</v>
      </c>
      <c r="K454" t="s">
        <v>326</v>
      </c>
      <c r="L454" t="s">
        <v>5083</v>
      </c>
      <c r="M454" t="s">
        <v>5084</v>
      </c>
      <c r="N454" t="s">
        <v>1772</v>
      </c>
      <c r="O454" t="s">
        <v>180</v>
      </c>
      <c r="P454" t="s">
        <v>178</v>
      </c>
    </row>
    <row r="455" spans="1:16" x14ac:dyDescent="0.25">
      <c r="A455">
        <v>302524</v>
      </c>
      <c r="B455" t="s">
        <v>263</v>
      </c>
      <c r="C455" t="s">
        <v>619</v>
      </c>
      <c r="D455" t="s">
        <v>480</v>
      </c>
      <c r="E455" t="s">
        <v>1324</v>
      </c>
      <c r="F455" t="s">
        <v>1325</v>
      </c>
      <c r="G455" t="s">
        <v>317</v>
      </c>
      <c r="H455" t="s">
        <v>321</v>
      </c>
      <c r="I455" t="s">
        <v>351</v>
      </c>
      <c r="J455" t="s">
        <v>351</v>
      </c>
      <c r="K455" t="s">
        <v>333</v>
      </c>
      <c r="L455" t="s">
        <v>4843</v>
      </c>
      <c r="M455" t="s">
        <v>4844</v>
      </c>
      <c r="N455" t="s">
        <v>4845</v>
      </c>
      <c r="O455" t="s">
        <v>180</v>
      </c>
      <c r="P455" t="s">
        <v>178</v>
      </c>
    </row>
    <row r="456" spans="1:16" x14ac:dyDescent="0.25">
      <c r="A456">
        <v>192291</v>
      </c>
      <c r="B456" t="s">
        <v>263</v>
      </c>
      <c r="C456" t="s">
        <v>26</v>
      </c>
      <c r="D456" t="s">
        <v>538</v>
      </c>
      <c r="E456" t="s">
        <v>1036</v>
      </c>
      <c r="F456" t="s">
        <v>1037</v>
      </c>
      <c r="G456" t="s">
        <v>319</v>
      </c>
      <c r="H456" t="s">
        <v>326</v>
      </c>
      <c r="I456" t="s">
        <v>344</v>
      </c>
      <c r="J456" t="s">
        <v>344</v>
      </c>
      <c r="K456" t="s">
        <v>326</v>
      </c>
      <c r="L456" t="s">
        <v>4579</v>
      </c>
      <c r="M456" t="s">
        <v>4580</v>
      </c>
      <c r="N456" t="s">
        <v>4581</v>
      </c>
      <c r="O456" t="s">
        <v>180</v>
      </c>
      <c r="P456" t="s">
        <v>178</v>
      </c>
    </row>
    <row r="457" spans="1:16" x14ac:dyDescent="0.25">
      <c r="A457">
        <v>133473</v>
      </c>
      <c r="B457" t="s">
        <v>263</v>
      </c>
      <c r="C457" t="s">
        <v>1438</v>
      </c>
      <c r="D457" t="s">
        <v>536</v>
      </c>
      <c r="E457" t="s">
        <v>1439</v>
      </c>
      <c r="F457" t="s">
        <v>1440</v>
      </c>
      <c r="G457" t="s">
        <v>319</v>
      </c>
      <c r="H457" t="s">
        <v>322</v>
      </c>
      <c r="I457" t="s">
        <v>337</v>
      </c>
      <c r="J457" t="s">
        <v>337</v>
      </c>
      <c r="K457" t="s">
        <v>326</v>
      </c>
      <c r="L457" t="s">
        <v>4270</v>
      </c>
      <c r="M457" t="s">
        <v>4311</v>
      </c>
      <c r="N457" t="s">
        <v>4312</v>
      </c>
      <c r="O457" t="s">
        <v>180</v>
      </c>
      <c r="P457" t="s">
        <v>178</v>
      </c>
    </row>
    <row r="458" spans="1:16" x14ac:dyDescent="0.25">
      <c r="A458">
        <v>271869</v>
      </c>
      <c r="B458" t="s">
        <v>263</v>
      </c>
      <c r="C458" t="s">
        <v>391</v>
      </c>
      <c r="D458" t="s">
        <v>491</v>
      </c>
      <c r="E458" t="s">
        <v>1326</v>
      </c>
      <c r="F458" t="s">
        <v>1327</v>
      </c>
      <c r="G458" t="s">
        <v>319</v>
      </c>
      <c r="H458" t="s">
        <v>322</v>
      </c>
      <c r="I458" t="s">
        <v>344</v>
      </c>
      <c r="J458" t="s">
        <v>344</v>
      </c>
      <c r="K458" t="s">
        <v>326</v>
      </c>
      <c r="L458" t="s">
        <v>4846</v>
      </c>
      <c r="M458" t="s">
        <v>4847</v>
      </c>
      <c r="N458" t="s">
        <v>2404</v>
      </c>
      <c r="O458" t="s">
        <v>180</v>
      </c>
      <c r="P458" t="s">
        <v>178</v>
      </c>
    </row>
    <row r="459" spans="1:16" x14ac:dyDescent="0.25">
      <c r="A459">
        <v>253664</v>
      </c>
      <c r="B459" t="s">
        <v>263</v>
      </c>
      <c r="C459" t="s">
        <v>2144</v>
      </c>
      <c r="D459" t="s">
        <v>482</v>
      </c>
      <c r="E459" t="s">
        <v>2145</v>
      </c>
      <c r="F459" t="s">
        <v>2146</v>
      </c>
      <c r="G459" t="s">
        <v>319</v>
      </c>
      <c r="H459" t="s">
        <v>326</v>
      </c>
      <c r="I459" t="s">
        <v>329</v>
      </c>
      <c r="J459" t="s">
        <v>351</v>
      </c>
      <c r="K459" t="s">
        <v>326</v>
      </c>
      <c r="L459" t="s">
        <v>4967</v>
      </c>
      <c r="M459" t="s">
        <v>5097</v>
      </c>
      <c r="N459" t="s">
        <v>5098</v>
      </c>
      <c r="O459" t="s">
        <v>179</v>
      </c>
      <c r="P459" t="s">
        <v>178</v>
      </c>
    </row>
    <row r="460" spans="1:16" x14ac:dyDescent="0.25">
      <c r="A460">
        <v>432</v>
      </c>
      <c r="B460" t="s">
        <v>263</v>
      </c>
      <c r="C460" t="s">
        <v>279</v>
      </c>
      <c r="D460" t="s">
        <v>533</v>
      </c>
      <c r="E460" t="s">
        <v>818</v>
      </c>
      <c r="F460" t="s">
        <v>819</v>
      </c>
      <c r="G460" t="s">
        <v>319</v>
      </c>
      <c r="H460" t="s">
        <v>329</v>
      </c>
      <c r="I460" t="s">
        <v>363</v>
      </c>
      <c r="J460" t="s">
        <v>363</v>
      </c>
      <c r="K460" t="s">
        <v>326</v>
      </c>
      <c r="L460" t="s">
        <v>4154</v>
      </c>
      <c r="M460" t="s">
        <v>4155</v>
      </c>
      <c r="N460" t="s">
        <v>4156</v>
      </c>
      <c r="O460" t="s">
        <v>180</v>
      </c>
      <c r="P460" t="s">
        <v>178</v>
      </c>
    </row>
    <row r="461" spans="1:16" x14ac:dyDescent="0.25">
      <c r="A461">
        <v>129556</v>
      </c>
      <c r="B461" t="s">
        <v>263</v>
      </c>
      <c r="C461" t="s">
        <v>221</v>
      </c>
      <c r="D461" t="s">
        <v>503</v>
      </c>
      <c r="E461" t="s">
        <v>1328</v>
      </c>
      <c r="F461" t="s">
        <v>1329</v>
      </c>
      <c r="G461" t="s">
        <v>319</v>
      </c>
      <c r="H461" t="s">
        <v>329</v>
      </c>
      <c r="I461" t="s">
        <v>351</v>
      </c>
      <c r="J461" t="s">
        <v>351</v>
      </c>
      <c r="K461" t="s">
        <v>326</v>
      </c>
      <c r="L461" t="s">
        <v>4291</v>
      </c>
      <c r="M461" t="s">
        <v>4292</v>
      </c>
      <c r="N461" t="s">
        <v>4293</v>
      </c>
      <c r="O461" t="s">
        <v>179</v>
      </c>
      <c r="P461" t="s">
        <v>178</v>
      </c>
    </row>
    <row r="462" spans="1:16" x14ac:dyDescent="0.25">
      <c r="A462">
        <v>118048</v>
      </c>
      <c r="B462" t="s">
        <v>263</v>
      </c>
      <c r="C462" t="s">
        <v>612</v>
      </c>
      <c r="D462" t="s">
        <v>503</v>
      </c>
      <c r="E462" t="s">
        <v>1330</v>
      </c>
      <c r="F462" t="s">
        <v>1331</v>
      </c>
      <c r="G462" t="s">
        <v>319</v>
      </c>
      <c r="H462" t="s">
        <v>319</v>
      </c>
      <c r="I462" t="s">
        <v>372</v>
      </c>
      <c r="J462" t="s">
        <v>372</v>
      </c>
      <c r="K462" t="s">
        <v>333</v>
      </c>
      <c r="L462" t="s">
        <v>4294</v>
      </c>
      <c r="M462" t="s">
        <v>4295</v>
      </c>
      <c r="N462" t="s">
        <v>4296</v>
      </c>
      <c r="O462" t="s">
        <v>187</v>
      </c>
      <c r="P462" t="s">
        <v>178</v>
      </c>
    </row>
    <row r="463" spans="1:16" x14ac:dyDescent="0.25">
      <c r="A463">
        <v>275870</v>
      </c>
      <c r="B463" t="s">
        <v>263</v>
      </c>
      <c r="C463" t="s">
        <v>678</v>
      </c>
      <c r="D463" t="s">
        <v>491</v>
      </c>
      <c r="E463" t="s">
        <v>1332</v>
      </c>
      <c r="F463" t="s">
        <v>1333</v>
      </c>
      <c r="G463" t="s">
        <v>320</v>
      </c>
      <c r="H463" t="s">
        <v>323</v>
      </c>
      <c r="I463" t="s">
        <v>351</v>
      </c>
      <c r="J463" t="s">
        <v>351</v>
      </c>
      <c r="K463" t="s">
        <v>336</v>
      </c>
      <c r="L463" t="s">
        <v>679</v>
      </c>
      <c r="M463" t="s">
        <v>4848</v>
      </c>
      <c r="N463" t="s">
        <v>4849</v>
      </c>
      <c r="O463" t="s">
        <v>179</v>
      </c>
      <c r="P463" t="s">
        <v>178</v>
      </c>
    </row>
    <row r="464" spans="1:16" x14ac:dyDescent="0.25">
      <c r="A464">
        <v>297030</v>
      </c>
      <c r="B464" t="s">
        <v>263</v>
      </c>
      <c r="C464" t="s">
        <v>1521</v>
      </c>
      <c r="D464" t="s">
        <v>480</v>
      </c>
      <c r="E464" t="s">
        <v>1522</v>
      </c>
      <c r="F464" t="s">
        <v>1523</v>
      </c>
      <c r="G464" t="s">
        <v>317</v>
      </c>
      <c r="H464" t="s">
        <v>321</v>
      </c>
      <c r="I464" t="s">
        <v>372</v>
      </c>
      <c r="J464" t="s">
        <v>532</v>
      </c>
      <c r="K464" t="s">
        <v>336</v>
      </c>
      <c r="L464" t="s">
        <v>4910</v>
      </c>
      <c r="M464" t="s">
        <v>4911</v>
      </c>
      <c r="N464" t="s">
        <v>4912</v>
      </c>
      <c r="O464" t="s">
        <v>187</v>
      </c>
      <c r="P464" t="s">
        <v>178</v>
      </c>
    </row>
    <row r="465" spans="1:16" x14ac:dyDescent="0.25">
      <c r="A465">
        <v>46213</v>
      </c>
      <c r="B465" t="s">
        <v>263</v>
      </c>
      <c r="C465" t="s">
        <v>199</v>
      </c>
      <c r="D465" t="s">
        <v>523</v>
      </c>
      <c r="E465" t="s">
        <v>1334</v>
      </c>
      <c r="F465" t="s">
        <v>1335</v>
      </c>
      <c r="G465" t="s">
        <v>321</v>
      </c>
      <c r="H465" t="s">
        <v>326</v>
      </c>
      <c r="I465" t="s">
        <v>351</v>
      </c>
      <c r="J465" t="s">
        <v>351</v>
      </c>
      <c r="K465" t="s">
        <v>333</v>
      </c>
      <c r="L465" t="s">
        <v>760</v>
      </c>
      <c r="M465" t="s">
        <v>4297</v>
      </c>
      <c r="N465" t="s">
        <v>4298</v>
      </c>
      <c r="O465" t="s">
        <v>179</v>
      </c>
      <c r="P465" t="s">
        <v>178</v>
      </c>
    </row>
    <row r="466" spans="1:16" x14ac:dyDescent="0.25">
      <c r="A466">
        <v>153016</v>
      </c>
      <c r="B466" t="s">
        <v>263</v>
      </c>
      <c r="C466" t="s">
        <v>1756</v>
      </c>
      <c r="D466" t="s">
        <v>518</v>
      </c>
      <c r="E466" t="s">
        <v>1757</v>
      </c>
      <c r="F466" t="s">
        <v>1758</v>
      </c>
      <c r="G466" t="s">
        <v>321</v>
      </c>
      <c r="H466" t="s">
        <v>333</v>
      </c>
      <c r="I466" t="s">
        <v>351</v>
      </c>
      <c r="J466" t="s">
        <v>351</v>
      </c>
      <c r="K466" t="s">
        <v>333</v>
      </c>
      <c r="L466" t="s">
        <v>1759</v>
      </c>
      <c r="M466" t="s">
        <v>4215</v>
      </c>
      <c r="N466" t="s">
        <v>1760</v>
      </c>
      <c r="O466" t="s">
        <v>179</v>
      </c>
      <c r="P466" t="s">
        <v>178</v>
      </c>
    </row>
    <row r="467" spans="1:16" x14ac:dyDescent="0.25">
      <c r="A467">
        <v>302463</v>
      </c>
      <c r="B467" t="s">
        <v>263</v>
      </c>
      <c r="C467" t="s">
        <v>311</v>
      </c>
      <c r="D467" t="s">
        <v>480</v>
      </c>
      <c r="E467" t="s">
        <v>1038</v>
      </c>
      <c r="F467" t="s">
        <v>1039</v>
      </c>
      <c r="G467" t="s">
        <v>321</v>
      </c>
      <c r="H467" t="s">
        <v>333</v>
      </c>
      <c r="I467" t="s">
        <v>344</v>
      </c>
      <c r="J467" t="s">
        <v>344</v>
      </c>
      <c r="K467" t="s">
        <v>333</v>
      </c>
      <c r="L467" t="s">
        <v>317</v>
      </c>
      <c r="M467" t="s">
        <v>4582</v>
      </c>
      <c r="N467" t="s">
        <v>4583</v>
      </c>
      <c r="O467" t="s">
        <v>179</v>
      </c>
      <c r="P467" t="s">
        <v>178</v>
      </c>
    </row>
    <row r="468" spans="1:16" x14ac:dyDescent="0.25">
      <c r="A468">
        <v>229853</v>
      </c>
      <c r="B468" t="s">
        <v>263</v>
      </c>
      <c r="C468" t="s">
        <v>1482</v>
      </c>
      <c r="D468" t="s">
        <v>482</v>
      </c>
      <c r="E468" t="s">
        <v>1483</v>
      </c>
      <c r="F468" t="s">
        <v>1484</v>
      </c>
      <c r="G468" t="s">
        <v>317</v>
      </c>
      <c r="H468" t="s">
        <v>321</v>
      </c>
      <c r="I468" t="s">
        <v>402</v>
      </c>
      <c r="J468" t="s">
        <v>532</v>
      </c>
      <c r="K468" t="s">
        <v>336</v>
      </c>
      <c r="L468" t="s">
        <v>4901</v>
      </c>
      <c r="M468" t="s">
        <v>4902</v>
      </c>
      <c r="N468" t="s">
        <v>4903</v>
      </c>
      <c r="O468" t="s">
        <v>187</v>
      </c>
      <c r="P468" t="s">
        <v>178</v>
      </c>
    </row>
    <row r="469" spans="1:16" x14ac:dyDescent="0.25">
      <c r="A469">
        <v>431088</v>
      </c>
      <c r="B469" t="s">
        <v>263</v>
      </c>
      <c r="C469" t="s">
        <v>1457</v>
      </c>
      <c r="D469" t="s">
        <v>497</v>
      </c>
      <c r="E469" t="s">
        <v>160</v>
      </c>
      <c r="F469" t="s">
        <v>160</v>
      </c>
      <c r="G469" t="s">
        <v>319</v>
      </c>
      <c r="H469" t="s">
        <v>322</v>
      </c>
      <c r="I469" t="s">
        <v>363</v>
      </c>
      <c r="J469" t="s">
        <v>363</v>
      </c>
      <c r="K469" t="s">
        <v>329</v>
      </c>
      <c r="L469" t="s">
        <v>495</v>
      </c>
      <c r="M469" t="s">
        <v>495</v>
      </c>
      <c r="N469" t="s">
        <v>160</v>
      </c>
      <c r="O469" t="s">
        <v>187</v>
      </c>
      <c r="P469" t="s">
        <v>178</v>
      </c>
    </row>
    <row r="470" spans="1:16" x14ac:dyDescent="0.25">
      <c r="A470">
        <v>167791</v>
      </c>
      <c r="B470" t="s">
        <v>263</v>
      </c>
      <c r="C470" t="s">
        <v>292</v>
      </c>
      <c r="D470" t="s">
        <v>538</v>
      </c>
      <c r="E470" t="s">
        <v>1336</v>
      </c>
      <c r="F470" t="s">
        <v>1337</v>
      </c>
      <c r="G470" t="s">
        <v>317</v>
      </c>
      <c r="H470" t="s">
        <v>322</v>
      </c>
      <c r="I470" t="s">
        <v>532</v>
      </c>
      <c r="J470" t="s">
        <v>532</v>
      </c>
      <c r="K470" t="s">
        <v>333</v>
      </c>
      <c r="L470" t="s">
        <v>4850</v>
      </c>
      <c r="M470" t="s">
        <v>4851</v>
      </c>
      <c r="N470" t="s">
        <v>325</v>
      </c>
      <c r="O470" t="s">
        <v>187</v>
      </c>
      <c r="P470" t="s">
        <v>178</v>
      </c>
    </row>
    <row r="471" spans="1:16" x14ac:dyDescent="0.25">
      <c r="A471">
        <v>328871</v>
      </c>
      <c r="B471" t="s">
        <v>263</v>
      </c>
      <c r="C471" t="s">
        <v>607</v>
      </c>
      <c r="D471" t="s">
        <v>483</v>
      </c>
      <c r="E471" t="s">
        <v>1338</v>
      </c>
      <c r="F471" t="s">
        <v>1339</v>
      </c>
      <c r="G471" t="s">
        <v>317</v>
      </c>
      <c r="H471" t="s">
        <v>321</v>
      </c>
      <c r="I471" t="s">
        <v>363</v>
      </c>
      <c r="J471" t="s">
        <v>372</v>
      </c>
      <c r="K471" t="s">
        <v>336</v>
      </c>
      <c r="L471" t="s">
        <v>4852</v>
      </c>
      <c r="M471" t="s">
        <v>4853</v>
      </c>
      <c r="N471" t="s">
        <v>1751</v>
      </c>
      <c r="O471" t="s">
        <v>187</v>
      </c>
      <c r="P471" t="s">
        <v>178</v>
      </c>
    </row>
    <row r="472" spans="1:16" x14ac:dyDescent="0.25">
      <c r="A472">
        <v>375651</v>
      </c>
      <c r="B472" t="s">
        <v>263</v>
      </c>
      <c r="C472" t="s">
        <v>1790</v>
      </c>
      <c r="D472" t="s">
        <v>493</v>
      </c>
      <c r="E472" t="s">
        <v>1791</v>
      </c>
      <c r="F472" t="s">
        <v>1792</v>
      </c>
      <c r="G472" t="s">
        <v>320</v>
      </c>
      <c r="H472" t="s">
        <v>326</v>
      </c>
      <c r="I472" t="s">
        <v>337</v>
      </c>
      <c r="J472" t="s">
        <v>337</v>
      </c>
      <c r="K472" t="s">
        <v>326</v>
      </c>
      <c r="L472" t="s">
        <v>5259</v>
      </c>
      <c r="M472" t="s">
        <v>5260</v>
      </c>
      <c r="N472" t="s">
        <v>5261</v>
      </c>
      <c r="O472" t="s">
        <v>179</v>
      </c>
      <c r="P472" t="s">
        <v>178</v>
      </c>
    </row>
    <row r="473" spans="1:16" x14ac:dyDescent="0.25">
      <c r="A473">
        <v>244522</v>
      </c>
      <c r="B473" t="s">
        <v>263</v>
      </c>
      <c r="C473" t="s">
        <v>38</v>
      </c>
      <c r="D473" t="s">
        <v>482</v>
      </c>
      <c r="E473" t="s">
        <v>1040</v>
      </c>
      <c r="F473" t="s">
        <v>1041</v>
      </c>
      <c r="G473" t="s">
        <v>317</v>
      </c>
      <c r="H473" t="s">
        <v>321</v>
      </c>
      <c r="I473" t="s">
        <v>351</v>
      </c>
      <c r="J473" t="s">
        <v>351</v>
      </c>
      <c r="K473" t="s">
        <v>326</v>
      </c>
      <c r="L473" t="s">
        <v>4584</v>
      </c>
      <c r="M473" t="s">
        <v>4585</v>
      </c>
      <c r="N473" t="s">
        <v>774</v>
      </c>
      <c r="O473" t="s">
        <v>180</v>
      </c>
      <c r="P473" t="s">
        <v>178</v>
      </c>
    </row>
    <row r="474" spans="1:16" x14ac:dyDescent="0.25">
      <c r="A474">
        <v>286063</v>
      </c>
      <c r="B474" t="s">
        <v>263</v>
      </c>
      <c r="C474" t="s">
        <v>33</v>
      </c>
      <c r="D474" t="s">
        <v>508</v>
      </c>
      <c r="E474" t="s">
        <v>1042</v>
      </c>
      <c r="F474" t="s">
        <v>1043</v>
      </c>
      <c r="G474" t="s">
        <v>317</v>
      </c>
      <c r="H474" t="s">
        <v>321</v>
      </c>
      <c r="I474" t="s">
        <v>322</v>
      </c>
      <c r="J474" t="s">
        <v>559</v>
      </c>
      <c r="K474" t="s">
        <v>336</v>
      </c>
      <c r="L474" t="s">
        <v>775</v>
      </c>
      <c r="M474" t="s">
        <v>4586</v>
      </c>
      <c r="N474" t="s">
        <v>4587</v>
      </c>
      <c r="O474" t="s">
        <v>193</v>
      </c>
      <c r="P474" t="s">
        <v>184</v>
      </c>
    </row>
    <row r="475" spans="1:16" x14ac:dyDescent="0.25">
      <c r="A475">
        <v>180263</v>
      </c>
      <c r="B475" t="s">
        <v>263</v>
      </c>
      <c r="C475" t="s">
        <v>32</v>
      </c>
      <c r="D475" t="s">
        <v>507</v>
      </c>
      <c r="E475" t="s">
        <v>1044</v>
      </c>
      <c r="F475" t="s">
        <v>1045</v>
      </c>
      <c r="G475" t="s">
        <v>317</v>
      </c>
      <c r="H475" t="s">
        <v>321</v>
      </c>
      <c r="I475" t="s">
        <v>322</v>
      </c>
      <c r="J475" t="s">
        <v>559</v>
      </c>
      <c r="K475" t="s">
        <v>336</v>
      </c>
      <c r="L475" t="s">
        <v>4588</v>
      </c>
      <c r="M475" t="s">
        <v>4589</v>
      </c>
      <c r="N475" t="s">
        <v>315</v>
      </c>
      <c r="O475" t="s">
        <v>193</v>
      </c>
      <c r="P475" t="s">
        <v>184</v>
      </c>
    </row>
    <row r="476" spans="1:16" x14ac:dyDescent="0.25">
      <c r="A476">
        <v>415910</v>
      </c>
      <c r="B476" t="s">
        <v>263</v>
      </c>
      <c r="C476" t="s">
        <v>1913</v>
      </c>
      <c r="D476" t="s">
        <v>508</v>
      </c>
      <c r="E476" t="s">
        <v>1914</v>
      </c>
      <c r="F476" t="s">
        <v>1915</v>
      </c>
      <c r="G476" t="s">
        <v>319</v>
      </c>
      <c r="H476" t="s">
        <v>319</v>
      </c>
      <c r="I476" t="s">
        <v>351</v>
      </c>
      <c r="J476" t="s">
        <v>351</v>
      </c>
      <c r="K476" t="s">
        <v>329</v>
      </c>
      <c r="L476" t="s">
        <v>319</v>
      </c>
      <c r="M476" t="s">
        <v>5274</v>
      </c>
      <c r="N476" t="s">
        <v>5275</v>
      </c>
      <c r="O476" t="s">
        <v>180</v>
      </c>
      <c r="P476" t="s">
        <v>178</v>
      </c>
    </row>
    <row r="477" spans="1:16" x14ac:dyDescent="0.25">
      <c r="A477">
        <v>305492</v>
      </c>
      <c r="B477" t="s">
        <v>263</v>
      </c>
      <c r="C477" t="s">
        <v>2282</v>
      </c>
      <c r="D477" t="s">
        <v>480</v>
      </c>
      <c r="E477" t="s">
        <v>2283</v>
      </c>
      <c r="F477" t="s">
        <v>2284</v>
      </c>
      <c r="G477" t="s">
        <v>160</v>
      </c>
      <c r="H477" t="s">
        <v>160</v>
      </c>
      <c r="I477" t="s">
        <v>160</v>
      </c>
      <c r="J477" t="s">
        <v>160</v>
      </c>
      <c r="K477" t="s">
        <v>160</v>
      </c>
      <c r="L477" t="s">
        <v>495</v>
      </c>
      <c r="M477" t="s">
        <v>495</v>
      </c>
      <c r="N477" t="s">
        <v>160</v>
      </c>
      <c r="O477" t="s">
        <v>1464</v>
      </c>
      <c r="P477" t="s">
        <v>178</v>
      </c>
    </row>
    <row r="478" spans="1:16" x14ac:dyDescent="0.25">
      <c r="A478">
        <v>84876</v>
      </c>
      <c r="B478" t="s">
        <v>263</v>
      </c>
      <c r="C478" t="s">
        <v>1616</v>
      </c>
      <c r="D478" t="s">
        <v>518</v>
      </c>
      <c r="E478" t="s">
        <v>1617</v>
      </c>
      <c r="F478" t="s">
        <v>1618</v>
      </c>
      <c r="G478" t="s">
        <v>319</v>
      </c>
      <c r="H478" t="s">
        <v>321</v>
      </c>
      <c r="I478" t="s">
        <v>351</v>
      </c>
      <c r="J478" t="s">
        <v>402</v>
      </c>
      <c r="K478" t="s">
        <v>333</v>
      </c>
      <c r="L478" t="s">
        <v>4324</v>
      </c>
      <c r="M478" t="s">
        <v>4325</v>
      </c>
      <c r="N478" t="s">
        <v>338</v>
      </c>
      <c r="O478" t="s">
        <v>187</v>
      </c>
      <c r="P478" t="s">
        <v>178</v>
      </c>
    </row>
    <row r="479" spans="1:16" x14ac:dyDescent="0.25">
      <c r="A479">
        <v>271320</v>
      </c>
      <c r="B479" t="s">
        <v>263</v>
      </c>
      <c r="C479" t="s">
        <v>1616</v>
      </c>
      <c r="D479" t="s">
        <v>491</v>
      </c>
      <c r="E479" t="s">
        <v>1688</v>
      </c>
      <c r="F479" t="s">
        <v>1689</v>
      </c>
      <c r="G479" t="s">
        <v>317</v>
      </c>
      <c r="H479" t="s">
        <v>321</v>
      </c>
      <c r="I479" t="s">
        <v>382</v>
      </c>
      <c r="J479" t="s">
        <v>532</v>
      </c>
      <c r="K479" t="s">
        <v>333</v>
      </c>
      <c r="L479" t="s">
        <v>4935</v>
      </c>
      <c r="M479" t="s">
        <v>4936</v>
      </c>
      <c r="N479" t="s">
        <v>160</v>
      </c>
      <c r="O479" t="s">
        <v>1690</v>
      </c>
      <c r="P479" t="s">
        <v>178</v>
      </c>
    </row>
    <row r="480" spans="1:16" x14ac:dyDescent="0.25">
      <c r="A480">
        <v>300999</v>
      </c>
      <c r="B480" t="s">
        <v>263</v>
      </c>
      <c r="C480" t="s">
        <v>2127</v>
      </c>
      <c r="D480" t="s">
        <v>480</v>
      </c>
      <c r="E480" t="s">
        <v>2128</v>
      </c>
      <c r="F480" t="s">
        <v>2129</v>
      </c>
      <c r="G480" t="s">
        <v>160</v>
      </c>
      <c r="H480" t="s">
        <v>160</v>
      </c>
      <c r="I480" t="s">
        <v>160</v>
      </c>
      <c r="J480" t="s">
        <v>160</v>
      </c>
      <c r="K480" t="s">
        <v>160</v>
      </c>
      <c r="L480" t="s">
        <v>495</v>
      </c>
      <c r="M480" t="s">
        <v>326</v>
      </c>
      <c r="N480" t="s">
        <v>160</v>
      </c>
      <c r="O480" t="s">
        <v>1464</v>
      </c>
      <c r="P480" t="s">
        <v>178</v>
      </c>
    </row>
    <row r="481" spans="1:16" x14ac:dyDescent="0.25">
      <c r="A481">
        <v>227072</v>
      </c>
      <c r="B481" t="s">
        <v>263</v>
      </c>
      <c r="C481" t="s">
        <v>324</v>
      </c>
      <c r="D481" t="s">
        <v>507</v>
      </c>
      <c r="E481" t="s">
        <v>1340</v>
      </c>
      <c r="F481" t="s">
        <v>1341</v>
      </c>
      <c r="G481" t="s">
        <v>320</v>
      </c>
      <c r="H481" t="s">
        <v>326</v>
      </c>
      <c r="I481" t="s">
        <v>337</v>
      </c>
      <c r="J481" t="s">
        <v>337</v>
      </c>
      <c r="K481" t="s">
        <v>336</v>
      </c>
      <c r="L481" t="s">
        <v>4854</v>
      </c>
      <c r="M481" t="s">
        <v>4855</v>
      </c>
      <c r="N481" t="s">
        <v>4856</v>
      </c>
      <c r="O481" t="s">
        <v>179</v>
      </c>
      <c r="P481" t="s">
        <v>178</v>
      </c>
    </row>
    <row r="482" spans="1:16" x14ac:dyDescent="0.25">
      <c r="A482">
        <v>354880</v>
      </c>
      <c r="B482" t="s">
        <v>263</v>
      </c>
      <c r="C482" t="s">
        <v>1619</v>
      </c>
      <c r="D482" t="s">
        <v>478</v>
      </c>
      <c r="E482" t="s">
        <v>1620</v>
      </c>
      <c r="F482" t="s">
        <v>1621</v>
      </c>
      <c r="G482" t="s">
        <v>160</v>
      </c>
      <c r="H482" t="s">
        <v>160</v>
      </c>
      <c r="I482" t="s">
        <v>160</v>
      </c>
      <c r="J482" t="s">
        <v>160</v>
      </c>
      <c r="K482" t="s">
        <v>160</v>
      </c>
      <c r="L482" t="s">
        <v>495</v>
      </c>
      <c r="M482" t="s">
        <v>495</v>
      </c>
      <c r="N482" t="s">
        <v>160</v>
      </c>
      <c r="O482" t="s">
        <v>1464</v>
      </c>
      <c r="P482" t="s">
        <v>178</v>
      </c>
    </row>
    <row r="483" spans="1:16" x14ac:dyDescent="0.25">
      <c r="A483">
        <v>324856</v>
      </c>
      <c r="B483" t="s">
        <v>263</v>
      </c>
      <c r="C483" t="s">
        <v>99</v>
      </c>
      <c r="D483" t="s">
        <v>483</v>
      </c>
      <c r="E483" t="s">
        <v>1046</v>
      </c>
      <c r="F483" t="s">
        <v>1047</v>
      </c>
      <c r="G483" t="s">
        <v>319</v>
      </c>
      <c r="H483" t="s">
        <v>322</v>
      </c>
      <c r="I483" t="s">
        <v>344</v>
      </c>
      <c r="J483" t="s">
        <v>344</v>
      </c>
      <c r="K483" t="s">
        <v>329</v>
      </c>
      <c r="L483" t="s">
        <v>4590</v>
      </c>
      <c r="M483" t="s">
        <v>4591</v>
      </c>
      <c r="N483" t="s">
        <v>362</v>
      </c>
      <c r="O483" t="s">
        <v>310</v>
      </c>
      <c r="P483" t="s">
        <v>184</v>
      </c>
    </row>
    <row r="484" spans="1:16" x14ac:dyDescent="0.25">
      <c r="A484">
        <v>284083</v>
      </c>
      <c r="B484" t="s">
        <v>263</v>
      </c>
      <c r="C484" t="s">
        <v>296</v>
      </c>
      <c r="D484" t="s">
        <v>491</v>
      </c>
      <c r="E484" t="s">
        <v>1342</v>
      </c>
      <c r="F484" t="s">
        <v>1343</v>
      </c>
      <c r="G484" t="s">
        <v>319</v>
      </c>
      <c r="H484" t="s">
        <v>322</v>
      </c>
      <c r="I484" t="s">
        <v>344</v>
      </c>
      <c r="J484" t="s">
        <v>344</v>
      </c>
      <c r="K484" t="s">
        <v>329</v>
      </c>
      <c r="L484" t="s">
        <v>4857</v>
      </c>
      <c r="M484" t="s">
        <v>4858</v>
      </c>
      <c r="N484" t="s">
        <v>4859</v>
      </c>
      <c r="O484" t="s">
        <v>180</v>
      </c>
      <c r="P484" t="s">
        <v>184</v>
      </c>
    </row>
    <row r="485" spans="1:16" x14ac:dyDescent="0.25">
      <c r="A485">
        <v>192471</v>
      </c>
      <c r="B485" t="s">
        <v>263</v>
      </c>
      <c r="C485" t="s">
        <v>2300</v>
      </c>
      <c r="D485" t="s">
        <v>486</v>
      </c>
      <c r="E485" t="s">
        <v>2301</v>
      </c>
      <c r="F485" t="s">
        <v>2302</v>
      </c>
      <c r="G485" t="s">
        <v>160</v>
      </c>
      <c r="H485" t="s">
        <v>160</v>
      </c>
      <c r="I485" t="s">
        <v>160</v>
      </c>
      <c r="J485" t="s">
        <v>160</v>
      </c>
      <c r="K485" t="s">
        <v>160</v>
      </c>
      <c r="L485" t="s">
        <v>495</v>
      </c>
      <c r="M485" t="s">
        <v>495</v>
      </c>
      <c r="N485" t="s">
        <v>160</v>
      </c>
      <c r="O485" t="s">
        <v>1464</v>
      </c>
      <c r="P485" t="s">
        <v>178</v>
      </c>
    </row>
    <row r="486" spans="1:16" x14ac:dyDescent="0.25">
      <c r="A486">
        <v>377204</v>
      </c>
      <c r="B486" t="s">
        <v>263</v>
      </c>
      <c r="C486" t="s">
        <v>1540</v>
      </c>
      <c r="D486" t="s">
        <v>483</v>
      </c>
      <c r="E486" t="s">
        <v>1541</v>
      </c>
      <c r="F486" t="s">
        <v>1542</v>
      </c>
      <c r="G486" t="s">
        <v>160</v>
      </c>
      <c r="H486" t="s">
        <v>160</v>
      </c>
      <c r="I486" t="s">
        <v>160</v>
      </c>
      <c r="J486" t="s">
        <v>160</v>
      </c>
      <c r="K486" t="s">
        <v>160</v>
      </c>
      <c r="L486" t="s">
        <v>495</v>
      </c>
      <c r="M486" t="s">
        <v>495</v>
      </c>
      <c r="N486" t="s">
        <v>160</v>
      </c>
      <c r="O486" t="s">
        <v>1464</v>
      </c>
      <c r="P486" t="s">
        <v>178</v>
      </c>
    </row>
    <row r="487" spans="1:16" x14ac:dyDescent="0.25">
      <c r="A487">
        <v>249381</v>
      </c>
      <c r="B487" t="s">
        <v>263</v>
      </c>
      <c r="C487" t="s">
        <v>383</v>
      </c>
      <c r="D487" t="s">
        <v>482</v>
      </c>
      <c r="E487" t="s">
        <v>1344</v>
      </c>
      <c r="F487" t="s">
        <v>1345</v>
      </c>
      <c r="G487" t="s">
        <v>319</v>
      </c>
      <c r="H487" t="s">
        <v>322</v>
      </c>
      <c r="I487" t="s">
        <v>360</v>
      </c>
      <c r="J487" t="s">
        <v>372</v>
      </c>
      <c r="K487" t="s">
        <v>329</v>
      </c>
      <c r="L487" t="s">
        <v>653</v>
      </c>
      <c r="M487" t="s">
        <v>4860</v>
      </c>
      <c r="N487" t="s">
        <v>4861</v>
      </c>
      <c r="O487" t="s">
        <v>187</v>
      </c>
      <c r="P487" t="s">
        <v>178</v>
      </c>
    </row>
    <row r="488" spans="1:16" x14ac:dyDescent="0.25">
      <c r="A488">
        <v>278894</v>
      </c>
      <c r="B488" t="s">
        <v>263</v>
      </c>
      <c r="C488" t="s">
        <v>2285</v>
      </c>
      <c r="D488" t="s">
        <v>491</v>
      </c>
      <c r="E488" t="s">
        <v>2286</v>
      </c>
      <c r="F488" t="s">
        <v>2287</v>
      </c>
      <c r="G488" t="s">
        <v>160</v>
      </c>
      <c r="H488" t="s">
        <v>160</v>
      </c>
      <c r="I488" t="s">
        <v>160</v>
      </c>
      <c r="J488" t="s">
        <v>160</v>
      </c>
      <c r="K488" t="s">
        <v>160</v>
      </c>
      <c r="L488" t="s">
        <v>495</v>
      </c>
      <c r="M488" t="s">
        <v>495</v>
      </c>
      <c r="N488" t="s">
        <v>160</v>
      </c>
      <c r="O488" t="s">
        <v>1464</v>
      </c>
      <c r="P488" t="s">
        <v>178</v>
      </c>
    </row>
    <row r="489" spans="1:16" x14ac:dyDescent="0.25">
      <c r="A489">
        <v>221965</v>
      </c>
      <c r="B489" t="s">
        <v>263</v>
      </c>
      <c r="C489" t="s">
        <v>209</v>
      </c>
      <c r="D489" t="s">
        <v>507</v>
      </c>
      <c r="E489" t="s">
        <v>1048</v>
      </c>
      <c r="F489" t="s">
        <v>1049</v>
      </c>
      <c r="G489" t="s">
        <v>319</v>
      </c>
      <c r="H489" t="s">
        <v>319</v>
      </c>
      <c r="I489" t="s">
        <v>351</v>
      </c>
      <c r="J489" t="s">
        <v>351</v>
      </c>
      <c r="K489" t="s">
        <v>329</v>
      </c>
      <c r="L489" t="s">
        <v>4592</v>
      </c>
      <c r="M489" t="s">
        <v>4593</v>
      </c>
      <c r="N489" t="s">
        <v>4594</v>
      </c>
      <c r="O489" t="s">
        <v>180</v>
      </c>
      <c r="P489" t="s">
        <v>178</v>
      </c>
    </row>
    <row r="490" spans="1:16" x14ac:dyDescent="0.25">
      <c r="A490">
        <v>288169</v>
      </c>
      <c r="B490" t="s">
        <v>263</v>
      </c>
      <c r="C490" t="s">
        <v>257</v>
      </c>
      <c r="D490" t="s">
        <v>480</v>
      </c>
      <c r="E490" t="s">
        <v>1050</v>
      </c>
      <c r="F490" t="s">
        <v>1051</v>
      </c>
      <c r="G490" t="s">
        <v>319</v>
      </c>
      <c r="H490" t="s">
        <v>319</v>
      </c>
      <c r="I490" t="s">
        <v>351</v>
      </c>
      <c r="J490" t="s">
        <v>351</v>
      </c>
      <c r="K490" t="s">
        <v>329</v>
      </c>
      <c r="L490" t="s">
        <v>4595</v>
      </c>
      <c r="M490" t="s">
        <v>4596</v>
      </c>
      <c r="N490" t="s">
        <v>4597</v>
      </c>
      <c r="O490" t="s">
        <v>180</v>
      </c>
      <c r="P490" t="s">
        <v>184</v>
      </c>
    </row>
    <row r="491" spans="1:16" x14ac:dyDescent="0.25">
      <c r="A491">
        <v>314421</v>
      </c>
      <c r="B491" t="s">
        <v>263</v>
      </c>
      <c r="C491" t="s">
        <v>2341</v>
      </c>
      <c r="D491" t="s">
        <v>483</v>
      </c>
      <c r="E491" t="s">
        <v>2342</v>
      </c>
      <c r="F491" t="s">
        <v>2343</v>
      </c>
      <c r="G491" t="s">
        <v>319</v>
      </c>
      <c r="H491" t="s">
        <v>321</v>
      </c>
      <c r="I491" t="s">
        <v>322</v>
      </c>
      <c r="J491" t="s">
        <v>337</v>
      </c>
      <c r="K491" t="s">
        <v>323</v>
      </c>
      <c r="L491" t="s">
        <v>317</v>
      </c>
      <c r="M491" t="s">
        <v>5173</v>
      </c>
      <c r="N491" t="s">
        <v>5174</v>
      </c>
      <c r="O491" t="s">
        <v>179</v>
      </c>
      <c r="P491" t="s">
        <v>178</v>
      </c>
    </row>
    <row r="492" spans="1:16" x14ac:dyDescent="0.25">
      <c r="A492">
        <v>172307</v>
      </c>
      <c r="B492" t="s">
        <v>263</v>
      </c>
      <c r="C492" t="s">
        <v>72</v>
      </c>
      <c r="D492" t="s">
        <v>536</v>
      </c>
      <c r="E492" t="s">
        <v>1052</v>
      </c>
      <c r="F492" t="s">
        <v>1053</v>
      </c>
      <c r="G492" t="s">
        <v>319</v>
      </c>
      <c r="H492" t="s">
        <v>321</v>
      </c>
      <c r="I492" t="s">
        <v>372</v>
      </c>
      <c r="J492" t="s">
        <v>372</v>
      </c>
      <c r="K492" t="s">
        <v>326</v>
      </c>
      <c r="L492" t="s">
        <v>636</v>
      </c>
      <c r="M492" t="s">
        <v>4598</v>
      </c>
      <c r="N492" t="s">
        <v>4599</v>
      </c>
      <c r="O492" t="s">
        <v>180</v>
      </c>
      <c r="P492" t="s">
        <v>178</v>
      </c>
    </row>
    <row r="493" spans="1:16" x14ac:dyDescent="0.25">
      <c r="A493">
        <v>411567</v>
      </c>
      <c r="B493" t="s">
        <v>263</v>
      </c>
      <c r="C493" t="s">
        <v>117</v>
      </c>
      <c r="D493" t="s">
        <v>508</v>
      </c>
      <c r="E493" t="s">
        <v>1054</v>
      </c>
      <c r="F493" t="s">
        <v>1055</v>
      </c>
      <c r="G493" t="s">
        <v>320</v>
      </c>
      <c r="H493" t="s">
        <v>323</v>
      </c>
      <c r="I493" t="s">
        <v>344</v>
      </c>
      <c r="J493" t="s">
        <v>344</v>
      </c>
      <c r="K493" t="s">
        <v>329</v>
      </c>
      <c r="L493" t="s">
        <v>5233</v>
      </c>
      <c r="M493" t="s">
        <v>5234</v>
      </c>
      <c r="N493" t="s">
        <v>5235</v>
      </c>
      <c r="O493" t="s">
        <v>180</v>
      </c>
      <c r="P493" t="s">
        <v>184</v>
      </c>
    </row>
    <row r="494" spans="1:16" x14ac:dyDescent="0.25">
      <c r="A494">
        <v>394875</v>
      </c>
      <c r="B494" t="s">
        <v>263</v>
      </c>
      <c r="C494" t="s">
        <v>1511</v>
      </c>
      <c r="D494" t="s">
        <v>493</v>
      </c>
      <c r="E494" t="s">
        <v>1512</v>
      </c>
      <c r="F494" t="s">
        <v>1513</v>
      </c>
      <c r="G494" t="s">
        <v>160</v>
      </c>
      <c r="H494" t="s">
        <v>160</v>
      </c>
      <c r="I494" t="s">
        <v>160</v>
      </c>
      <c r="J494" t="s">
        <v>160</v>
      </c>
      <c r="K494" t="s">
        <v>160</v>
      </c>
      <c r="L494" t="s">
        <v>495</v>
      </c>
      <c r="M494" t="s">
        <v>495</v>
      </c>
      <c r="N494" t="s">
        <v>160</v>
      </c>
      <c r="O494" t="s">
        <v>1464</v>
      </c>
      <c r="P494" t="s">
        <v>178</v>
      </c>
    </row>
    <row r="495" spans="1:16" x14ac:dyDescent="0.25">
      <c r="A495">
        <v>287772</v>
      </c>
      <c r="B495" t="s">
        <v>263</v>
      </c>
      <c r="C495" t="s">
        <v>1598</v>
      </c>
      <c r="D495" t="s">
        <v>160</v>
      </c>
      <c r="E495" t="s">
        <v>1599</v>
      </c>
      <c r="F495" t="s">
        <v>1600</v>
      </c>
      <c r="G495" t="s">
        <v>160</v>
      </c>
      <c r="H495" t="s">
        <v>160</v>
      </c>
      <c r="I495" t="s">
        <v>160</v>
      </c>
      <c r="J495" t="s">
        <v>160</v>
      </c>
      <c r="K495" t="s">
        <v>160</v>
      </c>
      <c r="L495" t="s">
        <v>495</v>
      </c>
      <c r="M495" t="s">
        <v>495</v>
      </c>
      <c r="N495" t="s">
        <v>160</v>
      </c>
      <c r="O495" t="s">
        <v>1601</v>
      </c>
      <c r="P495" t="s">
        <v>178</v>
      </c>
    </row>
    <row r="496" spans="1:16" x14ac:dyDescent="0.25">
      <c r="A496">
        <v>350933</v>
      </c>
      <c r="B496" t="s">
        <v>263</v>
      </c>
      <c r="C496" t="s">
        <v>1970</v>
      </c>
      <c r="D496" t="s">
        <v>478</v>
      </c>
      <c r="E496" t="s">
        <v>1971</v>
      </c>
      <c r="F496" t="s">
        <v>1972</v>
      </c>
      <c r="G496" t="s">
        <v>317</v>
      </c>
      <c r="H496" t="s">
        <v>321</v>
      </c>
      <c r="I496" t="s">
        <v>363</v>
      </c>
      <c r="J496" t="s">
        <v>363</v>
      </c>
      <c r="K496" t="s">
        <v>336</v>
      </c>
      <c r="L496" t="s">
        <v>5020</v>
      </c>
      <c r="M496" t="s">
        <v>5021</v>
      </c>
      <c r="N496" t="s">
        <v>5022</v>
      </c>
      <c r="O496" t="s">
        <v>310</v>
      </c>
      <c r="P496" t="s">
        <v>178</v>
      </c>
    </row>
    <row r="497" spans="1:16" x14ac:dyDescent="0.25">
      <c r="A497">
        <v>287174</v>
      </c>
      <c r="B497" t="s">
        <v>263</v>
      </c>
      <c r="C497" t="s">
        <v>289</v>
      </c>
      <c r="D497" t="s">
        <v>480</v>
      </c>
      <c r="E497" t="s">
        <v>1056</v>
      </c>
      <c r="F497" t="s">
        <v>1057</v>
      </c>
      <c r="G497" t="s">
        <v>319</v>
      </c>
      <c r="H497" t="s">
        <v>321</v>
      </c>
      <c r="I497" t="s">
        <v>360</v>
      </c>
      <c r="J497" t="s">
        <v>372</v>
      </c>
      <c r="K497" t="s">
        <v>329</v>
      </c>
      <c r="L497" t="s">
        <v>526</v>
      </c>
      <c r="M497" t="s">
        <v>4600</v>
      </c>
      <c r="N497" t="s">
        <v>4601</v>
      </c>
      <c r="O497" t="s">
        <v>290</v>
      </c>
      <c r="P497" t="s">
        <v>178</v>
      </c>
    </row>
    <row r="498" spans="1:16" x14ac:dyDescent="0.25">
      <c r="A498">
        <v>281259</v>
      </c>
      <c r="B498" t="s">
        <v>263</v>
      </c>
      <c r="C498" t="s">
        <v>1998</v>
      </c>
      <c r="D498" t="s">
        <v>491</v>
      </c>
      <c r="E498" t="s">
        <v>1999</v>
      </c>
      <c r="F498" t="s">
        <v>2000</v>
      </c>
      <c r="G498" t="s">
        <v>317</v>
      </c>
      <c r="H498" t="s">
        <v>321</v>
      </c>
      <c r="I498" t="s">
        <v>372</v>
      </c>
      <c r="J498" t="s">
        <v>402</v>
      </c>
      <c r="K498" t="s">
        <v>326</v>
      </c>
      <c r="L498" t="s">
        <v>5034</v>
      </c>
      <c r="M498" t="s">
        <v>5035</v>
      </c>
      <c r="N498" t="s">
        <v>5036</v>
      </c>
      <c r="O498" t="s">
        <v>310</v>
      </c>
      <c r="P498" t="s">
        <v>178</v>
      </c>
    </row>
    <row r="499" spans="1:16" x14ac:dyDescent="0.25">
      <c r="A499">
        <v>319966</v>
      </c>
      <c r="B499" t="s">
        <v>263</v>
      </c>
      <c r="C499" t="s">
        <v>1834</v>
      </c>
      <c r="D499" t="s">
        <v>480</v>
      </c>
      <c r="E499" t="s">
        <v>1835</v>
      </c>
      <c r="F499" t="s">
        <v>1836</v>
      </c>
      <c r="G499" t="s">
        <v>319</v>
      </c>
      <c r="H499" t="s">
        <v>321</v>
      </c>
      <c r="I499" t="s">
        <v>351</v>
      </c>
      <c r="J499" t="s">
        <v>363</v>
      </c>
      <c r="K499" t="s">
        <v>336</v>
      </c>
      <c r="L499" t="s">
        <v>4993</v>
      </c>
      <c r="M499" t="s">
        <v>4994</v>
      </c>
      <c r="N499" t="s">
        <v>4995</v>
      </c>
      <c r="O499" t="s">
        <v>187</v>
      </c>
      <c r="P499" t="s">
        <v>178</v>
      </c>
    </row>
    <row r="500" spans="1:16" x14ac:dyDescent="0.25">
      <c r="A500">
        <v>245655</v>
      </c>
      <c r="B500" t="s">
        <v>263</v>
      </c>
      <c r="C500" t="s">
        <v>1647</v>
      </c>
      <c r="D500" t="s">
        <v>491</v>
      </c>
      <c r="E500" t="s">
        <v>1648</v>
      </c>
      <c r="F500" t="s">
        <v>1649</v>
      </c>
      <c r="G500" t="s">
        <v>320</v>
      </c>
      <c r="H500" t="s">
        <v>322</v>
      </c>
      <c r="I500" t="s">
        <v>363</v>
      </c>
      <c r="J500" t="s">
        <v>372</v>
      </c>
      <c r="K500" t="s">
        <v>336</v>
      </c>
      <c r="L500" t="s">
        <v>1650</v>
      </c>
      <c r="M500" t="s">
        <v>4922</v>
      </c>
      <c r="N500" t="s">
        <v>4923</v>
      </c>
      <c r="O500" t="s">
        <v>193</v>
      </c>
      <c r="P500" t="s">
        <v>178</v>
      </c>
    </row>
    <row r="501" spans="1:16" x14ac:dyDescent="0.25">
      <c r="A501">
        <v>379282</v>
      </c>
      <c r="B501" t="s">
        <v>263</v>
      </c>
      <c r="C501" t="s">
        <v>1534</v>
      </c>
      <c r="D501" t="s">
        <v>483</v>
      </c>
      <c r="E501" t="s">
        <v>1535</v>
      </c>
      <c r="F501" t="s">
        <v>1536</v>
      </c>
      <c r="G501" t="s">
        <v>160</v>
      </c>
      <c r="H501" t="s">
        <v>160</v>
      </c>
      <c r="I501" t="s">
        <v>160</v>
      </c>
      <c r="J501" t="s">
        <v>160</v>
      </c>
      <c r="K501" t="s">
        <v>160</v>
      </c>
      <c r="L501" t="s">
        <v>495</v>
      </c>
      <c r="M501" t="s">
        <v>323</v>
      </c>
      <c r="N501" t="s">
        <v>160</v>
      </c>
      <c r="O501" t="s">
        <v>1464</v>
      </c>
      <c r="P501" t="s">
        <v>178</v>
      </c>
    </row>
    <row r="502" spans="1:16" x14ac:dyDescent="0.25">
      <c r="A502">
        <v>316412</v>
      </c>
      <c r="B502" t="s">
        <v>263</v>
      </c>
      <c r="C502" t="s">
        <v>226</v>
      </c>
      <c r="D502" t="s">
        <v>480</v>
      </c>
      <c r="E502" t="s">
        <v>1346</v>
      </c>
      <c r="F502" t="s">
        <v>1347</v>
      </c>
      <c r="G502" t="s">
        <v>317</v>
      </c>
      <c r="H502" t="s">
        <v>321</v>
      </c>
      <c r="I502" t="s">
        <v>372</v>
      </c>
      <c r="J502" t="s">
        <v>372</v>
      </c>
      <c r="K502" t="s">
        <v>333</v>
      </c>
      <c r="L502" t="s">
        <v>4862</v>
      </c>
      <c r="M502" t="s">
        <v>4863</v>
      </c>
      <c r="N502" t="s">
        <v>4864</v>
      </c>
      <c r="O502" t="s">
        <v>187</v>
      </c>
      <c r="P502" t="s">
        <v>184</v>
      </c>
    </row>
    <row r="503" spans="1:16" x14ac:dyDescent="0.25">
      <c r="A503">
        <v>429293</v>
      </c>
      <c r="B503" t="s">
        <v>263</v>
      </c>
      <c r="C503" t="s">
        <v>5242</v>
      </c>
      <c r="D503" t="s">
        <v>508</v>
      </c>
      <c r="E503" t="s">
        <v>1106</v>
      </c>
      <c r="F503" t="s">
        <v>1107</v>
      </c>
      <c r="G503" t="s">
        <v>317</v>
      </c>
      <c r="H503" t="s">
        <v>321</v>
      </c>
      <c r="I503" t="s">
        <v>344</v>
      </c>
      <c r="J503" t="s">
        <v>344</v>
      </c>
      <c r="K503" t="s">
        <v>329</v>
      </c>
      <c r="L503" t="s">
        <v>5243</v>
      </c>
      <c r="M503" t="s">
        <v>5244</v>
      </c>
      <c r="N503" t="s">
        <v>782</v>
      </c>
      <c r="O503" t="s">
        <v>180</v>
      </c>
      <c r="P503" t="s">
        <v>184</v>
      </c>
    </row>
    <row r="504" spans="1:16" x14ac:dyDescent="0.25">
      <c r="A504">
        <v>244992</v>
      </c>
      <c r="B504" t="s">
        <v>263</v>
      </c>
      <c r="C504" t="s">
        <v>128</v>
      </c>
      <c r="D504" t="s">
        <v>482</v>
      </c>
      <c r="E504" t="s">
        <v>1058</v>
      </c>
      <c r="F504" t="s">
        <v>1059</v>
      </c>
      <c r="G504" t="s">
        <v>319</v>
      </c>
      <c r="H504" t="s">
        <v>321</v>
      </c>
      <c r="I504" t="s">
        <v>344</v>
      </c>
      <c r="J504" t="s">
        <v>344</v>
      </c>
      <c r="K504" t="s">
        <v>326</v>
      </c>
      <c r="L504" t="s">
        <v>4602</v>
      </c>
      <c r="M504" t="s">
        <v>4603</v>
      </c>
      <c r="N504" t="s">
        <v>656</v>
      </c>
      <c r="O504" t="s">
        <v>186</v>
      </c>
      <c r="P504" t="s">
        <v>184</v>
      </c>
    </row>
    <row r="505" spans="1:16" x14ac:dyDescent="0.25">
      <c r="A505">
        <v>316597</v>
      </c>
      <c r="B505" t="s">
        <v>263</v>
      </c>
      <c r="C505" t="s">
        <v>1809</v>
      </c>
      <c r="D505" t="s">
        <v>480</v>
      </c>
      <c r="E505" t="s">
        <v>1810</v>
      </c>
      <c r="F505" t="s">
        <v>1811</v>
      </c>
      <c r="G505" t="s">
        <v>319</v>
      </c>
      <c r="H505" t="s">
        <v>322</v>
      </c>
      <c r="I505" t="s">
        <v>363</v>
      </c>
      <c r="J505" t="s">
        <v>363</v>
      </c>
      <c r="K505" t="s">
        <v>329</v>
      </c>
      <c r="L505" t="s">
        <v>1812</v>
      </c>
      <c r="M505" t="s">
        <v>4972</v>
      </c>
      <c r="N505" t="s">
        <v>160</v>
      </c>
      <c r="O505" t="s">
        <v>187</v>
      </c>
      <c r="P505" t="s">
        <v>178</v>
      </c>
    </row>
    <row r="506" spans="1:16" x14ac:dyDescent="0.25">
      <c r="A506">
        <v>269259</v>
      </c>
      <c r="B506" t="s">
        <v>263</v>
      </c>
      <c r="C506" t="s">
        <v>597</v>
      </c>
      <c r="D506" t="s">
        <v>491</v>
      </c>
      <c r="E506" t="s">
        <v>1348</v>
      </c>
      <c r="F506" t="s">
        <v>1349</v>
      </c>
      <c r="G506" t="s">
        <v>319</v>
      </c>
      <c r="H506" t="s">
        <v>322</v>
      </c>
      <c r="I506" t="s">
        <v>363</v>
      </c>
      <c r="J506" t="s">
        <v>363</v>
      </c>
      <c r="K506" t="s">
        <v>329</v>
      </c>
      <c r="L506" t="s">
        <v>4865</v>
      </c>
      <c r="M506" t="s">
        <v>4866</v>
      </c>
      <c r="N506" t="s">
        <v>160</v>
      </c>
      <c r="O506" t="s">
        <v>598</v>
      </c>
      <c r="P506" t="s">
        <v>178</v>
      </c>
    </row>
    <row r="507" spans="1:16" x14ac:dyDescent="0.25">
      <c r="A507">
        <v>128882</v>
      </c>
      <c r="B507" t="s">
        <v>263</v>
      </c>
      <c r="C507" t="s">
        <v>318</v>
      </c>
      <c r="D507" t="s">
        <v>503</v>
      </c>
      <c r="E507" t="s">
        <v>1350</v>
      </c>
      <c r="F507" t="s">
        <v>1351</v>
      </c>
      <c r="G507" t="s">
        <v>322</v>
      </c>
      <c r="H507" t="s">
        <v>329</v>
      </c>
      <c r="I507" t="s">
        <v>351</v>
      </c>
      <c r="J507" t="s">
        <v>351</v>
      </c>
      <c r="K507" t="s">
        <v>335</v>
      </c>
      <c r="L507" t="s">
        <v>4299</v>
      </c>
      <c r="M507" t="s">
        <v>4300</v>
      </c>
      <c r="N507" t="s">
        <v>4301</v>
      </c>
      <c r="O507" t="s">
        <v>179</v>
      </c>
      <c r="P507" t="s">
        <v>178</v>
      </c>
    </row>
    <row r="508" spans="1:16" x14ac:dyDescent="0.25">
      <c r="A508">
        <v>338497</v>
      </c>
      <c r="B508" t="s">
        <v>263</v>
      </c>
      <c r="C508" t="s">
        <v>1461</v>
      </c>
      <c r="D508" t="s">
        <v>480</v>
      </c>
      <c r="E508" t="s">
        <v>1462</v>
      </c>
      <c r="F508" t="s">
        <v>1463</v>
      </c>
      <c r="G508" t="s">
        <v>160</v>
      </c>
      <c r="H508" t="s">
        <v>160</v>
      </c>
      <c r="I508" t="s">
        <v>160</v>
      </c>
      <c r="J508" t="s">
        <v>160</v>
      </c>
      <c r="K508" t="s">
        <v>160</v>
      </c>
      <c r="L508" t="s">
        <v>495</v>
      </c>
      <c r="M508" t="s">
        <v>495</v>
      </c>
      <c r="N508" t="s">
        <v>160</v>
      </c>
      <c r="O508" t="s">
        <v>1464</v>
      </c>
      <c r="P508" t="s">
        <v>178</v>
      </c>
    </row>
    <row r="509" spans="1:16" x14ac:dyDescent="0.25">
      <c r="A509">
        <v>362413</v>
      </c>
      <c r="B509" t="s">
        <v>263</v>
      </c>
      <c r="C509" t="s">
        <v>2048</v>
      </c>
      <c r="D509" t="s">
        <v>483</v>
      </c>
      <c r="E509" t="s">
        <v>2049</v>
      </c>
      <c r="F509" t="s">
        <v>2050</v>
      </c>
      <c r="G509" t="s">
        <v>160</v>
      </c>
      <c r="H509" t="s">
        <v>160</v>
      </c>
      <c r="I509" t="s">
        <v>160</v>
      </c>
      <c r="J509" t="s">
        <v>160</v>
      </c>
      <c r="K509" t="s">
        <v>160</v>
      </c>
      <c r="L509" t="s">
        <v>495</v>
      </c>
      <c r="M509" t="s">
        <v>321</v>
      </c>
      <c r="N509" t="s">
        <v>160</v>
      </c>
      <c r="O509" t="s">
        <v>1464</v>
      </c>
      <c r="P509" t="s">
        <v>178</v>
      </c>
    </row>
    <row r="510" spans="1:16" x14ac:dyDescent="0.25">
      <c r="A510">
        <v>358557</v>
      </c>
      <c r="B510" t="s">
        <v>263</v>
      </c>
      <c r="C510" t="s">
        <v>2045</v>
      </c>
      <c r="D510" t="s">
        <v>493</v>
      </c>
      <c r="E510" t="s">
        <v>2046</v>
      </c>
      <c r="F510" t="s">
        <v>2047</v>
      </c>
      <c r="G510" t="s">
        <v>317</v>
      </c>
      <c r="H510" t="s">
        <v>321</v>
      </c>
      <c r="I510" t="s">
        <v>372</v>
      </c>
      <c r="J510" t="s">
        <v>388</v>
      </c>
      <c r="K510" t="s">
        <v>335</v>
      </c>
      <c r="L510" t="s">
        <v>320</v>
      </c>
      <c r="M510" t="s">
        <v>5057</v>
      </c>
      <c r="N510" t="s">
        <v>5058</v>
      </c>
      <c r="O510" t="s">
        <v>310</v>
      </c>
      <c r="P510" t="s">
        <v>178</v>
      </c>
    </row>
    <row r="511" spans="1:16" x14ac:dyDescent="0.25">
      <c r="A511">
        <v>279537</v>
      </c>
      <c r="B511" t="s">
        <v>263</v>
      </c>
      <c r="C511" t="s">
        <v>2041</v>
      </c>
      <c r="D511" t="s">
        <v>480</v>
      </c>
      <c r="E511" t="s">
        <v>2042</v>
      </c>
      <c r="F511" t="s">
        <v>2043</v>
      </c>
      <c r="G511" t="s">
        <v>317</v>
      </c>
      <c r="H511" t="s">
        <v>321</v>
      </c>
      <c r="I511" t="s">
        <v>372</v>
      </c>
      <c r="J511" t="s">
        <v>388</v>
      </c>
      <c r="K511" t="s">
        <v>335</v>
      </c>
      <c r="L511" t="s">
        <v>5055</v>
      </c>
      <c r="M511" t="s">
        <v>5056</v>
      </c>
      <c r="N511" t="s">
        <v>745</v>
      </c>
      <c r="O511" t="s">
        <v>187</v>
      </c>
      <c r="P511" t="s">
        <v>178</v>
      </c>
    </row>
    <row r="512" spans="1:16" x14ac:dyDescent="0.25">
      <c r="A512">
        <v>269207</v>
      </c>
      <c r="B512" t="s">
        <v>263</v>
      </c>
      <c r="C512" t="s">
        <v>599</v>
      </c>
      <c r="D512" t="s">
        <v>491</v>
      </c>
      <c r="E512" t="s">
        <v>1352</v>
      </c>
      <c r="F512" t="s">
        <v>1353</v>
      </c>
      <c r="G512" t="s">
        <v>319</v>
      </c>
      <c r="H512" t="s">
        <v>321</v>
      </c>
      <c r="I512" t="s">
        <v>372</v>
      </c>
      <c r="J512" t="s">
        <v>372</v>
      </c>
      <c r="K512" t="s">
        <v>333</v>
      </c>
      <c r="L512" t="s">
        <v>4867</v>
      </c>
      <c r="M512" t="s">
        <v>4868</v>
      </c>
      <c r="N512" t="s">
        <v>316</v>
      </c>
      <c r="O512" t="s">
        <v>187</v>
      </c>
      <c r="P512" t="s">
        <v>178</v>
      </c>
    </row>
    <row r="513" spans="1:16" x14ac:dyDescent="0.25">
      <c r="A513">
        <v>406654</v>
      </c>
      <c r="B513" t="s">
        <v>263</v>
      </c>
      <c r="C513" t="s">
        <v>1517</v>
      </c>
      <c r="D513" t="s">
        <v>160</v>
      </c>
      <c r="E513" t="s">
        <v>160</v>
      </c>
      <c r="F513" t="s">
        <v>160</v>
      </c>
      <c r="G513" t="s">
        <v>317</v>
      </c>
      <c r="H513" t="s">
        <v>317</v>
      </c>
      <c r="I513" t="s">
        <v>160</v>
      </c>
      <c r="J513" t="s">
        <v>160</v>
      </c>
      <c r="K513" t="s">
        <v>160</v>
      </c>
      <c r="L513" t="s">
        <v>495</v>
      </c>
      <c r="M513" t="s">
        <v>323</v>
      </c>
      <c r="N513" t="s">
        <v>160</v>
      </c>
      <c r="O513" t="s">
        <v>1436</v>
      </c>
      <c r="P513" t="s">
        <v>178</v>
      </c>
    </row>
    <row r="514" spans="1:16" x14ac:dyDescent="0.25">
      <c r="A514">
        <v>360178</v>
      </c>
      <c r="B514" t="s">
        <v>263</v>
      </c>
      <c r="C514" t="s">
        <v>2200</v>
      </c>
      <c r="D514" t="s">
        <v>483</v>
      </c>
      <c r="E514" t="s">
        <v>2201</v>
      </c>
      <c r="F514" t="s">
        <v>2202</v>
      </c>
      <c r="G514" t="s">
        <v>160</v>
      </c>
      <c r="H514" t="s">
        <v>160</v>
      </c>
      <c r="I514" t="s">
        <v>160</v>
      </c>
      <c r="J514" t="s">
        <v>160</v>
      </c>
      <c r="K514" t="s">
        <v>160</v>
      </c>
      <c r="L514" t="s">
        <v>495</v>
      </c>
      <c r="M514" t="s">
        <v>495</v>
      </c>
      <c r="N514" t="s">
        <v>160</v>
      </c>
      <c r="O514" t="s">
        <v>1464</v>
      </c>
      <c r="P514" t="s">
        <v>178</v>
      </c>
    </row>
    <row r="515" spans="1:16" x14ac:dyDescent="0.25">
      <c r="A515">
        <v>371942</v>
      </c>
      <c r="B515" t="s">
        <v>263</v>
      </c>
      <c r="C515" t="s">
        <v>57</v>
      </c>
      <c r="D515" t="s">
        <v>493</v>
      </c>
      <c r="E515" t="s">
        <v>1060</v>
      </c>
      <c r="F515" t="s">
        <v>1061</v>
      </c>
      <c r="G515" t="s">
        <v>317</v>
      </c>
      <c r="H515" t="s">
        <v>321</v>
      </c>
      <c r="I515" t="s">
        <v>393</v>
      </c>
      <c r="J515" t="s">
        <v>393</v>
      </c>
      <c r="K515" t="s">
        <v>333</v>
      </c>
      <c r="L515" t="s">
        <v>5236</v>
      </c>
      <c r="M515" t="s">
        <v>5237</v>
      </c>
      <c r="N515" t="s">
        <v>5238</v>
      </c>
      <c r="O515" t="s">
        <v>187</v>
      </c>
      <c r="P515" t="s">
        <v>178</v>
      </c>
    </row>
    <row r="516" spans="1:16" x14ac:dyDescent="0.25">
      <c r="A516">
        <v>294853</v>
      </c>
      <c r="B516" t="s">
        <v>263</v>
      </c>
      <c r="C516" t="s">
        <v>1610</v>
      </c>
      <c r="D516" t="s">
        <v>491</v>
      </c>
      <c r="E516" t="s">
        <v>1611</v>
      </c>
      <c r="F516" t="s">
        <v>1612</v>
      </c>
      <c r="G516" t="s">
        <v>319</v>
      </c>
      <c r="H516" t="s">
        <v>323</v>
      </c>
      <c r="I516" t="s">
        <v>402</v>
      </c>
      <c r="J516" t="s">
        <v>540</v>
      </c>
      <c r="K516" t="s">
        <v>336</v>
      </c>
      <c r="L516" t="s">
        <v>495</v>
      </c>
      <c r="M516" t="s">
        <v>329</v>
      </c>
      <c r="N516" t="s">
        <v>160</v>
      </c>
      <c r="O516" t="s">
        <v>183</v>
      </c>
      <c r="P516" t="s">
        <v>184</v>
      </c>
    </row>
    <row r="517" spans="1:16" x14ac:dyDescent="0.25">
      <c r="A517">
        <v>423789</v>
      </c>
      <c r="B517" t="s">
        <v>263</v>
      </c>
      <c r="C517" t="s">
        <v>68</v>
      </c>
      <c r="D517" t="s">
        <v>495</v>
      </c>
      <c r="E517" t="s">
        <v>1062</v>
      </c>
      <c r="F517" t="s">
        <v>1063</v>
      </c>
      <c r="G517" t="s">
        <v>319</v>
      </c>
      <c r="H517" t="s">
        <v>321</v>
      </c>
      <c r="I517" t="s">
        <v>351</v>
      </c>
      <c r="J517" t="s">
        <v>372</v>
      </c>
      <c r="K517" t="s">
        <v>495</v>
      </c>
      <c r="L517" t="s">
        <v>495</v>
      </c>
      <c r="M517" t="s">
        <v>326</v>
      </c>
      <c r="N517" t="s">
        <v>160</v>
      </c>
      <c r="O517" t="s">
        <v>192</v>
      </c>
      <c r="P517" t="s">
        <v>178</v>
      </c>
    </row>
    <row r="518" spans="1:16" x14ac:dyDescent="0.25">
      <c r="A518">
        <v>503</v>
      </c>
      <c r="B518" t="s">
        <v>263</v>
      </c>
      <c r="C518" t="s">
        <v>9</v>
      </c>
      <c r="D518" t="s">
        <v>560</v>
      </c>
      <c r="E518" t="s">
        <v>1064</v>
      </c>
      <c r="F518" t="s">
        <v>1065</v>
      </c>
      <c r="G518" t="s">
        <v>319</v>
      </c>
      <c r="H518" t="s">
        <v>322</v>
      </c>
      <c r="I518" t="s">
        <v>363</v>
      </c>
      <c r="J518" t="s">
        <v>363</v>
      </c>
      <c r="K518" t="s">
        <v>329</v>
      </c>
      <c r="L518" t="s">
        <v>4238</v>
      </c>
      <c r="M518" t="s">
        <v>4239</v>
      </c>
      <c r="N518" t="s">
        <v>4240</v>
      </c>
      <c r="O518" t="s">
        <v>280</v>
      </c>
      <c r="P518" t="s">
        <v>178</v>
      </c>
    </row>
    <row r="519" spans="1:16" x14ac:dyDescent="0.25">
      <c r="A519">
        <v>274533</v>
      </c>
      <c r="B519" t="s">
        <v>263</v>
      </c>
      <c r="C519" t="s">
        <v>334</v>
      </c>
      <c r="D519" t="s">
        <v>491</v>
      </c>
      <c r="E519" t="s">
        <v>1354</v>
      </c>
      <c r="F519" t="s">
        <v>1355</v>
      </c>
      <c r="G519" t="s">
        <v>319</v>
      </c>
      <c r="H519" t="s">
        <v>323</v>
      </c>
      <c r="I519" t="s">
        <v>337</v>
      </c>
      <c r="J519" t="s">
        <v>337</v>
      </c>
      <c r="K519" t="s">
        <v>325</v>
      </c>
      <c r="L519" t="s">
        <v>654</v>
      </c>
      <c r="M519" t="s">
        <v>4869</v>
      </c>
      <c r="N519" t="s">
        <v>4870</v>
      </c>
      <c r="O519" t="s">
        <v>179</v>
      </c>
      <c r="P519" t="s">
        <v>178</v>
      </c>
    </row>
    <row r="520" spans="1:16" x14ac:dyDescent="0.25">
      <c r="A520">
        <v>215</v>
      </c>
      <c r="B520" t="s">
        <v>263</v>
      </c>
      <c r="C520" t="s">
        <v>47</v>
      </c>
      <c r="D520" t="s">
        <v>561</v>
      </c>
      <c r="E520" t="s">
        <v>1066</v>
      </c>
      <c r="F520" t="s">
        <v>1067</v>
      </c>
      <c r="G520" t="s">
        <v>321</v>
      </c>
      <c r="H520" t="s">
        <v>321</v>
      </c>
      <c r="I520" t="s">
        <v>372</v>
      </c>
      <c r="J520" t="s">
        <v>372</v>
      </c>
      <c r="K520" t="s">
        <v>329</v>
      </c>
      <c r="L520" t="s">
        <v>4241</v>
      </c>
      <c r="M520" t="s">
        <v>4242</v>
      </c>
      <c r="N520" t="s">
        <v>4243</v>
      </c>
      <c r="O520" t="s">
        <v>187</v>
      </c>
      <c r="P520" t="s">
        <v>178</v>
      </c>
    </row>
    <row r="521" spans="1:16" x14ac:dyDescent="0.25">
      <c r="A521">
        <v>9209</v>
      </c>
      <c r="B521" t="s">
        <v>263</v>
      </c>
      <c r="C521" t="s">
        <v>1685</v>
      </c>
      <c r="D521" t="s">
        <v>517</v>
      </c>
      <c r="E521" t="s">
        <v>1686</v>
      </c>
      <c r="F521" t="s">
        <v>1687</v>
      </c>
      <c r="G521" t="s">
        <v>319</v>
      </c>
      <c r="H521" t="s">
        <v>322</v>
      </c>
      <c r="I521" t="s">
        <v>351</v>
      </c>
      <c r="J521" t="s">
        <v>372</v>
      </c>
      <c r="K521" t="s">
        <v>326</v>
      </c>
      <c r="L521" t="s">
        <v>4339</v>
      </c>
      <c r="M521" t="s">
        <v>4340</v>
      </c>
      <c r="N521" t="s">
        <v>4341</v>
      </c>
      <c r="O521" t="s">
        <v>180</v>
      </c>
      <c r="P521" t="s">
        <v>178</v>
      </c>
    </row>
    <row r="522" spans="1:16" x14ac:dyDescent="0.25">
      <c r="A522">
        <v>14996</v>
      </c>
      <c r="B522" t="s">
        <v>263</v>
      </c>
      <c r="C522" t="s">
        <v>6</v>
      </c>
      <c r="D522" t="s">
        <v>528</v>
      </c>
      <c r="E522" t="s">
        <v>1068</v>
      </c>
      <c r="F522" t="s">
        <v>1069</v>
      </c>
      <c r="G522" t="s">
        <v>319</v>
      </c>
      <c r="H522" t="s">
        <v>322</v>
      </c>
      <c r="I522" t="s">
        <v>351</v>
      </c>
      <c r="J522" t="s">
        <v>372</v>
      </c>
      <c r="K522" t="s">
        <v>326</v>
      </c>
      <c r="L522" t="s">
        <v>4244</v>
      </c>
      <c r="M522" t="s">
        <v>4245</v>
      </c>
      <c r="N522" t="s">
        <v>562</v>
      </c>
      <c r="O522" t="s">
        <v>180</v>
      </c>
      <c r="P522" t="s">
        <v>178</v>
      </c>
    </row>
    <row r="523" spans="1:16" x14ac:dyDescent="0.25">
      <c r="A523">
        <v>205125</v>
      </c>
      <c r="B523" t="s">
        <v>263</v>
      </c>
      <c r="C523" t="s">
        <v>471</v>
      </c>
      <c r="D523" t="s">
        <v>538</v>
      </c>
      <c r="E523" t="s">
        <v>1070</v>
      </c>
      <c r="F523" t="s">
        <v>1071</v>
      </c>
      <c r="G523" t="s">
        <v>319</v>
      </c>
      <c r="H523" t="s">
        <v>321</v>
      </c>
      <c r="I523" t="s">
        <v>337</v>
      </c>
      <c r="J523" t="s">
        <v>351</v>
      </c>
      <c r="K523" t="s">
        <v>323</v>
      </c>
      <c r="L523" t="s">
        <v>567</v>
      </c>
      <c r="M523" t="s">
        <v>4604</v>
      </c>
      <c r="N523" t="s">
        <v>4605</v>
      </c>
      <c r="O523" t="s">
        <v>191</v>
      </c>
      <c r="P523" t="s">
        <v>178</v>
      </c>
    </row>
    <row r="524" spans="1:16" x14ac:dyDescent="0.25">
      <c r="A524">
        <v>31627</v>
      </c>
      <c r="B524" t="s">
        <v>263</v>
      </c>
      <c r="C524" t="s">
        <v>1637</v>
      </c>
      <c r="D524" t="s">
        <v>522</v>
      </c>
      <c r="E524" t="s">
        <v>1638</v>
      </c>
      <c r="F524" t="s">
        <v>1639</v>
      </c>
      <c r="G524" t="s">
        <v>319</v>
      </c>
      <c r="H524" t="s">
        <v>320</v>
      </c>
      <c r="I524" t="s">
        <v>351</v>
      </c>
      <c r="J524" t="s">
        <v>372</v>
      </c>
      <c r="K524" t="s">
        <v>326</v>
      </c>
      <c r="L524" t="s">
        <v>4327</v>
      </c>
      <c r="M524" t="s">
        <v>4328</v>
      </c>
      <c r="N524" t="s">
        <v>4329</v>
      </c>
      <c r="O524" t="s">
        <v>180</v>
      </c>
      <c r="P524" t="s">
        <v>178</v>
      </c>
    </row>
    <row r="525" spans="1:16" x14ac:dyDescent="0.25">
      <c r="A525">
        <v>24439</v>
      </c>
      <c r="B525" t="s">
        <v>263</v>
      </c>
      <c r="C525" t="s">
        <v>1793</v>
      </c>
      <c r="D525" t="s">
        <v>546</v>
      </c>
      <c r="E525" t="s">
        <v>1794</v>
      </c>
      <c r="F525" t="s">
        <v>1795</v>
      </c>
      <c r="G525" t="s">
        <v>319</v>
      </c>
      <c r="H525" t="s">
        <v>322</v>
      </c>
      <c r="I525" t="s">
        <v>351</v>
      </c>
      <c r="J525" t="s">
        <v>372</v>
      </c>
      <c r="K525" t="s">
        <v>326</v>
      </c>
      <c r="L525" t="s">
        <v>1796</v>
      </c>
      <c r="M525" t="s">
        <v>4360</v>
      </c>
      <c r="N525" t="s">
        <v>160</v>
      </c>
      <c r="O525" t="s">
        <v>598</v>
      </c>
      <c r="P525" t="s">
        <v>178</v>
      </c>
    </row>
    <row r="526" spans="1:16" x14ac:dyDescent="0.25">
      <c r="A526">
        <v>42</v>
      </c>
      <c r="B526" t="s">
        <v>263</v>
      </c>
      <c r="C526" t="s">
        <v>1752</v>
      </c>
      <c r="D526" t="s">
        <v>500</v>
      </c>
      <c r="E526" t="s">
        <v>1753</v>
      </c>
      <c r="F526" t="s">
        <v>1754</v>
      </c>
      <c r="G526" t="s">
        <v>319</v>
      </c>
      <c r="H526" t="s">
        <v>321</v>
      </c>
      <c r="I526" t="s">
        <v>372</v>
      </c>
      <c r="J526" t="s">
        <v>532</v>
      </c>
      <c r="K526" t="s">
        <v>336</v>
      </c>
      <c r="L526" t="s">
        <v>4352</v>
      </c>
      <c r="M526" t="s">
        <v>4353</v>
      </c>
      <c r="N526" t="s">
        <v>4354</v>
      </c>
      <c r="O526" t="s">
        <v>187</v>
      </c>
      <c r="P526" t="s">
        <v>178</v>
      </c>
    </row>
    <row r="527" spans="1:16" x14ac:dyDescent="0.25">
      <c r="A527">
        <v>351913</v>
      </c>
      <c r="B527" t="s">
        <v>263</v>
      </c>
      <c r="C527" t="s">
        <v>2333</v>
      </c>
      <c r="D527" t="s">
        <v>478</v>
      </c>
      <c r="E527" t="s">
        <v>2334</v>
      </c>
      <c r="F527" t="s">
        <v>2335</v>
      </c>
      <c r="G527" t="s">
        <v>317</v>
      </c>
      <c r="H527" t="s">
        <v>321</v>
      </c>
      <c r="I527" t="s">
        <v>372</v>
      </c>
      <c r="J527" t="s">
        <v>413</v>
      </c>
      <c r="K527" t="s">
        <v>336</v>
      </c>
      <c r="L527" t="s">
        <v>5168</v>
      </c>
      <c r="M527" t="s">
        <v>5169</v>
      </c>
      <c r="N527" t="s">
        <v>5170</v>
      </c>
      <c r="O527" t="s">
        <v>187</v>
      </c>
      <c r="P527" t="s">
        <v>178</v>
      </c>
    </row>
    <row r="528" spans="1:16" x14ac:dyDescent="0.25">
      <c r="A528">
        <v>173156</v>
      </c>
      <c r="B528" t="s">
        <v>263</v>
      </c>
      <c r="C528" t="s">
        <v>2398</v>
      </c>
      <c r="D528" t="s">
        <v>486</v>
      </c>
      <c r="E528" t="s">
        <v>2399</v>
      </c>
      <c r="F528" t="s">
        <v>2400</v>
      </c>
      <c r="G528" t="s">
        <v>319</v>
      </c>
      <c r="H528" t="s">
        <v>329</v>
      </c>
      <c r="I528" t="s">
        <v>351</v>
      </c>
      <c r="J528" t="s">
        <v>351</v>
      </c>
      <c r="K528" t="s">
        <v>329</v>
      </c>
      <c r="L528" t="s">
        <v>1489</v>
      </c>
      <c r="M528" t="s">
        <v>5208</v>
      </c>
      <c r="N528" t="s">
        <v>5209</v>
      </c>
      <c r="O528" t="s">
        <v>180</v>
      </c>
      <c r="P528" t="s">
        <v>178</v>
      </c>
    </row>
    <row r="529" spans="1:16" x14ac:dyDescent="0.25">
      <c r="A529">
        <v>266129</v>
      </c>
      <c r="B529" t="s">
        <v>263</v>
      </c>
      <c r="C529" t="s">
        <v>2024</v>
      </c>
      <c r="D529" t="s">
        <v>482</v>
      </c>
      <c r="E529" t="s">
        <v>2025</v>
      </c>
      <c r="F529" t="s">
        <v>2026</v>
      </c>
      <c r="G529" t="s">
        <v>319</v>
      </c>
      <c r="H529" t="s">
        <v>326</v>
      </c>
      <c r="I529" t="s">
        <v>337</v>
      </c>
      <c r="J529" t="s">
        <v>337</v>
      </c>
      <c r="K529" t="s">
        <v>326</v>
      </c>
      <c r="L529" t="s">
        <v>317</v>
      </c>
      <c r="M529" t="s">
        <v>5047</v>
      </c>
      <c r="N529" t="s">
        <v>5048</v>
      </c>
      <c r="O529" t="s">
        <v>2023</v>
      </c>
      <c r="P529" t="s">
        <v>178</v>
      </c>
    </row>
    <row r="530" spans="1:16" x14ac:dyDescent="0.25">
      <c r="A530">
        <v>36553</v>
      </c>
      <c r="B530" t="s">
        <v>263</v>
      </c>
      <c r="C530" t="s">
        <v>571</v>
      </c>
      <c r="D530" t="s">
        <v>484</v>
      </c>
      <c r="E530" t="s">
        <v>1356</v>
      </c>
      <c r="F530" t="s">
        <v>1357</v>
      </c>
      <c r="G530" t="s">
        <v>321</v>
      </c>
      <c r="H530" t="s">
        <v>341</v>
      </c>
      <c r="I530" t="s">
        <v>372</v>
      </c>
      <c r="J530" t="s">
        <v>372</v>
      </c>
      <c r="K530" t="s">
        <v>333</v>
      </c>
      <c r="L530" t="s">
        <v>572</v>
      </c>
      <c r="M530" t="s">
        <v>4302</v>
      </c>
      <c r="N530" t="s">
        <v>4303</v>
      </c>
      <c r="O530" t="s">
        <v>179</v>
      </c>
      <c r="P530" t="s">
        <v>178</v>
      </c>
    </row>
    <row r="531" spans="1:16" x14ac:dyDescent="0.25">
      <c r="A531">
        <v>295192</v>
      </c>
      <c r="B531" t="s">
        <v>263</v>
      </c>
      <c r="C531" t="s">
        <v>252</v>
      </c>
      <c r="D531" t="s">
        <v>480</v>
      </c>
      <c r="E531" t="s">
        <v>1072</v>
      </c>
      <c r="F531" t="s">
        <v>1073</v>
      </c>
      <c r="G531" t="s">
        <v>319</v>
      </c>
      <c r="H531" t="s">
        <v>323</v>
      </c>
      <c r="I531" t="s">
        <v>320</v>
      </c>
      <c r="J531" t="s">
        <v>337</v>
      </c>
      <c r="K531" t="s">
        <v>323</v>
      </c>
      <c r="L531" t="s">
        <v>317</v>
      </c>
      <c r="M531" t="s">
        <v>4606</v>
      </c>
      <c r="N531" t="s">
        <v>4607</v>
      </c>
      <c r="O531" t="s">
        <v>180</v>
      </c>
      <c r="P531" t="s">
        <v>178</v>
      </c>
    </row>
    <row r="532" spans="1:16" x14ac:dyDescent="0.25">
      <c r="A532">
        <v>265736</v>
      </c>
      <c r="B532" t="s">
        <v>263</v>
      </c>
      <c r="C532" t="s">
        <v>1980</v>
      </c>
      <c r="D532" t="s">
        <v>491</v>
      </c>
      <c r="E532" t="s">
        <v>1981</v>
      </c>
      <c r="F532" t="s">
        <v>1982</v>
      </c>
      <c r="G532" t="s">
        <v>317</v>
      </c>
      <c r="H532" t="s">
        <v>323</v>
      </c>
      <c r="I532" t="s">
        <v>363</v>
      </c>
      <c r="J532" t="s">
        <v>372</v>
      </c>
      <c r="K532" t="s">
        <v>336</v>
      </c>
      <c r="L532" t="s">
        <v>5025</v>
      </c>
      <c r="M532" t="s">
        <v>5026</v>
      </c>
      <c r="N532" t="s">
        <v>5027</v>
      </c>
      <c r="O532" t="s">
        <v>180</v>
      </c>
      <c r="P532" t="s">
        <v>178</v>
      </c>
    </row>
    <row r="533" spans="1:16" x14ac:dyDescent="0.25">
      <c r="A533">
        <v>215463</v>
      </c>
      <c r="B533" t="s">
        <v>263</v>
      </c>
      <c r="C533" t="s">
        <v>611</v>
      </c>
      <c r="D533" t="s">
        <v>538</v>
      </c>
      <c r="E533" t="s">
        <v>1358</v>
      </c>
      <c r="F533" t="s">
        <v>1359</v>
      </c>
      <c r="G533" t="s">
        <v>319</v>
      </c>
      <c r="H533" t="s">
        <v>319</v>
      </c>
      <c r="I533" t="s">
        <v>351</v>
      </c>
      <c r="J533" t="s">
        <v>365</v>
      </c>
      <c r="K533" t="s">
        <v>326</v>
      </c>
      <c r="L533" t="s">
        <v>680</v>
      </c>
      <c r="M533" t="s">
        <v>4871</v>
      </c>
      <c r="N533" t="s">
        <v>4872</v>
      </c>
      <c r="O533" t="s">
        <v>180</v>
      </c>
      <c r="P533" t="s">
        <v>178</v>
      </c>
    </row>
    <row r="534" spans="1:16" x14ac:dyDescent="0.25">
      <c r="A534">
        <v>300905</v>
      </c>
      <c r="B534" t="s">
        <v>263</v>
      </c>
      <c r="C534" t="s">
        <v>2226</v>
      </c>
      <c r="D534" t="s">
        <v>480</v>
      </c>
      <c r="E534" t="s">
        <v>2227</v>
      </c>
      <c r="F534" t="s">
        <v>2228</v>
      </c>
      <c r="G534" t="s">
        <v>321</v>
      </c>
      <c r="H534" t="s">
        <v>328</v>
      </c>
      <c r="I534" t="s">
        <v>351</v>
      </c>
      <c r="J534" t="s">
        <v>351</v>
      </c>
      <c r="K534" t="s">
        <v>336</v>
      </c>
      <c r="L534" t="s">
        <v>5135</v>
      </c>
      <c r="M534" t="s">
        <v>5136</v>
      </c>
      <c r="N534" t="s">
        <v>747</v>
      </c>
      <c r="O534" t="s">
        <v>179</v>
      </c>
      <c r="P534" t="s">
        <v>184</v>
      </c>
    </row>
    <row r="535" spans="1:16" x14ac:dyDescent="0.25">
      <c r="A535">
        <v>148319</v>
      </c>
      <c r="B535" t="s">
        <v>263</v>
      </c>
      <c r="C535" t="s">
        <v>408</v>
      </c>
      <c r="D535" t="s">
        <v>518</v>
      </c>
      <c r="E535" t="s">
        <v>1360</v>
      </c>
      <c r="F535" t="s">
        <v>1361</v>
      </c>
      <c r="G535" t="s">
        <v>319</v>
      </c>
      <c r="H535" t="s">
        <v>321</v>
      </c>
      <c r="I535" t="s">
        <v>532</v>
      </c>
      <c r="J535" t="s">
        <v>532</v>
      </c>
      <c r="K535" t="s">
        <v>335</v>
      </c>
      <c r="L535" t="s">
        <v>655</v>
      </c>
      <c r="M535" t="s">
        <v>4873</v>
      </c>
      <c r="N535" t="s">
        <v>4874</v>
      </c>
      <c r="O535" t="s">
        <v>281</v>
      </c>
      <c r="P535" t="s">
        <v>178</v>
      </c>
    </row>
    <row r="536" spans="1:16" x14ac:dyDescent="0.25">
      <c r="A536">
        <v>374266</v>
      </c>
      <c r="B536" t="s">
        <v>263</v>
      </c>
      <c r="C536" t="s">
        <v>1424</v>
      </c>
      <c r="D536" t="s">
        <v>493</v>
      </c>
      <c r="E536" t="s">
        <v>1425</v>
      </c>
      <c r="F536" t="s">
        <v>1426</v>
      </c>
      <c r="G536" t="s">
        <v>319</v>
      </c>
      <c r="H536" t="s">
        <v>321</v>
      </c>
      <c r="I536" t="s">
        <v>372</v>
      </c>
      <c r="J536" t="s">
        <v>372</v>
      </c>
      <c r="K536" t="s">
        <v>336</v>
      </c>
      <c r="L536" t="s">
        <v>1427</v>
      </c>
      <c r="M536" t="s">
        <v>5253</v>
      </c>
      <c r="N536" t="s">
        <v>5254</v>
      </c>
      <c r="O536" t="s">
        <v>181</v>
      </c>
      <c r="P536" t="s">
        <v>178</v>
      </c>
    </row>
    <row r="537" spans="1:16" x14ac:dyDescent="0.25">
      <c r="A537">
        <v>352454</v>
      </c>
      <c r="B537" t="s">
        <v>263</v>
      </c>
      <c r="C537" t="s">
        <v>2164</v>
      </c>
      <c r="D537" t="s">
        <v>493</v>
      </c>
      <c r="E537" t="s">
        <v>2165</v>
      </c>
      <c r="F537" t="s">
        <v>2166</v>
      </c>
      <c r="G537" t="s">
        <v>317</v>
      </c>
      <c r="H537" t="s">
        <v>326</v>
      </c>
      <c r="I537" t="s">
        <v>351</v>
      </c>
      <c r="J537" t="s">
        <v>351</v>
      </c>
      <c r="K537" t="s">
        <v>326</v>
      </c>
      <c r="L537" t="s">
        <v>5106</v>
      </c>
      <c r="M537" t="s">
        <v>5107</v>
      </c>
      <c r="N537" t="s">
        <v>5108</v>
      </c>
      <c r="O537" t="s">
        <v>180</v>
      </c>
      <c r="P537" t="s">
        <v>178</v>
      </c>
    </row>
    <row r="538" spans="1:16" x14ac:dyDescent="0.25">
      <c r="A538">
        <v>338628</v>
      </c>
      <c r="B538" t="s">
        <v>263</v>
      </c>
      <c r="C538" t="s">
        <v>1813</v>
      </c>
      <c r="D538" t="s">
        <v>483</v>
      </c>
      <c r="E538" t="s">
        <v>1814</v>
      </c>
      <c r="F538" t="s">
        <v>1815</v>
      </c>
      <c r="G538" t="s">
        <v>319</v>
      </c>
      <c r="H538" t="s">
        <v>321</v>
      </c>
      <c r="I538" t="s">
        <v>344</v>
      </c>
      <c r="J538" t="s">
        <v>360</v>
      </c>
      <c r="K538" t="s">
        <v>329</v>
      </c>
      <c r="L538" t="s">
        <v>4973</v>
      </c>
      <c r="M538" t="s">
        <v>4974</v>
      </c>
      <c r="N538" t="s">
        <v>4975</v>
      </c>
      <c r="O538" t="s">
        <v>180</v>
      </c>
      <c r="P538" t="s">
        <v>178</v>
      </c>
    </row>
    <row r="539" spans="1:16" x14ac:dyDescent="0.25">
      <c r="A539">
        <v>283864</v>
      </c>
      <c r="B539" t="s">
        <v>263</v>
      </c>
      <c r="C539" t="s">
        <v>1816</v>
      </c>
      <c r="D539" t="s">
        <v>491</v>
      </c>
      <c r="E539" t="s">
        <v>1817</v>
      </c>
      <c r="F539" t="s">
        <v>1818</v>
      </c>
      <c r="G539" t="s">
        <v>317</v>
      </c>
      <c r="H539" t="s">
        <v>326</v>
      </c>
      <c r="I539" t="s">
        <v>337</v>
      </c>
      <c r="J539" t="s">
        <v>337</v>
      </c>
      <c r="K539" t="s">
        <v>326</v>
      </c>
      <c r="L539" t="s">
        <v>4976</v>
      </c>
      <c r="M539" t="s">
        <v>4977</v>
      </c>
      <c r="N539" t="s">
        <v>4978</v>
      </c>
      <c r="O539" t="s">
        <v>180</v>
      </c>
      <c r="P539" t="s">
        <v>178</v>
      </c>
    </row>
    <row r="540" spans="1:16" x14ac:dyDescent="0.25">
      <c r="A540">
        <v>288513</v>
      </c>
      <c r="B540" t="s">
        <v>263</v>
      </c>
      <c r="C540" t="s">
        <v>2090</v>
      </c>
      <c r="D540" t="s">
        <v>480</v>
      </c>
      <c r="E540" t="s">
        <v>2091</v>
      </c>
      <c r="F540" t="s">
        <v>2092</v>
      </c>
      <c r="G540" t="s">
        <v>317</v>
      </c>
      <c r="H540" t="s">
        <v>322</v>
      </c>
      <c r="I540" t="s">
        <v>337</v>
      </c>
      <c r="J540" t="s">
        <v>344</v>
      </c>
      <c r="K540" t="s">
        <v>326</v>
      </c>
      <c r="L540" t="s">
        <v>5085</v>
      </c>
      <c r="M540" t="s">
        <v>5086</v>
      </c>
      <c r="N540" t="s">
        <v>5087</v>
      </c>
      <c r="O540" t="s">
        <v>180</v>
      </c>
      <c r="P540" t="s">
        <v>184</v>
      </c>
    </row>
    <row r="541" spans="1:16" x14ac:dyDescent="0.25">
      <c r="A541">
        <v>257527</v>
      </c>
      <c r="B541" t="s">
        <v>263</v>
      </c>
      <c r="C541" t="s">
        <v>229</v>
      </c>
      <c r="D541" t="s">
        <v>482</v>
      </c>
      <c r="E541" t="s">
        <v>1362</v>
      </c>
      <c r="F541" t="s">
        <v>1363</v>
      </c>
      <c r="G541" t="s">
        <v>321</v>
      </c>
      <c r="H541" t="s">
        <v>326</v>
      </c>
      <c r="I541" t="s">
        <v>351</v>
      </c>
      <c r="J541" t="s">
        <v>363</v>
      </c>
      <c r="K541" t="s">
        <v>326</v>
      </c>
      <c r="L541" t="s">
        <v>591</v>
      </c>
      <c r="M541" t="s">
        <v>4875</v>
      </c>
      <c r="N541" t="s">
        <v>4876</v>
      </c>
      <c r="O541" t="s">
        <v>179</v>
      </c>
      <c r="P541" t="s">
        <v>178</v>
      </c>
    </row>
    <row r="542" spans="1:16" x14ac:dyDescent="0.25">
      <c r="A542">
        <v>282171</v>
      </c>
      <c r="B542" t="s">
        <v>263</v>
      </c>
      <c r="C542" t="s">
        <v>400</v>
      </c>
      <c r="D542" t="s">
        <v>480</v>
      </c>
      <c r="E542" t="s">
        <v>1364</v>
      </c>
      <c r="F542" t="s">
        <v>1365</v>
      </c>
      <c r="G542" t="s">
        <v>320</v>
      </c>
      <c r="H542" t="s">
        <v>335</v>
      </c>
      <c r="I542" t="s">
        <v>351</v>
      </c>
      <c r="J542" t="s">
        <v>402</v>
      </c>
      <c r="K542" t="s">
        <v>336</v>
      </c>
      <c r="L542" t="s">
        <v>657</v>
      </c>
      <c r="M542" t="s">
        <v>4877</v>
      </c>
      <c r="N542" t="s">
        <v>4878</v>
      </c>
      <c r="O542" t="s">
        <v>179</v>
      </c>
      <c r="P542" t="s">
        <v>178</v>
      </c>
    </row>
    <row r="543" spans="1:16" x14ac:dyDescent="0.25">
      <c r="A543">
        <v>16992</v>
      </c>
      <c r="B543" t="s">
        <v>263</v>
      </c>
      <c r="C543" t="s">
        <v>3</v>
      </c>
      <c r="D543" t="s">
        <v>528</v>
      </c>
      <c r="E543" t="s">
        <v>1074</v>
      </c>
      <c r="F543" t="s">
        <v>1075</v>
      </c>
      <c r="G543" t="s">
        <v>319</v>
      </c>
      <c r="H543" t="s">
        <v>326</v>
      </c>
      <c r="I543" t="s">
        <v>337</v>
      </c>
      <c r="J543" t="s">
        <v>344</v>
      </c>
      <c r="K543" t="s">
        <v>326</v>
      </c>
      <c r="L543" t="s">
        <v>4246</v>
      </c>
      <c r="M543" t="s">
        <v>4247</v>
      </c>
      <c r="N543" t="s">
        <v>4248</v>
      </c>
      <c r="O543" t="s">
        <v>177</v>
      </c>
      <c r="P543" t="s">
        <v>178</v>
      </c>
    </row>
    <row r="544" spans="1:16" x14ac:dyDescent="0.25">
      <c r="A544">
        <v>16747</v>
      </c>
      <c r="B544" t="s">
        <v>263</v>
      </c>
      <c r="C544" t="s">
        <v>608</v>
      </c>
      <c r="D544" t="s">
        <v>517</v>
      </c>
      <c r="E544" t="s">
        <v>1366</v>
      </c>
      <c r="F544" t="s">
        <v>1367</v>
      </c>
      <c r="G544" t="s">
        <v>317</v>
      </c>
      <c r="H544" t="s">
        <v>323</v>
      </c>
      <c r="I544" t="s">
        <v>344</v>
      </c>
      <c r="J544" t="s">
        <v>363</v>
      </c>
      <c r="K544" t="s">
        <v>325</v>
      </c>
      <c r="L544" t="s">
        <v>658</v>
      </c>
      <c r="M544" t="s">
        <v>4304</v>
      </c>
      <c r="N544" t="s">
        <v>4305</v>
      </c>
      <c r="O544" t="s">
        <v>186</v>
      </c>
      <c r="P544" t="s">
        <v>178</v>
      </c>
    </row>
    <row r="545" spans="1:16" x14ac:dyDescent="0.25">
      <c r="A545">
        <v>180591</v>
      </c>
      <c r="B545" t="s">
        <v>263</v>
      </c>
      <c r="C545" t="s">
        <v>407</v>
      </c>
      <c r="D545" t="s">
        <v>486</v>
      </c>
      <c r="E545" t="s">
        <v>1368</v>
      </c>
      <c r="F545" t="s">
        <v>1369</v>
      </c>
      <c r="G545" t="s">
        <v>319</v>
      </c>
      <c r="H545" t="s">
        <v>321</v>
      </c>
      <c r="I545" t="s">
        <v>360</v>
      </c>
      <c r="J545" t="s">
        <v>360</v>
      </c>
      <c r="K545" t="s">
        <v>329</v>
      </c>
      <c r="L545" t="s">
        <v>659</v>
      </c>
      <c r="M545" t="s">
        <v>4879</v>
      </c>
      <c r="N545" t="s">
        <v>4880</v>
      </c>
      <c r="O545" t="s">
        <v>180</v>
      </c>
      <c r="P545" t="s">
        <v>178</v>
      </c>
    </row>
    <row r="546" spans="1:16" x14ac:dyDescent="0.25">
      <c r="A546">
        <v>356123</v>
      </c>
      <c r="B546" t="s">
        <v>263</v>
      </c>
      <c r="C546" t="s">
        <v>1823</v>
      </c>
      <c r="D546" t="s">
        <v>478</v>
      </c>
      <c r="E546" t="s">
        <v>1824</v>
      </c>
      <c r="F546" t="s">
        <v>1825</v>
      </c>
      <c r="G546" t="s">
        <v>317</v>
      </c>
      <c r="H546" t="s">
        <v>321</v>
      </c>
      <c r="I546" t="s">
        <v>344</v>
      </c>
      <c r="J546" t="s">
        <v>344</v>
      </c>
      <c r="K546" t="s">
        <v>336</v>
      </c>
      <c r="L546" t="s">
        <v>4981</v>
      </c>
      <c r="M546" t="s">
        <v>4982</v>
      </c>
      <c r="N546" t="s">
        <v>4983</v>
      </c>
      <c r="O546" t="s">
        <v>187</v>
      </c>
      <c r="P546" t="s">
        <v>178</v>
      </c>
    </row>
    <row r="547" spans="1:16" x14ac:dyDescent="0.25">
      <c r="A547">
        <v>233078</v>
      </c>
      <c r="B547" t="s">
        <v>263</v>
      </c>
      <c r="C547" t="s">
        <v>40</v>
      </c>
      <c r="D547" t="s">
        <v>507</v>
      </c>
      <c r="E547" t="s">
        <v>1076</v>
      </c>
      <c r="F547" t="s">
        <v>1077</v>
      </c>
      <c r="G547" t="s">
        <v>320</v>
      </c>
      <c r="H547" t="s">
        <v>323</v>
      </c>
      <c r="I547" t="s">
        <v>547</v>
      </c>
      <c r="J547" t="s">
        <v>563</v>
      </c>
      <c r="K547" t="s">
        <v>336</v>
      </c>
      <c r="L547" t="s">
        <v>4608</v>
      </c>
      <c r="M547" t="s">
        <v>4609</v>
      </c>
      <c r="N547" t="s">
        <v>323</v>
      </c>
      <c r="O547" t="s">
        <v>281</v>
      </c>
      <c r="P547" t="s">
        <v>178</v>
      </c>
    </row>
    <row r="548" spans="1:16" x14ac:dyDescent="0.25">
      <c r="A548">
        <v>12333</v>
      </c>
      <c r="B548" t="s">
        <v>263</v>
      </c>
      <c r="C548" t="s">
        <v>52</v>
      </c>
      <c r="D548" t="s">
        <v>528</v>
      </c>
      <c r="E548" t="s">
        <v>1078</v>
      </c>
      <c r="F548" t="s">
        <v>1079</v>
      </c>
      <c r="G548" t="s">
        <v>319</v>
      </c>
      <c r="H548" t="s">
        <v>319</v>
      </c>
      <c r="I548" t="s">
        <v>532</v>
      </c>
      <c r="J548" t="s">
        <v>540</v>
      </c>
      <c r="K548" t="s">
        <v>335</v>
      </c>
      <c r="L548" t="s">
        <v>777</v>
      </c>
      <c r="M548" t="s">
        <v>4249</v>
      </c>
      <c r="N548" t="s">
        <v>336</v>
      </c>
      <c r="O548" t="s">
        <v>284</v>
      </c>
      <c r="P548" t="s">
        <v>178</v>
      </c>
    </row>
    <row r="549" spans="1:16" x14ac:dyDescent="0.25">
      <c r="A549">
        <v>134352</v>
      </c>
      <c r="B549" t="s">
        <v>263</v>
      </c>
      <c r="C549" t="s">
        <v>2027</v>
      </c>
      <c r="D549" t="s">
        <v>536</v>
      </c>
      <c r="E549" t="s">
        <v>2028</v>
      </c>
      <c r="F549" t="s">
        <v>2029</v>
      </c>
      <c r="G549" t="s">
        <v>323</v>
      </c>
      <c r="H549" t="s">
        <v>351</v>
      </c>
      <c r="I549" t="s">
        <v>325</v>
      </c>
      <c r="J549" t="s">
        <v>344</v>
      </c>
      <c r="K549" t="s">
        <v>326</v>
      </c>
      <c r="L549" t="s">
        <v>2030</v>
      </c>
      <c r="M549" t="s">
        <v>4371</v>
      </c>
      <c r="N549" t="s">
        <v>4372</v>
      </c>
      <c r="O549" t="s">
        <v>179</v>
      </c>
      <c r="P549" t="s">
        <v>178</v>
      </c>
    </row>
    <row r="550" spans="1:16" x14ac:dyDescent="0.25">
      <c r="A550">
        <v>126163</v>
      </c>
      <c r="B550" t="s">
        <v>263</v>
      </c>
      <c r="C550" t="s">
        <v>1961</v>
      </c>
      <c r="D550" t="s">
        <v>503</v>
      </c>
      <c r="E550" t="s">
        <v>1962</v>
      </c>
      <c r="F550" t="s">
        <v>1963</v>
      </c>
      <c r="G550" t="s">
        <v>319</v>
      </c>
      <c r="H550" t="s">
        <v>321</v>
      </c>
      <c r="I550" t="s">
        <v>402</v>
      </c>
      <c r="J550" t="s">
        <v>402</v>
      </c>
      <c r="K550" t="s">
        <v>335</v>
      </c>
      <c r="L550" t="s">
        <v>4367</v>
      </c>
      <c r="M550" t="s">
        <v>4368</v>
      </c>
      <c r="N550" t="s">
        <v>4369</v>
      </c>
      <c r="O550" t="s">
        <v>187</v>
      </c>
      <c r="P550" t="s">
        <v>178</v>
      </c>
    </row>
    <row r="551" spans="1:16" x14ac:dyDescent="0.25">
      <c r="A551">
        <v>374447</v>
      </c>
      <c r="B551" t="s">
        <v>263</v>
      </c>
      <c r="C551" t="s">
        <v>83</v>
      </c>
      <c r="D551" t="s">
        <v>493</v>
      </c>
      <c r="E551" t="s">
        <v>1080</v>
      </c>
      <c r="F551" t="s">
        <v>1081</v>
      </c>
      <c r="G551" t="s">
        <v>319</v>
      </c>
      <c r="H551" t="s">
        <v>323</v>
      </c>
      <c r="I551" t="s">
        <v>322</v>
      </c>
      <c r="J551" t="s">
        <v>344</v>
      </c>
      <c r="K551" t="s">
        <v>326</v>
      </c>
      <c r="L551" t="s">
        <v>317</v>
      </c>
      <c r="M551" t="s">
        <v>778</v>
      </c>
      <c r="N551" t="s">
        <v>160</v>
      </c>
      <c r="O551" t="s">
        <v>187</v>
      </c>
      <c r="P551" t="s">
        <v>178</v>
      </c>
    </row>
    <row r="552" spans="1:16" x14ac:dyDescent="0.25">
      <c r="A552">
        <v>268864</v>
      </c>
      <c r="B552" t="s">
        <v>263</v>
      </c>
      <c r="C552" t="s">
        <v>102</v>
      </c>
      <c r="D552" t="s">
        <v>491</v>
      </c>
      <c r="E552" t="s">
        <v>1370</v>
      </c>
      <c r="F552" t="s">
        <v>1371</v>
      </c>
      <c r="G552" t="s">
        <v>319</v>
      </c>
      <c r="H552" t="s">
        <v>319</v>
      </c>
      <c r="I552" t="s">
        <v>363</v>
      </c>
      <c r="J552" t="s">
        <v>372</v>
      </c>
      <c r="K552" t="s">
        <v>336</v>
      </c>
      <c r="L552" t="s">
        <v>4881</v>
      </c>
      <c r="M552" t="s">
        <v>4882</v>
      </c>
      <c r="N552" t="s">
        <v>604</v>
      </c>
      <c r="O552" t="s">
        <v>580</v>
      </c>
      <c r="P552" t="s">
        <v>178</v>
      </c>
    </row>
    <row r="553" spans="1:16" x14ac:dyDescent="0.25">
      <c r="A553">
        <v>290359</v>
      </c>
      <c r="B553" t="s">
        <v>263</v>
      </c>
      <c r="C553" t="s">
        <v>2070</v>
      </c>
      <c r="D553" t="s">
        <v>480</v>
      </c>
      <c r="E553" t="s">
        <v>2071</v>
      </c>
      <c r="F553" t="s">
        <v>2072</v>
      </c>
      <c r="G553" t="s">
        <v>319</v>
      </c>
      <c r="H553" t="s">
        <v>319</v>
      </c>
      <c r="I553" t="s">
        <v>363</v>
      </c>
      <c r="J553" t="s">
        <v>372</v>
      </c>
      <c r="K553" t="s">
        <v>336</v>
      </c>
      <c r="L553" t="s">
        <v>5074</v>
      </c>
      <c r="M553" t="s">
        <v>5075</v>
      </c>
      <c r="N553" t="s">
        <v>1671</v>
      </c>
      <c r="O553" t="s">
        <v>580</v>
      </c>
      <c r="P553" t="s">
        <v>178</v>
      </c>
    </row>
    <row r="554" spans="1:16" x14ac:dyDescent="0.25">
      <c r="A554">
        <v>247763</v>
      </c>
      <c r="B554" t="s">
        <v>263</v>
      </c>
      <c r="C554" t="s">
        <v>1776</v>
      </c>
      <c r="D554" t="s">
        <v>482</v>
      </c>
      <c r="E554" t="s">
        <v>1777</v>
      </c>
      <c r="F554" t="s">
        <v>1778</v>
      </c>
      <c r="G554" t="s">
        <v>317</v>
      </c>
      <c r="H554" t="s">
        <v>321</v>
      </c>
      <c r="I554" t="s">
        <v>393</v>
      </c>
      <c r="J554" t="s">
        <v>519</v>
      </c>
      <c r="K554" t="s">
        <v>333</v>
      </c>
      <c r="L554" t="s">
        <v>4963</v>
      </c>
      <c r="M554" t="s">
        <v>4964</v>
      </c>
      <c r="N554" t="s">
        <v>365</v>
      </c>
      <c r="O554" t="s">
        <v>187</v>
      </c>
      <c r="P554" t="s">
        <v>178</v>
      </c>
    </row>
    <row r="555" spans="1:16" x14ac:dyDescent="0.25">
      <c r="A555">
        <v>340466</v>
      </c>
      <c r="B555" t="s">
        <v>263</v>
      </c>
      <c r="C555" t="s">
        <v>2356</v>
      </c>
      <c r="D555" t="s">
        <v>483</v>
      </c>
      <c r="E555" t="s">
        <v>2357</v>
      </c>
      <c r="F555" t="s">
        <v>2358</v>
      </c>
      <c r="G555" t="s">
        <v>320</v>
      </c>
      <c r="H555" t="s">
        <v>323</v>
      </c>
      <c r="I555" t="s">
        <v>532</v>
      </c>
      <c r="J555" t="s">
        <v>547</v>
      </c>
      <c r="K555" t="s">
        <v>336</v>
      </c>
      <c r="L555" t="s">
        <v>5179</v>
      </c>
      <c r="M555" t="s">
        <v>5180</v>
      </c>
      <c r="N555" t="s">
        <v>5181</v>
      </c>
      <c r="O555" t="s">
        <v>193</v>
      </c>
      <c r="P555" t="s">
        <v>178</v>
      </c>
    </row>
    <row r="556" spans="1:16" x14ac:dyDescent="0.25">
      <c r="A556">
        <v>266121</v>
      </c>
      <c r="B556" t="s">
        <v>263</v>
      </c>
      <c r="C556" t="s">
        <v>2216</v>
      </c>
      <c r="D556" t="s">
        <v>482</v>
      </c>
      <c r="E556" t="s">
        <v>2217</v>
      </c>
      <c r="F556" t="s">
        <v>2218</v>
      </c>
      <c r="G556" t="s">
        <v>317</v>
      </c>
      <c r="H556" t="s">
        <v>323</v>
      </c>
      <c r="I556" t="s">
        <v>372</v>
      </c>
      <c r="J556" t="s">
        <v>372</v>
      </c>
      <c r="K556" t="s">
        <v>329</v>
      </c>
      <c r="L556" t="s">
        <v>5132</v>
      </c>
      <c r="M556" t="s">
        <v>5133</v>
      </c>
      <c r="N556" t="s">
        <v>5134</v>
      </c>
      <c r="O556" t="s">
        <v>193</v>
      </c>
      <c r="P556" t="s">
        <v>184</v>
      </c>
    </row>
    <row r="557" spans="1:16" x14ac:dyDescent="0.25">
      <c r="A557">
        <v>391995</v>
      </c>
      <c r="B557" t="s">
        <v>263</v>
      </c>
      <c r="C557" t="s">
        <v>780</v>
      </c>
      <c r="D557" t="s">
        <v>493</v>
      </c>
      <c r="E557" t="s">
        <v>1108</v>
      </c>
      <c r="F557" t="s">
        <v>1109</v>
      </c>
      <c r="G557" t="s">
        <v>317</v>
      </c>
      <c r="H557" t="s">
        <v>323</v>
      </c>
      <c r="I557" t="s">
        <v>351</v>
      </c>
      <c r="J557" t="s">
        <v>372</v>
      </c>
      <c r="K557" t="s">
        <v>329</v>
      </c>
      <c r="L557" t="s">
        <v>504</v>
      </c>
      <c r="M557" t="s">
        <v>5245</v>
      </c>
      <c r="N557" t="s">
        <v>5246</v>
      </c>
      <c r="O557" t="s">
        <v>183</v>
      </c>
      <c r="P557" t="s">
        <v>184</v>
      </c>
    </row>
    <row r="558" spans="1:16" x14ac:dyDescent="0.25">
      <c r="A558">
        <v>274637</v>
      </c>
      <c r="B558" t="s">
        <v>263</v>
      </c>
      <c r="C558" t="s">
        <v>1773</v>
      </c>
      <c r="D558" t="s">
        <v>491</v>
      </c>
      <c r="E558" t="s">
        <v>1774</v>
      </c>
      <c r="F558" t="s">
        <v>1775</v>
      </c>
      <c r="G558" t="s">
        <v>319</v>
      </c>
      <c r="H558" t="s">
        <v>321</v>
      </c>
      <c r="I558" t="s">
        <v>344</v>
      </c>
      <c r="J558" t="s">
        <v>360</v>
      </c>
      <c r="K558" t="s">
        <v>328</v>
      </c>
      <c r="L558" t="s">
        <v>4960</v>
      </c>
      <c r="M558" t="s">
        <v>4961</v>
      </c>
      <c r="N558" t="s">
        <v>4962</v>
      </c>
      <c r="O558" t="s">
        <v>187</v>
      </c>
      <c r="P558" t="s">
        <v>178</v>
      </c>
    </row>
    <row r="559" spans="1:16" x14ac:dyDescent="0.25">
      <c r="A559">
        <v>294484</v>
      </c>
      <c r="B559" t="s">
        <v>263</v>
      </c>
      <c r="C559" t="s">
        <v>2061</v>
      </c>
      <c r="D559" t="s">
        <v>480</v>
      </c>
      <c r="E559" t="s">
        <v>2062</v>
      </c>
      <c r="F559" t="s">
        <v>2063</v>
      </c>
      <c r="G559" t="s">
        <v>319</v>
      </c>
      <c r="H559" t="s">
        <v>321</v>
      </c>
      <c r="I559" t="s">
        <v>344</v>
      </c>
      <c r="J559" t="s">
        <v>360</v>
      </c>
      <c r="K559" t="s">
        <v>328</v>
      </c>
      <c r="L559" t="s">
        <v>5066</v>
      </c>
      <c r="M559" t="s">
        <v>5067</v>
      </c>
      <c r="N559" t="s">
        <v>5068</v>
      </c>
      <c r="O559" t="s">
        <v>187</v>
      </c>
      <c r="P559" t="s">
        <v>178</v>
      </c>
    </row>
    <row r="560" spans="1:16" x14ac:dyDescent="0.25">
      <c r="A560">
        <v>325635</v>
      </c>
      <c r="B560" t="s">
        <v>263</v>
      </c>
      <c r="C560" t="s">
        <v>2064</v>
      </c>
      <c r="D560" t="s">
        <v>480</v>
      </c>
      <c r="E560" t="s">
        <v>2065</v>
      </c>
      <c r="F560" t="s">
        <v>2066</v>
      </c>
      <c r="G560" t="s">
        <v>319</v>
      </c>
      <c r="H560" t="s">
        <v>319</v>
      </c>
      <c r="I560" t="s">
        <v>344</v>
      </c>
      <c r="J560" t="s">
        <v>344</v>
      </c>
      <c r="K560" t="s">
        <v>328</v>
      </c>
      <c r="L560" t="s">
        <v>319</v>
      </c>
      <c r="M560" t="s">
        <v>5069</v>
      </c>
      <c r="N560" t="s">
        <v>5070</v>
      </c>
      <c r="O560" t="s">
        <v>187</v>
      </c>
      <c r="P560" t="s">
        <v>178</v>
      </c>
    </row>
    <row r="561" spans="1:16" x14ac:dyDescent="0.25">
      <c r="A561">
        <v>2223</v>
      </c>
      <c r="B561" t="s">
        <v>263</v>
      </c>
      <c r="C561" t="s">
        <v>285</v>
      </c>
      <c r="D561" t="s">
        <v>564</v>
      </c>
      <c r="E561" t="s">
        <v>1082</v>
      </c>
      <c r="F561" t="s">
        <v>1083</v>
      </c>
      <c r="G561" t="s">
        <v>319</v>
      </c>
      <c r="H561" t="s">
        <v>329</v>
      </c>
      <c r="I561" t="s">
        <v>351</v>
      </c>
      <c r="J561" t="s">
        <v>351</v>
      </c>
      <c r="K561" t="s">
        <v>323</v>
      </c>
      <c r="L561" t="s">
        <v>4250</v>
      </c>
      <c r="M561" t="s">
        <v>4251</v>
      </c>
      <c r="N561" t="s">
        <v>4252</v>
      </c>
      <c r="O561" t="s">
        <v>180</v>
      </c>
      <c r="P561" t="s">
        <v>178</v>
      </c>
    </row>
    <row r="562" spans="1:16" x14ac:dyDescent="0.25">
      <c r="A562">
        <v>399088</v>
      </c>
      <c r="B562" t="s">
        <v>263</v>
      </c>
      <c r="C562" t="s">
        <v>473</v>
      </c>
      <c r="D562" t="s">
        <v>493</v>
      </c>
      <c r="E562" t="s">
        <v>1084</v>
      </c>
      <c r="F562" t="s">
        <v>1085</v>
      </c>
      <c r="G562" t="s">
        <v>319</v>
      </c>
      <c r="H562" t="s">
        <v>323</v>
      </c>
      <c r="I562" t="s">
        <v>337</v>
      </c>
      <c r="J562" t="s">
        <v>351</v>
      </c>
      <c r="K562" t="s">
        <v>325</v>
      </c>
      <c r="L562" t="s">
        <v>5239</v>
      </c>
      <c r="M562" t="s">
        <v>5240</v>
      </c>
      <c r="N562" t="s">
        <v>5241</v>
      </c>
      <c r="O562" t="s">
        <v>186</v>
      </c>
      <c r="P562" t="s">
        <v>178</v>
      </c>
    </row>
    <row r="563" spans="1:16" x14ac:dyDescent="0.25">
      <c r="A563">
        <v>385624</v>
      </c>
      <c r="B563" t="s">
        <v>263</v>
      </c>
      <c r="C563" t="s">
        <v>1518</v>
      </c>
      <c r="D563" t="s">
        <v>493</v>
      </c>
      <c r="E563" t="s">
        <v>1519</v>
      </c>
      <c r="F563" t="s">
        <v>1520</v>
      </c>
      <c r="G563" t="s">
        <v>160</v>
      </c>
      <c r="H563" t="s">
        <v>160</v>
      </c>
      <c r="I563" t="s">
        <v>160</v>
      </c>
      <c r="J563" t="s">
        <v>160</v>
      </c>
      <c r="K563" t="s">
        <v>160</v>
      </c>
      <c r="L563" t="s">
        <v>495</v>
      </c>
      <c r="M563" t="s">
        <v>495</v>
      </c>
      <c r="N563" t="s">
        <v>160</v>
      </c>
      <c r="O563" t="s">
        <v>1464</v>
      </c>
      <c r="P563" t="s">
        <v>178</v>
      </c>
    </row>
    <row r="564" spans="1:16" x14ac:dyDescent="0.25">
      <c r="A564">
        <v>394128</v>
      </c>
      <c r="B564" t="s">
        <v>263</v>
      </c>
      <c r="C564" t="s">
        <v>1564</v>
      </c>
      <c r="D564" t="s">
        <v>493</v>
      </c>
      <c r="E564" t="s">
        <v>1565</v>
      </c>
      <c r="F564" t="s">
        <v>1566</v>
      </c>
      <c r="G564" t="s">
        <v>319</v>
      </c>
      <c r="H564" t="s">
        <v>321</v>
      </c>
      <c r="I564" t="s">
        <v>351</v>
      </c>
      <c r="J564" t="s">
        <v>382</v>
      </c>
      <c r="K564" t="s">
        <v>336</v>
      </c>
      <c r="L564" t="s">
        <v>495</v>
      </c>
      <c r="M564" t="s">
        <v>1567</v>
      </c>
      <c r="N564" t="s">
        <v>160</v>
      </c>
      <c r="O564" t="s">
        <v>187</v>
      </c>
      <c r="P564" t="s">
        <v>178</v>
      </c>
    </row>
    <row r="565" spans="1:16" x14ac:dyDescent="0.25">
      <c r="A565">
        <v>242045</v>
      </c>
      <c r="B565" t="s">
        <v>263</v>
      </c>
      <c r="C565" t="s">
        <v>1655</v>
      </c>
      <c r="D565" t="s">
        <v>507</v>
      </c>
      <c r="E565" t="s">
        <v>160</v>
      </c>
      <c r="F565" t="s">
        <v>160</v>
      </c>
      <c r="G565" t="s">
        <v>319</v>
      </c>
      <c r="H565" t="s">
        <v>323</v>
      </c>
      <c r="I565" t="s">
        <v>372</v>
      </c>
      <c r="J565" t="s">
        <v>532</v>
      </c>
      <c r="K565" t="s">
        <v>333</v>
      </c>
      <c r="L565" t="s">
        <v>495</v>
      </c>
      <c r="M565" t="s">
        <v>495</v>
      </c>
      <c r="N565" t="s">
        <v>160</v>
      </c>
      <c r="O565" t="s">
        <v>192</v>
      </c>
      <c r="P565" t="s">
        <v>178</v>
      </c>
    </row>
    <row r="566" spans="1:16" x14ac:dyDescent="0.25">
      <c r="A566">
        <v>15364</v>
      </c>
      <c r="B566" t="s">
        <v>263</v>
      </c>
      <c r="C566" t="s">
        <v>4035</v>
      </c>
      <c r="D566" t="s">
        <v>528</v>
      </c>
      <c r="E566" t="s">
        <v>4036</v>
      </c>
      <c r="F566" t="s">
        <v>4037</v>
      </c>
      <c r="G566" t="s">
        <v>320</v>
      </c>
      <c r="H566" t="s">
        <v>322</v>
      </c>
      <c r="I566" t="s">
        <v>388</v>
      </c>
      <c r="J566" t="s">
        <v>388</v>
      </c>
      <c r="K566" t="s">
        <v>333</v>
      </c>
      <c r="L566" t="s">
        <v>4038</v>
      </c>
      <c r="M566" t="s">
        <v>4039</v>
      </c>
      <c r="N566" t="s">
        <v>4040</v>
      </c>
      <c r="O566" t="s">
        <v>187</v>
      </c>
      <c r="P566" t="s">
        <v>178</v>
      </c>
    </row>
    <row r="567" spans="1:16" x14ac:dyDescent="0.25">
      <c r="A567">
        <v>296151</v>
      </c>
      <c r="B567" t="s">
        <v>263</v>
      </c>
      <c r="C567" t="s">
        <v>1679</v>
      </c>
      <c r="D567" t="s">
        <v>480</v>
      </c>
      <c r="E567" t="s">
        <v>1680</v>
      </c>
      <c r="F567" t="s">
        <v>1681</v>
      </c>
      <c r="G567" t="s">
        <v>317</v>
      </c>
      <c r="H567" t="s">
        <v>321</v>
      </c>
      <c r="I567" t="s">
        <v>372</v>
      </c>
      <c r="J567" t="s">
        <v>402</v>
      </c>
      <c r="K567" t="s">
        <v>333</v>
      </c>
      <c r="L567" t="s">
        <v>4929</v>
      </c>
      <c r="M567" t="s">
        <v>4930</v>
      </c>
      <c r="N567" t="s">
        <v>4931</v>
      </c>
      <c r="O567" t="s">
        <v>187</v>
      </c>
      <c r="P567" t="s">
        <v>178</v>
      </c>
    </row>
    <row r="568" spans="1:16" x14ac:dyDescent="0.25">
      <c r="A568">
        <v>183394</v>
      </c>
      <c r="B568" t="s">
        <v>263</v>
      </c>
      <c r="C568" t="s">
        <v>203</v>
      </c>
      <c r="D568" t="s">
        <v>486</v>
      </c>
      <c r="E568" t="s">
        <v>1086</v>
      </c>
      <c r="F568" t="s">
        <v>1087</v>
      </c>
      <c r="G568" t="s">
        <v>317</v>
      </c>
      <c r="H568" t="s">
        <v>323</v>
      </c>
      <c r="I568" t="s">
        <v>363</v>
      </c>
      <c r="J568" t="s">
        <v>402</v>
      </c>
      <c r="K568" t="s">
        <v>335</v>
      </c>
      <c r="L568" t="s">
        <v>4610</v>
      </c>
      <c r="M568" t="s">
        <v>4611</v>
      </c>
      <c r="N568" t="s">
        <v>776</v>
      </c>
      <c r="O568" t="s">
        <v>187</v>
      </c>
      <c r="P568" t="s">
        <v>178</v>
      </c>
    </row>
    <row r="569" spans="1:16" x14ac:dyDescent="0.25">
      <c r="A569">
        <v>249259</v>
      </c>
      <c r="B569" t="s">
        <v>263</v>
      </c>
      <c r="C569" t="s">
        <v>2067</v>
      </c>
      <c r="D569" t="s">
        <v>482</v>
      </c>
      <c r="E569" t="s">
        <v>2068</v>
      </c>
      <c r="F569" t="s">
        <v>2069</v>
      </c>
      <c r="G569" t="s">
        <v>319</v>
      </c>
      <c r="H569" t="s">
        <v>321</v>
      </c>
      <c r="I569" t="s">
        <v>351</v>
      </c>
      <c r="J569" t="s">
        <v>351</v>
      </c>
      <c r="K569" t="s">
        <v>336</v>
      </c>
      <c r="L569" t="s">
        <v>5071</v>
      </c>
      <c r="M569" t="s">
        <v>5072</v>
      </c>
      <c r="N569" t="s">
        <v>5073</v>
      </c>
      <c r="O569" t="s">
        <v>192</v>
      </c>
      <c r="P569" t="s">
        <v>178</v>
      </c>
    </row>
    <row r="570" spans="1:16" x14ac:dyDescent="0.25">
      <c r="A570">
        <v>115746</v>
      </c>
      <c r="B570" t="s">
        <v>263</v>
      </c>
      <c r="C570" t="s">
        <v>1696</v>
      </c>
      <c r="D570" t="s">
        <v>518</v>
      </c>
      <c r="E570" t="s">
        <v>1697</v>
      </c>
      <c r="F570" t="s">
        <v>1698</v>
      </c>
      <c r="G570" t="s">
        <v>319</v>
      </c>
      <c r="H570" t="s">
        <v>321</v>
      </c>
      <c r="I570" t="s">
        <v>519</v>
      </c>
      <c r="J570" t="s">
        <v>547</v>
      </c>
      <c r="K570" t="s">
        <v>335</v>
      </c>
      <c r="L570" t="s">
        <v>4342</v>
      </c>
      <c r="M570" t="s">
        <v>4343</v>
      </c>
      <c r="N570" t="s">
        <v>326</v>
      </c>
      <c r="O570" t="s">
        <v>1699</v>
      </c>
      <c r="P570" t="s">
        <v>178</v>
      </c>
    </row>
    <row r="571" spans="1:16" x14ac:dyDescent="0.25">
      <c r="A571">
        <v>362944</v>
      </c>
      <c r="B571" t="s">
        <v>263</v>
      </c>
      <c r="C571" t="s">
        <v>1994</v>
      </c>
      <c r="D571" t="s">
        <v>478</v>
      </c>
      <c r="E571" t="s">
        <v>1995</v>
      </c>
      <c r="F571" t="s">
        <v>1996</v>
      </c>
      <c r="G571" t="s">
        <v>319</v>
      </c>
      <c r="H571" t="s">
        <v>321</v>
      </c>
      <c r="I571" t="s">
        <v>402</v>
      </c>
      <c r="J571" t="s">
        <v>532</v>
      </c>
      <c r="K571" t="s">
        <v>335</v>
      </c>
      <c r="L571" t="s">
        <v>5032</v>
      </c>
      <c r="M571" t="s">
        <v>5033</v>
      </c>
      <c r="N571" t="s">
        <v>1997</v>
      </c>
      <c r="O571" t="s">
        <v>281</v>
      </c>
      <c r="P571" t="s">
        <v>178</v>
      </c>
    </row>
    <row r="572" spans="1:16" x14ac:dyDescent="0.25">
      <c r="A572">
        <v>274364</v>
      </c>
      <c r="B572" t="s">
        <v>263</v>
      </c>
      <c r="C572" t="s">
        <v>101</v>
      </c>
      <c r="D572" t="s">
        <v>491</v>
      </c>
      <c r="E572" t="s">
        <v>1372</v>
      </c>
      <c r="F572" t="s">
        <v>1373</v>
      </c>
      <c r="G572" t="s">
        <v>319</v>
      </c>
      <c r="H572" t="s">
        <v>319</v>
      </c>
      <c r="I572" t="s">
        <v>351</v>
      </c>
      <c r="J572" t="s">
        <v>372</v>
      </c>
      <c r="K572" t="s">
        <v>333</v>
      </c>
      <c r="L572" t="s">
        <v>4883</v>
      </c>
      <c r="M572" t="s">
        <v>4884</v>
      </c>
      <c r="N572" t="s">
        <v>603</v>
      </c>
      <c r="O572" t="s">
        <v>187</v>
      </c>
      <c r="P572" t="s">
        <v>178</v>
      </c>
    </row>
    <row r="573" spans="1:16" x14ac:dyDescent="0.25">
      <c r="A573">
        <v>262543</v>
      </c>
      <c r="B573" t="s">
        <v>263</v>
      </c>
      <c r="C573" t="s">
        <v>97</v>
      </c>
      <c r="D573" t="s">
        <v>491</v>
      </c>
      <c r="E573" t="s">
        <v>1088</v>
      </c>
      <c r="F573" t="s">
        <v>1089</v>
      </c>
      <c r="G573" t="s">
        <v>319</v>
      </c>
      <c r="H573" t="s">
        <v>333</v>
      </c>
      <c r="I573" t="s">
        <v>351</v>
      </c>
      <c r="J573" t="s">
        <v>363</v>
      </c>
      <c r="K573" t="s">
        <v>336</v>
      </c>
      <c r="L573" t="s">
        <v>4612</v>
      </c>
      <c r="M573" t="s">
        <v>4613</v>
      </c>
      <c r="N573" t="s">
        <v>4614</v>
      </c>
      <c r="O573" t="s">
        <v>179</v>
      </c>
      <c r="P573" t="s">
        <v>178</v>
      </c>
    </row>
    <row r="574" spans="1:16" x14ac:dyDescent="0.25">
      <c r="A574">
        <v>233867</v>
      </c>
      <c r="B574" t="s">
        <v>263</v>
      </c>
      <c r="C574" t="s">
        <v>605</v>
      </c>
      <c r="D574" t="s">
        <v>482</v>
      </c>
      <c r="E574" t="s">
        <v>1374</v>
      </c>
      <c r="F574" t="s">
        <v>1375</v>
      </c>
      <c r="G574" t="s">
        <v>317</v>
      </c>
      <c r="H574" t="s">
        <v>413</v>
      </c>
      <c r="I574" t="s">
        <v>348</v>
      </c>
      <c r="J574" t="s">
        <v>348</v>
      </c>
      <c r="K574" t="s">
        <v>329</v>
      </c>
      <c r="L574" t="s">
        <v>4885</v>
      </c>
      <c r="M574" t="s">
        <v>4886</v>
      </c>
      <c r="N574" t="s">
        <v>4887</v>
      </c>
      <c r="O574" t="s">
        <v>180</v>
      </c>
      <c r="P574" t="s">
        <v>178</v>
      </c>
    </row>
    <row r="575" spans="1:16" x14ac:dyDescent="0.25">
      <c r="A575">
        <v>219215</v>
      </c>
      <c r="B575" t="s">
        <v>263</v>
      </c>
      <c r="C575" t="s">
        <v>2031</v>
      </c>
      <c r="D575" t="s">
        <v>507</v>
      </c>
      <c r="E575" t="s">
        <v>2032</v>
      </c>
      <c r="F575" t="s">
        <v>2033</v>
      </c>
      <c r="G575" t="s">
        <v>321</v>
      </c>
      <c r="H575" t="s">
        <v>329</v>
      </c>
      <c r="I575" t="s">
        <v>329</v>
      </c>
      <c r="J575" t="s">
        <v>329</v>
      </c>
      <c r="K575" t="s">
        <v>326</v>
      </c>
      <c r="L575" t="s">
        <v>2034</v>
      </c>
      <c r="M575" t="s">
        <v>5049</v>
      </c>
      <c r="N575" t="s">
        <v>5050</v>
      </c>
      <c r="O575" t="s">
        <v>179</v>
      </c>
      <c r="P575" t="s">
        <v>178</v>
      </c>
    </row>
    <row r="576" spans="1:16" x14ac:dyDescent="0.25">
      <c r="A576">
        <v>232405</v>
      </c>
      <c r="B576" t="s">
        <v>263</v>
      </c>
      <c r="C576" t="s">
        <v>5</v>
      </c>
      <c r="D576" t="s">
        <v>482</v>
      </c>
      <c r="E576" t="s">
        <v>1090</v>
      </c>
      <c r="F576" t="s">
        <v>1091</v>
      </c>
      <c r="G576" t="s">
        <v>319</v>
      </c>
      <c r="H576" t="s">
        <v>323</v>
      </c>
      <c r="I576" t="s">
        <v>372</v>
      </c>
      <c r="J576" t="s">
        <v>402</v>
      </c>
      <c r="K576" t="s">
        <v>336</v>
      </c>
      <c r="L576" t="s">
        <v>4615</v>
      </c>
      <c r="M576" t="s">
        <v>4616</v>
      </c>
      <c r="N576" t="s">
        <v>4617</v>
      </c>
      <c r="O576" t="s">
        <v>193</v>
      </c>
      <c r="P576" t="s">
        <v>178</v>
      </c>
    </row>
    <row r="577" spans="1:16" x14ac:dyDescent="0.25">
      <c r="A577">
        <v>266192</v>
      </c>
      <c r="B577" t="s">
        <v>263</v>
      </c>
      <c r="C577" t="s">
        <v>103</v>
      </c>
      <c r="D577" t="s">
        <v>491</v>
      </c>
      <c r="E577" t="s">
        <v>1092</v>
      </c>
      <c r="F577" t="s">
        <v>1093</v>
      </c>
      <c r="G577" t="s">
        <v>317</v>
      </c>
      <c r="H577" t="s">
        <v>322</v>
      </c>
      <c r="I577" t="s">
        <v>360</v>
      </c>
      <c r="J577" t="s">
        <v>382</v>
      </c>
      <c r="K577" t="s">
        <v>329</v>
      </c>
      <c r="L577" t="s">
        <v>4618</v>
      </c>
      <c r="M577" t="s">
        <v>4619</v>
      </c>
      <c r="N577" t="s">
        <v>1746</v>
      </c>
      <c r="O577" t="s">
        <v>310</v>
      </c>
      <c r="P577" t="s">
        <v>178</v>
      </c>
    </row>
    <row r="578" spans="1:16" x14ac:dyDescent="0.25">
      <c r="A578">
        <v>366161</v>
      </c>
      <c r="B578" t="s">
        <v>263</v>
      </c>
      <c r="C578" t="s">
        <v>298</v>
      </c>
      <c r="D578" t="s">
        <v>478</v>
      </c>
      <c r="E578" t="s">
        <v>1094</v>
      </c>
      <c r="F578" t="s">
        <v>1095</v>
      </c>
      <c r="G578" t="s">
        <v>317</v>
      </c>
      <c r="H578" t="s">
        <v>319</v>
      </c>
      <c r="I578" t="s">
        <v>360</v>
      </c>
      <c r="J578" t="s">
        <v>382</v>
      </c>
      <c r="K578" t="s">
        <v>329</v>
      </c>
      <c r="L578" t="s">
        <v>4620</v>
      </c>
      <c r="M578" t="s">
        <v>4621</v>
      </c>
      <c r="N578" t="s">
        <v>779</v>
      </c>
      <c r="O578" t="s">
        <v>310</v>
      </c>
      <c r="P578" t="s">
        <v>178</v>
      </c>
    </row>
    <row r="579" spans="1:16" x14ac:dyDescent="0.25">
      <c r="A579">
        <v>303554</v>
      </c>
      <c r="B579" t="s">
        <v>263</v>
      </c>
      <c r="C579" t="s">
        <v>1682</v>
      </c>
      <c r="D579" t="s">
        <v>480</v>
      </c>
      <c r="E579" t="s">
        <v>1683</v>
      </c>
      <c r="F579" t="s">
        <v>1684</v>
      </c>
      <c r="G579" t="s">
        <v>319</v>
      </c>
      <c r="H579" t="s">
        <v>321</v>
      </c>
      <c r="I579" t="s">
        <v>363</v>
      </c>
      <c r="J579" t="s">
        <v>372</v>
      </c>
      <c r="K579" t="s">
        <v>336</v>
      </c>
      <c r="L579" t="s">
        <v>4932</v>
      </c>
      <c r="M579" t="s">
        <v>4933</v>
      </c>
      <c r="N579" t="s">
        <v>4934</v>
      </c>
      <c r="O579" t="s">
        <v>187</v>
      </c>
      <c r="P579" t="s">
        <v>178</v>
      </c>
    </row>
    <row r="580" spans="1:16" x14ac:dyDescent="0.25">
      <c r="A580">
        <v>20100</v>
      </c>
      <c r="B580" t="s">
        <v>263</v>
      </c>
      <c r="C580" t="s">
        <v>352</v>
      </c>
      <c r="D580" t="s">
        <v>528</v>
      </c>
      <c r="E580" t="s">
        <v>1376</v>
      </c>
      <c r="F580" t="s">
        <v>1377</v>
      </c>
      <c r="G580" t="s">
        <v>320</v>
      </c>
      <c r="H580" t="s">
        <v>325</v>
      </c>
      <c r="I580" t="s">
        <v>348</v>
      </c>
      <c r="J580" t="s">
        <v>348</v>
      </c>
      <c r="K580" t="s">
        <v>329</v>
      </c>
      <c r="L580" t="s">
        <v>606</v>
      </c>
      <c r="M580" t="s">
        <v>4306</v>
      </c>
      <c r="N580" t="s">
        <v>637</v>
      </c>
      <c r="O580" t="s">
        <v>179</v>
      </c>
      <c r="P580" t="s">
        <v>178</v>
      </c>
    </row>
    <row r="581" spans="1:16" x14ac:dyDescent="0.25">
      <c r="A581">
        <v>123239</v>
      </c>
      <c r="B581" t="s">
        <v>263</v>
      </c>
      <c r="C581" t="s">
        <v>271</v>
      </c>
      <c r="D581" t="s">
        <v>503</v>
      </c>
      <c r="E581" t="s">
        <v>1378</v>
      </c>
      <c r="F581" t="s">
        <v>1379</v>
      </c>
      <c r="G581" t="s">
        <v>321</v>
      </c>
      <c r="H581" t="s">
        <v>341</v>
      </c>
      <c r="I581" t="s">
        <v>348</v>
      </c>
      <c r="J581" t="s">
        <v>348</v>
      </c>
      <c r="K581" t="s">
        <v>326</v>
      </c>
      <c r="L581" t="s">
        <v>4278</v>
      </c>
      <c r="M581" t="s">
        <v>4307</v>
      </c>
      <c r="N581" t="s">
        <v>486</v>
      </c>
      <c r="O581" t="s">
        <v>179</v>
      </c>
      <c r="P581" t="s">
        <v>178</v>
      </c>
    </row>
    <row r="582" spans="1:16" x14ac:dyDescent="0.25">
      <c r="A582">
        <v>355093</v>
      </c>
      <c r="B582" t="s">
        <v>263</v>
      </c>
      <c r="C582" t="s">
        <v>2233</v>
      </c>
      <c r="D582" t="s">
        <v>478</v>
      </c>
      <c r="E582" t="s">
        <v>2234</v>
      </c>
      <c r="F582" t="s">
        <v>2235</v>
      </c>
      <c r="G582" t="s">
        <v>317</v>
      </c>
      <c r="H582" t="s">
        <v>321</v>
      </c>
      <c r="I582" t="s">
        <v>372</v>
      </c>
      <c r="J582" t="s">
        <v>532</v>
      </c>
      <c r="K582" t="s">
        <v>333</v>
      </c>
      <c r="L582" t="s">
        <v>5139</v>
      </c>
      <c r="M582" t="s">
        <v>5140</v>
      </c>
      <c r="N582" t="s">
        <v>5141</v>
      </c>
      <c r="O582" t="s">
        <v>187</v>
      </c>
      <c r="P582" t="s">
        <v>178</v>
      </c>
    </row>
    <row r="583" spans="1:16" x14ac:dyDescent="0.25">
      <c r="A583">
        <v>203411</v>
      </c>
      <c r="B583" t="s">
        <v>263</v>
      </c>
      <c r="C583" t="s">
        <v>373</v>
      </c>
      <c r="D583" t="s">
        <v>538</v>
      </c>
      <c r="E583" t="s">
        <v>1380</v>
      </c>
      <c r="F583" t="s">
        <v>1381</v>
      </c>
      <c r="G583" t="s">
        <v>320</v>
      </c>
      <c r="H583" t="s">
        <v>412</v>
      </c>
      <c r="I583" t="s">
        <v>363</v>
      </c>
      <c r="J583" t="s">
        <v>363</v>
      </c>
      <c r="K583" t="s">
        <v>333</v>
      </c>
      <c r="L583" t="s">
        <v>660</v>
      </c>
      <c r="M583" t="s">
        <v>4888</v>
      </c>
      <c r="N583" t="s">
        <v>4889</v>
      </c>
      <c r="O583" t="s">
        <v>179</v>
      </c>
      <c r="P583" t="s">
        <v>178</v>
      </c>
    </row>
    <row r="584" spans="1:16" x14ac:dyDescent="0.25">
      <c r="A584">
        <v>315624</v>
      </c>
      <c r="B584" t="s">
        <v>263</v>
      </c>
      <c r="C584" t="s">
        <v>84</v>
      </c>
      <c r="D584" t="s">
        <v>483</v>
      </c>
      <c r="E584" t="s">
        <v>1096</v>
      </c>
      <c r="F584" t="s">
        <v>1097</v>
      </c>
      <c r="G584" t="s">
        <v>317</v>
      </c>
      <c r="H584" t="s">
        <v>321</v>
      </c>
      <c r="I584" t="s">
        <v>329</v>
      </c>
      <c r="J584" t="s">
        <v>329</v>
      </c>
      <c r="K584" t="s">
        <v>329</v>
      </c>
      <c r="L584" t="s">
        <v>521</v>
      </c>
      <c r="M584" t="s">
        <v>4622</v>
      </c>
      <c r="N584" t="s">
        <v>4623</v>
      </c>
      <c r="O584" t="s">
        <v>188</v>
      </c>
      <c r="P584" t="s">
        <v>178</v>
      </c>
    </row>
    <row r="585" spans="1:16" x14ac:dyDescent="0.25">
      <c r="A585">
        <v>178336</v>
      </c>
      <c r="B585" t="s">
        <v>263</v>
      </c>
      <c r="C585" t="s">
        <v>661</v>
      </c>
      <c r="D585" t="s">
        <v>538</v>
      </c>
      <c r="E585" t="s">
        <v>1382</v>
      </c>
      <c r="F585" t="s">
        <v>1383</v>
      </c>
      <c r="G585" t="s">
        <v>319</v>
      </c>
      <c r="H585" t="s">
        <v>321</v>
      </c>
      <c r="I585" t="s">
        <v>356</v>
      </c>
      <c r="J585" t="s">
        <v>363</v>
      </c>
      <c r="K585" t="s">
        <v>329</v>
      </c>
      <c r="L585" t="s">
        <v>4890</v>
      </c>
      <c r="M585" t="s">
        <v>4891</v>
      </c>
      <c r="N585" t="s">
        <v>4892</v>
      </c>
      <c r="O585" t="s">
        <v>310</v>
      </c>
      <c r="P585" t="s">
        <v>178</v>
      </c>
    </row>
    <row r="586" spans="1:16" x14ac:dyDescent="0.25">
      <c r="A586">
        <v>357863</v>
      </c>
      <c r="B586" t="s">
        <v>263</v>
      </c>
      <c r="C586" t="s">
        <v>2130</v>
      </c>
      <c r="D586" t="s">
        <v>478</v>
      </c>
      <c r="E586" t="s">
        <v>2131</v>
      </c>
      <c r="F586" t="s">
        <v>2132</v>
      </c>
      <c r="G586" t="s">
        <v>317</v>
      </c>
      <c r="H586" t="s">
        <v>413</v>
      </c>
      <c r="I586" t="s">
        <v>337</v>
      </c>
      <c r="J586" t="s">
        <v>363</v>
      </c>
      <c r="K586" t="s">
        <v>333</v>
      </c>
      <c r="L586" t="s">
        <v>495</v>
      </c>
      <c r="M586" t="s">
        <v>495</v>
      </c>
      <c r="N586" t="s">
        <v>160</v>
      </c>
      <c r="O586" t="s">
        <v>187</v>
      </c>
      <c r="P586" t="s">
        <v>178</v>
      </c>
    </row>
    <row r="587" spans="1:16" x14ac:dyDescent="0.25">
      <c r="A587">
        <v>163602</v>
      </c>
      <c r="B587" t="s">
        <v>263</v>
      </c>
      <c r="C587" t="s">
        <v>31</v>
      </c>
      <c r="D587" t="s">
        <v>486</v>
      </c>
      <c r="E587" t="s">
        <v>1098</v>
      </c>
      <c r="F587" t="s">
        <v>1099</v>
      </c>
      <c r="G587" t="s">
        <v>317</v>
      </c>
      <c r="H587" t="s">
        <v>321</v>
      </c>
      <c r="I587" t="s">
        <v>372</v>
      </c>
      <c r="J587" t="s">
        <v>532</v>
      </c>
      <c r="K587" t="s">
        <v>336</v>
      </c>
      <c r="L587" t="s">
        <v>565</v>
      </c>
      <c r="M587" t="s">
        <v>4624</v>
      </c>
      <c r="N587" t="s">
        <v>4625</v>
      </c>
      <c r="O587" t="s">
        <v>193</v>
      </c>
      <c r="P587" t="s">
        <v>184</v>
      </c>
    </row>
    <row r="588" spans="1:16" x14ac:dyDescent="0.25">
      <c r="A588">
        <v>62871</v>
      </c>
      <c r="B588" t="s">
        <v>263</v>
      </c>
      <c r="C588" t="s">
        <v>740</v>
      </c>
      <c r="D588" t="s">
        <v>479</v>
      </c>
      <c r="E588" t="s">
        <v>1104</v>
      </c>
      <c r="F588" t="s">
        <v>1105</v>
      </c>
      <c r="G588" t="s">
        <v>319</v>
      </c>
      <c r="H588" t="s">
        <v>412</v>
      </c>
      <c r="I588" t="s">
        <v>329</v>
      </c>
      <c r="J588" t="s">
        <v>344</v>
      </c>
      <c r="K588" t="s">
        <v>329</v>
      </c>
      <c r="L588" t="s">
        <v>742</v>
      </c>
      <c r="M588" t="s">
        <v>4253</v>
      </c>
      <c r="N588" t="s">
        <v>4254</v>
      </c>
      <c r="O588" t="s">
        <v>179</v>
      </c>
      <c r="P588" t="s">
        <v>178</v>
      </c>
    </row>
    <row r="589" spans="1:16" x14ac:dyDescent="0.25">
      <c r="A589">
        <v>256952</v>
      </c>
      <c r="B589" t="s">
        <v>263</v>
      </c>
      <c r="C589" t="s">
        <v>34</v>
      </c>
      <c r="D589" t="s">
        <v>482</v>
      </c>
      <c r="E589" t="s">
        <v>1100</v>
      </c>
      <c r="F589" t="s">
        <v>1101</v>
      </c>
      <c r="G589" t="s">
        <v>319</v>
      </c>
      <c r="H589" t="s">
        <v>321</v>
      </c>
      <c r="I589" t="s">
        <v>337</v>
      </c>
      <c r="J589" t="s">
        <v>337</v>
      </c>
      <c r="K589" t="s">
        <v>325</v>
      </c>
      <c r="L589" t="s">
        <v>1499</v>
      </c>
      <c r="M589" t="s">
        <v>4626</v>
      </c>
      <c r="N589" t="s">
        <v>4627</v>
      </c>
      <c r="O589" t="s">
        <v>283</v>
      </c>
      <c r="P589" t="s">
        <v>184</v>
      </c>
    </row>
    <row r="590" spans="1:16" x14ac:dyDescent="0.25">
      <c r="A590">
        <v>310448</v>
      </c>
      <c r="B590" t="s">
        <v>263</v>
      </c>
      <c r="C590" t="s">
        <v>2379</v>
      </c>
      <c r="D590" t="s">
        <v>480</v>
      </c>
      <c r="E590" t="s">
        <v>2380</v>
      </c>
      <c r="F590" t="s">
        <v>2381</v>
      </c>
      <c r="G590" t="s">
        <v>319</v>
      </c>
      <c r="H590" t="s">
        <v>321</v>
      </c>
      <c r="I590" t="s">
        <v>344</v>
      </c>
      <c r="J590" t="s">
        <v>344</v>
      </c>
      <c r="K590" t="s">
        <v>326</v>
      </c>
      <c r="L590" t="s">
        <v>2382</v>
      </c>
      <c r="M590" t="s">
        <v>5198</v>
      </c>
      <c r="N590" t="s">
        <v>5199</v>
      </c>
      <c r="O590" t="s">
        <v>283</v>
      </c>
      <c r="P590" t="s">
        <v>184</v>
      </c>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6E06A-D987-479E-861D-11B45C37892A}">
  <dimension ref="A1:A2"/>
  <sheetViews>
    <sheetView workbookViewId="0">
      <selection activeCell="D5" sqref="D5"/>
    </sheetView>
  </sheetViews>
  <sheetFormatPr defaultRowHeight="15" x14ac:dyDescent="0.25"/>
  <cols>
    <col min="1" max="1" width="98.7109375" customWidth="1"/>
  </cols>
  <sheetData>
    <row r="1" spans="1:1" ht="360" x14ac:dyDescent="0.25">
      <c r="A1" s="5" t="s">
        <v>630</v>
      </c>
    </row>
    <row r="2" spans="1:1" ht="60" x14ac:dyDescent="0.25">
      <c r="A2" s="5" t="s">
        <v>1952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E9F4-CB20-4DEF-B99B-692FF15DCD6E}">
  <dimension ref="A1:A17"/>
  <sheetViews>
    <sheetView workbookViewId="0">
      <selection sqref="A1:A17"/>
    </sheetView>
  </sheetViews>
  <sheetFormatPr defaultRowHeight="15" x14ac:dyDescent="0.25"/>
  <sheetData>
    <row r="1" spans="1:1" x14ac:dyDescent="0.25">
      <c r="A1" t="s">
        <v>0</v>
      </c>
    </row>
    <row r="2" spans="1:1" x14ac:dyDescent="0.25">
      <c r="A2" t="s">
        <v>4</v>
      </c>
    </row>
    <row r="3" spans="1:1" x14ac:dyDescent="0.25">
      <c r="A3" t="s">
        <v>80</v>
      </c>
    </row>
    <row r="4" spans="1:1" x14ac:dyDescent="0.25">
      <c r="A4" t="s">
        <v>79</v>
      </c>
    </row>
    <row r="5" spans="1:1" x14ac:dyDescent="0.25">
      <c r="A5" t="s">
        <v>81</v>
      </c>
    </row>
    <row r="6" spans="1:1" x14ac:dyDescent="0.25">
      <c r="A6" t="s">
        <v>3961</v>
      </c>
    </row>
    <row r="7" spans="1:1" x14ac:dyDescent="0.25">
      <c r="A7" t="s">
        <v>92</v>
      </c>
    </row>
    <row r="8" spans="1:1" x14ac:dyDescent="0.25">
      <c r="A8" t="s">
        <v>87</v>
      </c>
    </row>
    <row r="9" spans="1:1" x14ac:dyDescent="0.25">
      <c r="A9" t="s">
        <v>88</v>
      </c>
    </row>
    <row r="10" spans="1:1" x14ac:dyDescent="0.25">
      <c r="A10" t="s">
        <v>89</v>
      </c>
    </row>
    <row r="11" spans="1:1" x14ac:dyDescent="0.25">
      <c r="A11" t="s">
        <v>18</v>
      </c>
    </row>
    <row r="12" spans="1:1" x14ac:dyDescent="0.25">
      <c r="A12" t="s">
        <v>82</v>
      </c>
    </row>
    <row r="13" spans="1:1" x14ac:dyDescent="0.25">
      <c r="A13" t="s">
        <v>477</v>
      </c>
    </row>
    <row r="14" spans="1:1" x14ac:dyDescent="0.25">
      <c r="A14" t="s">
        <v>289</v>
      </c>
    </row>
    <row r="15" spans="1:1" x14ac:dyDescent="0.25">
      <c r="A15" t="s">
        <v>68</v>
      </c>
    </row>
    <row r="16" spans="1:1" x14ac:dyDescent="0.25">
      <c r="A16" t="s">
        <v>83</v>
      </c>
    </row>
    <row r="17" spans="1:1" x14ac:dyDescent="0.25">
      <c r="A17" t="s">
        <v>84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85B2A-A134-4729-9671-E8DB46E15D44}">
  <dimension ref="A1:D27"/>
  <sheetViews>
    <sheetView workbookViewId="0">
      <selection activeCell="D17" sqref="D17"/>
    </sheetView>
  </sheetViews>
  <sheetFormatPr defaultRowHeight="15" x14ac:dyDescent="0.25"/>
  <cols>
    <col min="4" max="4" width="28.42578125" bestFit="1" customWidth="1"/>
  </cols>
  <sheetData>
    <row r="1" spans="1:4" x14ac:dyDescent="0.25">
      <c r="A1" t="s">
        <v>114</v>
      </c>
      <c r="B1" s="13" t="s">
        <v>163</v>
      </c>
      <c r="C1" s="14" t="s">
        <v>164</v>
      </c>
      <c r="D1" s="14" t="s">
        <v>165</v>
      </c>
    </row>
    <row r="2" spans="1:4" x14ac:dyDescent="0.25">
      <c r="A2">
        <f>_xlfn.XLOOKUP(B2,BUYLIST10[BGG ID],BUYLIST10[RANK])</f>
        <v>11</v>
      </c>
      <c r="B2" s="12">
        <v>217372</v>
      </c>
      <c r="D2" s="1" t="s">
        <v>5348</v>
      </c>
    </row>
    <row r="3" spans="1:4" x14ac:dyDescent="0.25">
      <c r="A3">
        <f>_xlfn.XLOOKUP(B3,BUYLIST10[BGG ID],BUYLIST10[RANK])</f>
        <v>23</v>
      </c>
      <c r="B3" s="12">
        <v>276025</v>
      </c>
      <c r="D3" t="s">
        <v>5349</v>
      </c>
    </row>
    <row r="4" spans="1:4" x14ac:dyDescent="0.25">
      <c r="A4">
        <f>_xlfn.XLOOKUP(B4,BUYLIST10[BGG ID],BUYLIST10[RANK])</f>
        <v>42</v>
      </c>
      <c r="B4" s="12">
        <v>300580</v>
      </c>
      <c r="D4" t="s">
        <v>5350</v>
      </c>
    </row>
    <row r="5" spans="1:4" x14ac:dyDescent="0.25">
      <c r="A5">
        <f>_xlfn.XLOOKUP(B5,BUYLIST10[BGG ID],BUYLIST10[RANK])</f>
        <v>44</v>
      </c>
      <c r="B5" s="12">
        <v>410291</v>
      </c>
      <c r="D5" s="1" t="s">
        <v>5351</v>
      </c>
    </row>
    <row r="6" spans="1:4" x14ac:dyDescent="0.25">
      <c r="A6">
        <f>_xlfn.XLOOKUP(B6,BUYLIST10[BGG ID],BUYLIST10[RANK])</f>
        <v>47</v>
      </c>
      <c r="B6" s="12">
        <v>233891</v>
      </c>
      <c r="D6" t="s">
        <v>5352</v>
      </c>
    </row>
    <row r="7" spans="1:4" x14ac:dyDescent="0.25">
      <c r="A7">
        <f>_xlfn.XLOOKUP(B7,BUYLIST10[BGG ID],BUYLIST10[RANK])</f>
        <v>52</v>
      </c>
      <c r="B7" s="12">
        <v>306735</v>
      </c>
      <c r="D7" t="s">
        <v>5353</v>
      </c>
    </row>
    <row r="8" spans="1:4" x14ac:dyDescent="0.25">
      <c r="A8">
        <f>_xlfn.XLOOKUP(B8,BUYLIST10[BGG ID],BUYLIST10[RANK])</f>
        <v>53</v>
      </c>
      <c r="B8" s="12">
        <v>262712</v>
      </c>
      <c r="D8" t="s">
        <v>5354</v>
      </c>
    </row>
    <row r="9" spans="1:4" x14ac:dyDescent="0.25">
      <c r="A9">
        <f>_xlfn.XLOOKUP(B9,BUYLIST10[BGG ID],BUYLIST10[RANK])</f>
        <v>54</v>
      </c>
      <c r="B9" s="12">
        <v>216132</v>
      </c>
      <c r="D9" t="s">
        <v>5355</v>
      </c>
    </row>
    <row r="10" spans="1:4" x14ac:dyDescent="0.25">
      <c r="A10">
        <f>_xlfn.XLOOKUP(B10,BUYLIST10[BGG ID],BUYLIST10[RANK])</f>
        <v>56</v>
      </c>
      <c r="B10" s="12">
        <v>312679</v>
      </c>
      <c r="D10" t="s">
        <v>5356</v>
      </c>
    </row>
    <row r="11" spans="1:4" x14ac:dyDescent="0.25">
      <c r="A11">
        <f>_xlfn.XLOOKUP(B11,BUYLIST10[BGG ID],BUYLIST10[RANK])</f>
        <v>58</v>
      </c>
      <c r="B11" s="12">
        <v>140934</v>
      </c>
      <c r="D11" t="s">
        <v>5357</v>
      </c>
    </row>
    <row r="12" spans="1:4" x14ac:dyDescent="0.25">
      <c r="A12">
        <f>_xlfn.XLOOKUP(B12,BUYLIST10[BGG ID],BUYLIST10[RANK])</f>
        <v>60</v>
      </c>
      <c r="B12" s="12">
        <v>251849</v>
      </c>
      <c r="D12" t="s">
        <v>5358</v>
      </c>
    </row>
    <row r="13" spans="1:4" x14ac:dyDescent="0.25">
      <c r="A13">
        <f>_xlfn.XLOOKUP(B13,BUYLIST10[BGG ID],BUYLIST10[RANK])</f>
        <v>68</v>
      </c>
      <c r="B13" s="12">
        <v>216600</v>
      </c>
      <c r="D13" t="s">
        <v>5359</v>
      </c>
    </row>
    <row r="14" spans="1:4" x14ac:dyDescent="0.25">
      <c r="A14">
        <f>_xlfn.XLOOKUP(B14,BUYLIST10[BGG ID],BUYLIST10[RANK])</f>
        <v>69</v>
      </c>
      <c r="B14" s="12">
        <v>368017</v>
      </c>
      <c r="D14" t="s">
        <v>5360</v>
      </c>
    </row>
    <row r="15" spans="1:4" x14ac:dyDescent="0.25">
      <c r="A15">
        <f>_xlfn.XLOOKUP(B15,BUYLIST10[BGG ID],BUYLIST10[RANK])</f>
        <v>74</v>
      </c>
      <c r="B15" s="12">
        <v>131357</v>
      </c>
      <c r="D15" t="s">
        <v>5361</v>
      </c>
    </row>
    <row r="16" spans="1:4" x14ac:dyDescent="0.25">
      <c r="A16">
        <f>_xlfn.XLOOKUP(B16,BUYLIST10[BGG ID],BUYLIST10[RANK])</f>
        <v>76</v>
      </c>
      <c r="B16" s="12">
        <v>271324</v>
      </c>
      <c r="D16" t="s">
        <v>5374</v>
      </c>
    </row>
    <row r="17" spans="1:4" x14ac:dyDescent="0.25">
      <c r="A17">
        <f>_xlfn.XLOOKUP(B17,BUYLIST10[BGG ID],BUYLIST10[RANK])</f>
        <v>81</v>
      </c>
      <c r="B17" s="12">
        <v>315767</v>
      </c>
      <c r="D17" t="s">
        <v>5362</v>
      </c>
    </row>
    <row r="18" spans="1:4" x14ac:dyDescent="0.25">
      <c r="A18">
        <f>_xlfn.XLOOKUP(B18,BUYLIST10[BGG ID],BUYLIST10[RANK])</f>
        <v>84</v>
      </c>
      <c r="B18" s="12">
        <v>43015</v>
      </c>
      <c r="D18" t="s">
        <v>5363</v>
      </c>
    </row>
    <row r="19" spans="1:4" x14ac:dyDescent="0.25">
      <c r="A19">
        <f>_xlfn.XLOOKUP(B19,BUYLIST10[BGG ID],BUYLIST10[RANK])</f>
        <v>88</v>
      </c>
      <c r="B19" s="12">
        <v>172081</v>
      </c>
      <c r="D19" t="s">
        <v>5364</v>
      </c>
    </row>
    <row r="20" spans="1:4" x14ac:dyDescent="0.25">
      <c r="A20">
        <f>_xlfn.XLOOKUP(B20,BUYLIST10[BGG ID],BUYLIST10[RANK])</f>
        <v>89</v>
      </c>
      <c r="B20" s="12">
        <v>163967</v>
      </c>
      <c r="D20" t="s">
        <v>5365</v>
      </c>
    </row>
    <row r="21" spans="1:4" x14ac:dyDescent="0.25">
      <c r="A21">
        <f>_xlfn.XLOOKUP(B21,BUYLIST10[BGG ID],BUYLIST10[RANK])</f>
        <v>91</v>
      </c>
      <c r="B21" s="12">
        <v>202174</v>
      </c>
      <c r="D21" t="s">
        <v>5366</v>
      </c>
    </row>
    <row r="22" spans="1:4" x14ac:dyDescent="0.25">
      <c r="A22">
        <f>_xlfn.XLOOKUP(B22,BUYLIST10[BGG ID],BUYLIST10[RANK])</f>
        <v>92</v>
      </c>
      <c r="B22" s="12">
        <v>216734</v>
      </c>
      <c r="D22" t="s">
        <v>5367</v>
      </c>
    </row>
    <row r="23" spans="1:4" x14ac:dyDescent="0.25">
      <c r="A23">
        <f>_xlfn.XLOOKUP(B23,BUYLIST10[BGG ID],BUYLIST10[RANK])</f>
        <v>93</v>
      </c>
      <c r="B23" s="12">
        <v>233371</v>
      </c>
      <c r="D23" t="s">
        <v>5368</v>
      </c>
    </row>
    <row r="24" spans="1:4" x14ac:dyDescent="0.25">
      <c r="A24">
        <f>_xlfn.XLOOKUP(B24,BUYLIST10[BGG ID],BUYLIST10[RANK])</f>
        <v>94</v>
      </c>
      <c r="B24" s="12">
        <v>223040</v>
      </c>
      <c r="D24" t="s">
        <v>5369</v>
      </c>
    </row>
    <row r="25" spans="1:4" x14ac:dyDescent="0.25">
      <c r="A25">
        <f>_xlfn.XLOOKUP(B25,BUYLIST10[BGG ID],BUYLIST10[RANK])</f>
        <v>95</v>
      </c>
      <c r="B25" s="12">
        <v>269752</v>
      </c>
      <c r="D25" t="s">
        <v>5370</v>
      </c>
    </row>
    <row r="26" spans="1:4" x14ac:dyDescent="0.25">
      <c r="A26">
        <f>_xlfn.XLOOKUP(B26,BUYLIST10[BGG ID],BUYLIST10[RANK])</f>
        <v>96</v>
      </c>
      <c r="B26" s="12">
        <v>180593</v>
      </c>
      <c r="D26" t="s">
        <v>5371</v>
      </c>
    </row>
    <row r="27" spans="1:4" x14ac:dyDescent="0.25">
      <c r="A27">
        <f>_xlfn.XLOOKUP(B27,BUYLIST10[BGG ID],BUYLIST10[RANK])</f>
        <v>99</v>
      </c>
      <c r="B27" s="15">
        <v>171908</v>
      </c>
      <c r="D27" t="s">
        <v>5372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F6BDFF-5CA2-4331-B3FD-138762D913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OWNED</vt:lpstr>
      <vt:lpstr>BUY LIST</vt:lpstr>
      <vt:lpstr>LIBRARY</vt:lpstr>
      <vt:lpstr>store_links</vt:lpstr>
      <vt:lpstr>summary_prices</vt:lpstr>
      <vt:lpstr>manual_summary</vt:lpstr>
      <vt:lpstr>bgg_cache</vt:lpstr>
      <vt:lpstr>PROMPT</vt:lpstr>
      <vt:lpstr>NZDESIGNED</vt:lpstr>
      <vt:lpstr>manual_bgg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Phillip Brown</dc:creator>
  <cp:lastModifiedBy>Phillip Brown</cp:lastModifiedBy>
  <dcterms:created xsi:type="dcterms:W3CDTF">2025-07-21T21:47:16Z</dcterms:created>
  <dcterms:modified xsi:type="dcterms:W3CDTF">2025-12-09T20:19:53Z</dcterms:modified>
</cp:coreProperties>
</file>